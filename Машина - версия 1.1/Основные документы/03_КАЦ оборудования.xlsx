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Основания" sheetId="1" state="visible" r:id="rId3"/>
    <sheet name="01_КАЦ" sheetId="2" state="visible" r:id="rId4"/>
    <sheet name="02_Состав" sheetId="3" state="visible" r:id="rId5"/>
    <sheet name="03_Все цены" sheetId="4" state="visible" r:id="rId6"/>
    <sheet name="04_Новые предложения" sheetId="5" state="visible" r:id="rId7"/>
    <sheet name="05_Неоценённый остаток" sheetId="6" state="visible" r:id="rId8"/>
    <sheet name="06_Комплектность_M06" sheetId="7" state="visible" r:id="rId9"/>
  </sheets>
  <definedNames>
    <definedName function="false" hidden="false" localSheetId="0" name="_xlnm.Print_Titles" vbProcedure="false">00_Основания!$1:$1</definedName>
    <definedName function="false" hidden="true" localSheetId="0" name="_xlnm._FilterDatabase" vbProcedure="false">00_Основания!$A$1:$B$11</definedName>
    <definedName function="false" hidden="false" localSheetId="1" name="_xlnm.Print_Titles" vbProcedure="false">01_КАЦ!$1:$1</definedName>
    <definedName function="false" hidden="true" localSheetId="1" name="_xlnm._FilterDatabase" vbProcedure="false">01_КАЦ!$A$1:$J$37</definedName>
    <definedName function="false" hidden="false" localSheetId="2" name="_xlnm.Print_Titles" vbProcedure="false">02_Состав!$1:$1</definedName>
    <definedName function="false" hidden="true" localSheetId="2" name="_xlnm._FilterDatabase" vbProcedure="false">02_Состав!$A$1:$S$139</definedName>
    <definedName function="false" hidden="false" localSheetId="3" name="_xlnm.Print_Titles" vbProcedure="false">'03_Все цены'!$1:$1</definedName>
    <definedName function="false" hidden="true" localSheetId="3" name="_xlnm._FilterDatabase" vbProcedure="false">'03_Все цены'!$A$1:$T$127</definedName>
    <definedName function="false" hidden="false" localSheetId="4" name="_xlnm.Print_Titles" vbProcedure="false">'04_Новые предложения'!$1:$1</definedName>
    <definedName function="false" hidden="true" localSheetId="4" name="_xlnm._FilterDatabase" vbProcedure="false">'04_Новые предложения'!$A$1:$T$56</definedName>
    <definedName function="false" hidden="false" localSheetId="5" name="_xlnm.Print_Titles" vbProcedure="false">'05_Неоценённый остаток'!$1:$1</definedName>
    <definedName function="false" hidden="true" localSheetId="5" name="_xlnm._FilterDatabase" vbProcedure="false">'05_Неоценённый остаток'!$A$1:$D$25</definedName>
    <definedName function="false" hidden="false" localSheetId="6" name="_xlnm.Print_Titles" vbProcedure="false">06_Комплектность_M06!$1:$1</definedName>
    <definedName function="false" hidden="true" localSheetId="6" name="_xlnm._FilterDatabase" vbProcedure="false">06_Комплектность_M06!$A$1:$Q$50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<sst xmlns="http://schemas.openxmlformats.org/spreadsheetml/2006/main" count="5933" uniqueCount="1951">
  <si>
    <t xml:space="preserve">Тема</t>
  </si>
  <si>
    <t xml:space="preserve">Условие</t>
  </si>
  <si>
    <t xml:space="preserve">Статус</t>
  </si>
  <si>
    <t xml:space="preserve">M09/v001 • 15.09.2026. Дополнение ценами SVB и других морских магазинов. Это рабочая оценка компонентов, не полная стоимость установленного МО и не утверждённая УТВ.</t>
  </si>
  <si>
    <t xml:space="preserve">Количество</t>
  </si>
  <si>
    <t xml:space="preserve">1 двигатель с 1 редуктором, 2 генератора, 2 основных инвертора, 6+2+1 АКБ сохранены. Ранее пустые количества отдельных компонентов заданы только в явно обозначенном предварительном сценарии.</t>
  </si>
  <si>
    <t xml:space="preserve">Исходные цены</t>
  </si>
  <si>
    <t xml:space="preserve">Новые источники датированы 15.09.2026; перенесённые цены M03 сохраняют прежнюю дату и ограничения. Ни одна карточка магазина не названа полученным персональным КП.</t>
  </si>
  <si>
    <t xml:space="preserve">НДС</t>
  </si>
  <si>
    <t xml:space="preserve">NET извлечён по налоговому отображению конкретной карточки. В основной смете к NET добавлены предварительные 23% по D030. SOURCE_GROSS не облагается повторно; его ставка неизвестна.</t>
  </si>
  <si>
    <t xml:space="preserve">GBP</t>
  </si>
  <si>
    <t xml:space="preserve">Новые цены GBP переведены по ЕЦБ 14.09.2026: 1 EUR = 0.85598 GBP. Старые цены M03 с прежним FX 10.09 сохранены и маркированы. Импорт UK/доставка/таможня требуют отдельной оценки.</t>
  </si>
  <si>
    <t xml:space="preserve">Совместимость</t>
  </si>
  <si>
    <t xml:space="preserve">12V стартерные кандидаты — только ценовые аналоги; требование владельца 24 V не изменено. Полная схема пуска от любого АКБ не разработана. PTO/Yanmar, объём пожаротушения, диаметры и расходы не подтверждены ценой.</t>
  </si>
  <si>
    <t xml:space="preserve">Состав</t>
  </si>
  <si>
    <t xml:space="preserve">Дополнительные компоненты не объявлены полными системами. За составом остались отдельные неоценённые строки; готовые баки Gianneschi 20 L и клапан HT1013 внутри гидробака повторно не начислены.</t>
  </si>
  <si>
    <t xml:space="preserve">Опции</t>
  </si>
  <si>
    <t xml:space="preserve">Резервное водяное отопление остаётся опцией и показано отдельно от основного итога.</t>
  </si>
  <si>
    <t xml:space="preserve">A/B/C</t>
  </si>
  <si>
    <t xml:space="preserve">Сохранены альтернативы M03, без ранжирования качества по цене. Общие новые компоненты применены с одинаковыми количествами; общий ценовой аналог не выдаётся за три независимых предложения.</t>
  </si>
  <si>
    <t xml:space="preserve">Изменения</t>
  </si>
  <si>
    <t xml:space="preserve">Исходные M03/M07 и комплект 1.0 сохранены. Рост суммы включает раскрытие состава и предварительных количеств, а не только изменение рыночных цен.</t>
  </si>
  <si>
    <t xml:space="preserve">Вариант</t>
  </si>
  <si>
    <t xml:space="preserve">Система</t>
  </si>
  <si>
    <t xml:space="preserve">Фиксированные количества</t>
  </si>
  <si>
    <t xml:space="preserve">Оценено NET EUR</t>
  </si>
  <si>
    <t xml:space="preserve">Плановый налог EUR</t>
  </si>
  <si>
    <t xml:space="preserve">Оценено с налогом EUR</t>
  </si>
  <si>
    <t xml:space="preserve">Строк без суммы</t>
  </si>
  <si>
    <t xml:space="preserve">Полный требуемый состав</t>
  </si>
  <si>
    <t xml:space="preserve">Открытые входы</t>
  </si>
  <si>
    <t xml:space="preserve">PK01-A</t>
  </si>
  <si>
    <t xml:space="preserve">Ход яхты</t>
  </si>
  <si>
    <t xml:space="preserve">1 двигатель; 1 редуктор предлагается</t>
  </si>
  <si>
    <t xml:space="preserve">НЕПОЛНЫЙ ПАКЕТ</t>
  </si>
  <si>
    <t xml:space="preserve">Двигатель и согласованный редуктор, заводские опоры, управление и жгуты; муфта, упорный узел, вал, дейдвуд, подшипники, уплотнение и согласованный движитель; монтаж, центровка, настройка и собственные испытания | Включения двигателя раскрыть по позициям | Внешнее топливо, охлаждение, выхлоп и вентиляция — PK09; гидронасос и его силовой привод — PK12; механическая совместимость PTO — интерфейс PK01/PK12</t>
  </si>
  <si>
    <t xml:space="preserve">300 л.с. — исходный ориентир. Скорость, сопротивление, рабочий режим и PTO не рассчитаны. Измеренная компоновка, монтажные и сервисные зоны, полный состав поставки и интерфейсы ещё требуют подтверждения.</t>
  </si>
  <si>
    <t xml:space="preserve">PK01-B</t>
  </si>
  <si>
    <t xml:space="preserve">PK01-C</t>
  </si>
  <si>
    <t xml:space="preserve">PK02-A</t>
  </si>
  <si>
    <t xml:space="preserve">Генерация</t>
  </si>
  <si>
    <t xml:space="preserve">2 генератора</t>
  </si>
  <si>
    <t xml:space="preserve">Два генераторных агрегата с согласованными капсулами, опорами, собственным управлением и заводским оснащением; монтаж, местная настройка и испытания каждого | Внешние независимые топливные, водяные и выхлопные ветви — PK09; силовое переключение, распределение и кабели — PK03; пусковые АКБ и резервные связи — PK04 | Параллельную работу не считать включённой по умолчанию</t>
  </si>
  <si>
    <t xml:space="preserve">Около 11.5–12 кВА — исходный ориентир. Постоянные и пиковые нагрузки, режим отказа открыты. Измеренная компоновка, монтажные и сервисные зоны, полный состав поставки и интерфейсы ещё требуют подтверждения.</t>
  </si>
  <si>
    <t xml:space="preserve">PK02-B</t>
  </si>
  <si>
    <t xml:space="preserve">PK02-C</t>
  </si>
  <si>
    <t xml:space="preserve">PK03-A</t>
  </si>
  <si>
    <t xml:space="preserve">Электропитание</t>
  </si>
  <si>
    <t xml:space="preserve">2 основных инвертора; 1 независимая функция питания насоса</t>
  </si>
  <si>
    <t xml:space="preserve">Два основных инвертора/зарядных устройства, береговой ввод и развязка, AC/DC распределение, защиты и общесудовые питающие кабели до границ потребителей; контроль источников, заряд и отключение второстепенных нагрузок, критическое питание | ME-06: одна независимая функция питания AC водяной ветви при отказе гостиничного инвертора; отдельный третий инвертор не назначен | Монтаж, маркировка и электрические проверки | Пусковые силовые пути, изоляция АКБ и BMS — PK04</t>
  </si>
  <si>
    <t xml:space="preserve">3 кВА — поисковый класс, не утверждённая мощность. Баланс и береговой ввод открыты. Измеренная компоновка, монтажные и сервисные зоны, полный состав поставки и интерфейсы ещё требуют подтверждения.</t>
  </si>
  <si>
    <t xml:space="preserve">PK03-B</t>
  </si>
  <si>
    <t xml:space="preserve">PK03-C</t>
  </si>
  <si>
    <t xml:space="preserve">PK04-A</t>
  </si>
  <si>
    <t xml:space="preserve">АКБ и резервный пуск</t>
  </si>
  <si>
    <t xml:space="preserve">6 сервисных + 2 генераторных + 1 главного двигателя</t>
  </si>
  <si>
    <t xml:space="preserve">Девять физических АКБ по назначению; крепления и защитные объёмы, BMS по химии, батарейная и стартерная коммутация, силовые кабели до согласованных точек подключения PK03/стартеров, дистанционные контакторы, межблокировки и подтверждение состояния | Изоляция неисправной АКБ перед резервным пуском; местная блокировка обслуживания, питание управления и проверка всех разрешённых путей запуска | Зарядные устройства — PK03; независимость и настройки зарядки совместно PK03/PK04</t>
  </si>
  <si>
    <t xml:space="preserve">Уточнение 115 ампер/А·ч и напряжения каждой АКБ ожидается. Пусковые токи, химия и допустимый разряд открыты. Измеренная компоновка, монтажные и сервисные зоны, полный состав поставки и интерфейсы ещё требуют подтверждения.</t>
  </si>
  <si>
    <t xml:space="preserve">PK04-B</t>
  </si>
  <si>
    <t xml:space="preserve">PK04-C</t>
  </si>
  <si>
    <t xml:space="preserve">PK05-A</t>
  </si>
  <si>
    <t xml:space="preserve">Пресная вода</t>
  </si>
  <si>
    <t xml:space="preserve">1 установка 24 В + 1 установка AC</t>
  </si>
  <si>
    <t xml:space="preserve">Одна установка 24 В и одна AC; независимые пути с выбором и изоляцией, гидроаккумуляторы, фильтры, обратные клапаны, коллекторы, магистрали до водоразбора и контроль давления | Общие узлы ME-17, включая термостатическое смешение и рециркуляцию ГВС при принятии, принадлежат PK05 | Подача на RO промывку и бойлер — интерфейсы PK06/PK07 | Комплектные фильтры RO — PK06; баки — PK11 | Опрессовка, промывка и проверка обоих режимов</t>
  </si>
  <si>
    <t xml:space="preserve">Рабочая точка и одновременность водоразбора открыты. 15 л/мин при 2 бар — только поисковый пример. Измеренная компоновка, монтажные и сервисные зоны, полный состав поставки и интерфейсы ещё требуют подтверждения.</t>
  </si>
  <si>
    <t xml:space="preserve">PK05-B</t>
  </si>
  <si>
    <t xml:space="preserve">PK05-C</t>
  </si>
  <si>
    <t xml:space="preserve">PK06-A</t>
  </si>
  <si>
    <t xml:space="preserve">Опреснение</t>
  </si>
  <si>
    <t xml:space="preserve">1 опреснитель</t>
  </si>
  <si>
    <t xml:space="preserve">Один RO с подающим и высоким давлением по исполнению, мембранами, штатными фильтрами, контролем солёности и автоматическим отводом некондиционного продукта, промывкой и управлением | Внутренняя обвязка, крепления, монтаж и наладка; трассы забортной подачи и концентрата этой установки принадлежат PK06, не PK09 | Подача пресной воды на промывку — PK05; приёмный танк — PK11 | Проверить качество, производительность и все автоматические режимы</t>
  </si>
  <si>
    <t xml:space="preserve">Температура, солёность и окончательная комплектация открыты. Измеренная компоновка, монтажные и сервисные зоны, полный состав поставки и интерфейсы ещё требуют подтверждения.</t>
  </si>
  <si>
    <t xml:space="preserve">PK06-B</t>
  </si>
  <si>
    <t xml:space="preserve">PK06-C</t>
  </si>
  <si>
    <t xml:space="preserve">PK07-A</t>
  </si>
  <si>
    <t xml:space="preserve">Горячая вода</t>
  </si>
  <si>
    <t xml:space="preserve">Количество бойлеров не принято</t>
  </si>
  <si>
    <t xml:space="preserve">Бойлеры с электрическим и двигательным нагревом, штатной защитной арматурой, изоляцией, креплениями и сливом; теплоноситель от согласованного присоединения двигателя до бойлера и обратно | Монтаж, проверка нагрева и восстановления запаса | Число и объём не назначены | Термостатическое смешение и общая рециркуляция — PK05, не повторная покупка PK07; питание — PK03</t>
  </si>
  <si>
    <t xml:space="preserve">40 л / 1200 Вт — рыночный пример, не заданная потребность. Измеренная компоновка, монтажные и сервисные зоны, полный состав поставки и интерфейсы ещё требуют подтверждения.</t>
  </si>
  <si>
    <t xml:space="preserve">PK07-B</t>
  </si>
  <si>
    <t xml:space="preserve">PK07-C</t>
  </si>
  <si>
    <t xml:space="preserve">PK08-A</t>
  </si>
  <si>
    <t xml:space="preserve">Климат</t>
  </si>
  <si>
    <t xml:space="preserve">2 чиллера; дополнительное отопление — опция</t>
  </si>
  <si>
    <t xml:space="preserve">Два независимо изолируемых чиллерных модуля; шкафы и панели управления, согласованные фанкойлы по помещениям, гидравлические контуры холода и забортного охлаждения, насосы, фильтры, расширение, клапаны, трубная изоляция, воздухораспределение и дренаж конденсата; монтаж, балансировка и наладка | Все собственные HVAC водяные ветви — PK08, не PK09 | Дополнительное отопление ME-26 — отдельная опция с контуром и управлением, без автоматического назначения котла | Фанкойлы — явное расширение до результата, их количество открыто</t>
  </si>
  <si>
    <t xml:space="preserve">16 000 BTU/h на модуль — пример рынка. Тепловой расчёт и уровень сервиса при отказе открыты. Измеренная компоновка, монтажные и сервисные зоны, полный состав поставки и интерфейсы ещё требуют подтверждения.</t>
  </si>
  <si>
    <t xml:space="preserve">PK08-B</t>
  </si>
  <si>
    <t xml:space="preserve">PK08-C</t>
  </si>
  <si>
    <t xml:space="preserve">PK09-A</t>
  </si>
  <si>
    <t xml:space="preserve">Обеспечение МО</t>
  </si>
  <si>
    <t xml:space="preserve">Число элементов определяется выбранными системами</t>
  </si>
  <si>
    <t xml:space="preserve">Общие и раздельные внешние топливные ветви двигателя/генераторов: фильтрация, подача, обратки, арматура и сервис; их забортное охлаждение, антисифонные меры, выхлоп и выходы; приток и вытяжка МО с каналами, заслонками и остановом по пожару | Маслосмена, поддоны, местные сервисные узлы и освещение с интерфейсом PK03 | Монтаж, изоляция, маркировка и испытания | Топливные танки и уровнемеры — PK11; заводские внутренние элементы агрегатов — PK01/PK02; отдельные RO/HVAC/гидравлические охладители и ветви — PK06/PK08/PK12</t>
  </si>
  <si>
    <t xml:space="preserve">Диаметры, тепловыделение, напор, длины и комплектность открыты. Измеренная компоновка, монтажные и сервисные зоны, полный состав поставки и интерфейсы ещё требуют подтверждения.</t>
  </si>
  <si>
    <t xml:space="preserve">PK09-B</t>
  </si>
  <si>
    <t xml:space="preserve">PK09-C</t>
  </si>
  <si>
    <t xml:space="preserve">PK10-A</t>
  </si>
  <si>
    <t xml:space="preserve">Аварийные системы</t>
  </si>
  <si>
    <t xml:space="preserve">Число компонентов определяется расчётом</t>
  </si>
  <si>
    <t xml:space="preserve">Зональное и аварийное осушение с насосами, ручными средствами, трубами, арматурой, датчиками и независимой тревогой; пожарное обнаружение, стационарное тушение, ручной пуск и контроль готовности | Матрица остановов двигателя/генераторов и вентиляции, собственные исполнительные приводы пожарной отсечки топлива — PK10, корпуса топливной арматуры — PK09 | Монтаж и проверка сценариев, без необоснованного расходования заряда | Числа, защищаемый объём и тип агента открыты</t>
  </si>
  <si>
    <t xml:space="preserve">Отсеки, защищаемый объём и аварийные режимы открыты. Измеренная компоновка, монтажные и сервисные зоны, полный состав поставки и интерфейсы ещё требуют подтверждения.</t>
  </si>
  <si>
    <t xml:space="preserve">PK10-B</t>
  </si>
  <si>
    <t xml:space="preserve">PK10-C</t>
  </si>
  <si>
    <t xml:space="preserve">PK11-A</t>
  </si>
  <si>
    <t xml:space="preserve">Танки и стоки</t>
  </si>
  <si>
    <t xml:space="preserve">Количество и объёмы открыты</t>
  </si>
  <si>
    <t xml:space="preserve">Полезные запасы и стоки: реестр фактических танков, встроенные либо съёмные ёмкости, люки, вентиляция, залив/слив, уровнемеры и управление; санитарная техническая подача, изоляция источников смыва, насосы стоков, откачка и контроль доступа к сбросу | Изготовление встроенного танка и его испытание раскрыть отдельно от испытания всей системы | В рамках учёта M03 — PK11, с интерфейсом корпусному W10.90, без двойной цены | Санприборы, не входящие в перечень МО, — внешний пакет W50.58 | Трубопроводы от танковых сервисных границ — PK05/PK09 по назначению</t>
  </si>
  <si>
    <t xml:space="preserve">Конструкция встроенных танков, уровни и маршруты доступа открыты. Измеренная компоновка, монтажные и сервисные зоны, полный состав поставки и интерфейсы ещё требуют подтверждения.</t>
  </si>
  <si>
    <t xml:space="preserve">PK11-B</t>
  </si>
  <si>
    <t xml:space="preserve">PK11-C</t>
  </si>
  <si>
    <t xml:space="preserve">PK12-A</t>
  </si>
  <si>
    <t xml:space="preserve">Гидравлика</t>
  </si>
  <si>
    <t xml:space="preserve">Гидропривод обязателен; число потребителей не принято</t>
  </si>
  <si>
    <t xml:space="preserve">Полная гидросистема до нужных функций всех подруливающих и всех лебёдок: насосы и выбранный привод, PTO/адаптация либо электрический или отдельный привод, бак, фильтры, охлаждение, распределители, регулирование и защита давления, трассы, местные клапаны, управление и исполнительные гидромоторы/механизмы | Выдать ведомость всех внешних потребителей и включений их пакетов: одинаковый предмет не суммировать дважды | Монтаж, промывка, чистота масла, наладка приоритетов и испытания режимов, в том числе согласованного режима без главного дизеля | Рулевое не включать в общий контур автоматически</t>
  </si>
  <si>
    <t xml:space="preserve">Тяга, момент, скорость, одновременность и источники мощности открыты. Измеренная компоновка, монтажные и сервисные зоны, полный состав поставки и интерфейсы ещё требуют подтверждения.</t>
  </si>
  <si>
    <t xml:space="preserve">PK12-B</t>
  </si>
  <si>
    <t xml:space="preserve">PK12-C</t>
  </si>
  <si>
    <t xml:space="preserve">Итого A</t>
  </si>
  <si>
    <t xml:space="preserve">Частичная компонентная оценка, не полная стоимость установки</t>
  </si>
  <si>
    <t xml:space="preserve">Итого B</t>
  </si>
  <si>
    <t xml:space="preserve">Итого C</t>
  </si>
  <si>
    <t xml:space="preserve">ID</t>
  </si>
  <si>
    <t xml:space="preserve">ME</t>
  </si>
  <si>
    <t xml:space="preserve">Исполнение</t>
  </si>
  <si>
    <t xml:space="preserve">Кол-во</t>
  </si>
  <si>
    <t xml:space="preserve">Ед.</t>
  </si>
  <si>
    <t xml:space="preserve">Источник</t>
  </si>
  <si>
    <t xml:space="preserve">NET EUR/ед.</t>
  </si>
  <si>
    <t xml:space="preserve">NET EUR</t>
  </si>
  <si>
    <t xml:space="preserve">Налог</t>
  </si>
  <si>
    <t xml:space="preserve">План %</t>
  </si>
  <si>
    <t xml:space="preserve">НДС EUR</t>
  </si>
  <si>
    <t xml:space="preserve">Исх.gross/ед.</t>
  </si>
  <si>
    <t xml:space="preserve">С налогом EUR</t>
  </si>
  <si>
    <t xml:space="preserve">Основание количества</t>
  </si>
  <si>
    <t xml:space="preserve">Открытый состав / совместимость</t>
  </si>
  <si>
    <t xml:space="preserve">Дата</t>
  </si>
  <si>
    <t xml:space="preserve">URL</t>
  </si>
  <si>
    <t xml:space="preserve">В основном итоге</t>
  </si>
  <si>
    <t xml:space="preserve">PK01-A-L01</t>
  </si>
  <si>
    <t xml:space="preserve">ME-01|ME-02|ME-03</t>
  </si>
  <si>
    <t xml:space="preserve">Volvo Penta D4-300 I + HS85A</t>
  </si>
  <si>
    <t xml:space="preserve">package</t>
  </si>
  <si>
    <t xml:space="preserve">PROP-E02</t>
  </si>
  <si>
    <t xml:space="preserve">PL23_ESTIMATE</t>
  </si>
  <si>
    <t xml:space="preserve">Количество исходной M03; основные агрегаты без изменения</t>
  </si>
  <si>
    <t xml:space="preserve"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 | 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 | Исключено: Исходные ограничения M03 сохранены | HISTORICAL_NET_REFERENCE|RFQ_REQUIRED|DUTY_OPEN</t>
  </si>
  <si>
    <t xml:space="preserve">2026-09-11</t>
  </si>
  <si>
    <t xml:space="preserve">https://www.dbmoteurs.fr/sites/default/files/Volvo-Penta-tarifs-prix-achat-moteurs-2023-DB-Moteurs-motorisation-marine-bateau-plaisance.pdf</t>
  </si>
  <si>
    <t xml:space="preserve">ДА</t>
  </si>
  <si>
    <t xml:space="preserve">PK01-B-L01</t>
  </si>
  <si>
    <t xml:space="preserve">ME-01|ME-02</t>
  </si>
  <si>
    <t xml:space="preserve">Yanmar 8LV320E-KMH50A + VC20</t>
  </si>
  <si>
    <t xml:space="preserve">YAN-E01</t>
  </si>
  <si>
    <t xml:space="preserve">SOURCE_GROSS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</si>
  <si>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 | 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 | Исключено: Исходные ограничения M03 сохранены | CONDITIONAL_DUTY_PTO_START_VOLTAGE; NET_RFQ_REQUIRED</t>
  </si>
  <si>
    <t xml:space="preserve">https://www.abma-sneek.nl/yanmar/engines-gears-drives/powerboat-engines?prod_id=650436</t>
  </si>
  <si>
    <t xml:space="preserve">PK01-C-L01</t>
  </si>
  <si>
    <t xml:space="preserve">FPT Industrial C90 410 rating D 300hp + gearbox RFQ</t>
  </si>
  <si>
    <t xml:space="preserve">PROP-E04</t>
  </si>
  <si>
    <t xml:space="preserve"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 | 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 | Исключено: Исходные ограничения M03 сохранены | RFQ_REQUIRED|INCOMPLETE_PACKAGE|DUTY_COMPARISON_OPEN</t>
  </si>
  <si>
    <t xml:space="preserve">https://www.etruck.fi/shop-1</t>
  </si>
  <si>
    <t xml:space="preserve">PK02-A-L01</t>
  </si>
  <si>
    <t xml:space="preserve">ME-04|ME-19</t>
  </si>
  <si>
    <t xml:space="preserve">Volpi Tecno Energia Paguro12000V AP12023050M0</t>
  </si>
  <si>
    <t xml:space="preserve">PROP-G03</t>
  </si>
  <si>
    <t xml:space="preserve"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 | 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 | Исключено: Исходные ограничения M03 сохранены | CONDITIONAL_START_VOLTAGE|AC_COMPATIBILITY_OPEN|REVISION_OPEN</t>
  </si>
  <si>
    <t xml:space="preserve">https://www.manelservice.com/it/gruppi-elettrogeni-marini/3925-vte-paguro-12000-v-ap12023050m0.html</t>
  </si>
  <si>
    <t xml:space="preserve">PK02-B-L01</t>
  </si>
  <si>
    <t xml:space="preserve">Fischer Panda 12000x-230V PMS NautiRadar0028284</t>
  </si>
  <si>
    <t xml:space="preserve">PAN-G02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</si>
  <si>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 | 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 | Исключено: Исходные ограничения M03 сохранены | MARKET_REFERENCE|START24V_OPEN|HOT_OUTPUT_OPEN|SKU_REVISION_OPEN</t>
  </si>
  <si>
    <t xml:space="preserve">https://www.nautiradar.pt/en/products/fischer-panda/panda-12000x-230v-pms-12kva-fixed-engine-speed-marine-generator</t>
  </si>
  <si>
    <t xml:space="preserve">PK02-C-L01</t>
  </si>
  <si>
    <t xml:space="preserve">Kohler / Rehlko 12EFKOZD</t>
  </si>
  <si>
    <t xml:space="preserve">PROP-G02</t>
  </si>
  <si>
    <t xml:space="preserve"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 | 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 | Исключено: Исходные ограничения M03 сохранены | CONDITIONAL_CONFIGURATION|AC_COMPATIBILITY_OPEN|RATING_OPEN|UK_REFERENCE</t>
  </si>
  <si>
    <t xml:space="preserve">https://www.jpcdirect.com/product/kohler-12-kilowatt-generator/</t>
  </si>
  <si>
    <t xml:space="preserve">PK03-A-L01</t>
  </si>
  <si>
    <t xml:space="preserve">ME-05</t>
  </si>
  <si>
    <t xml:space="preserve">Victron MultiPlus-II 24/3000/70-32 PMP242305010</t>
  </si>
  <si>
    <t xml:space="preserve">pcs</t>
  </si>
  <si>
    <t xml:space="preserve">EL-INV-A</t>
  </si>
  <si>
    <t xml:space="preserve">24 V input; factory 230 V. 3000 VA not 3000 W: 2400 W at25C/2200 W at40C; charger70 A. 2 devices architecture target, capacity unapproved. | 24 V input; factory 230 V. 3000 VA not 3000 W: 2400 W at25C/2200 W at40C; charger70 A. 2 devices architecture target, capacity unapproved. | Исключено: Исходные ограничения M03 сохранены | CONDITIONAL_3KVA_REFERENCE</t>
  </si>
  <si>
    <t xml:space="preserve">https://www.svb.de/de/victron-wechselrichter-ladegeraet-multiplus-ii-24-v-3000-va-70-a.html</t>
  </si>
  <si>
    <t xml:space="preserve">PK03-A-L02</t>
  </si>
  <si>
    <t xml:space="preserve">ME-09</t>
  </si>
  <si>
    <t xml:space="preserve">Victron 3600 ITR040362042</t>
  </si>
  <si>
    <t xml:space="preserve">EL-ISO-A</t>
  </si>
  <si>
    <t xml:space="preserve">ПРЕДВАРИТЕЛЬНЫЙ СЦЕНАРИЙ M09: один береговой ввод, один разделительный трансформатор; не утверждённое количество закупки.</t>
  </si>
  <si>
    <t xml:space="preserve">3.6 class; quantity and shore capacity unknown. Dimensions/mass from opened dealer data pending native drawing confirmation; no substitute of32A at115V for32A at230V. | 3.6 class; quantity and shore capacity unknown. Dimensions/mass from opened dealer data pending native drawing confirmation; no substitute of32A at115V for32A at230V. | Исключено: Исходные ограничения M03 сохранены | CONDITIONAL_UNIT_BENCHMARK_DIMENSIONS_DEALER</t>
  </si>
  <si>
    <t xml:space="preserve">https://www.svb24.com/en/p/victron-isolation-transformer-3600-w-115-230-v.html</t>
  </si>
  <si>
    <t xml:space="preserve">PK03-B-L01</t>
  </si>
  <si>
    <t xml:space="preserve">Victron MultiPlus-II GX 24/3000/70-32 PMP242306000</t>
  </si>
  <si>
    <t xml:space="preserve">EL-INV-B</t>
  </si>
  <si>
    <t xml:space="preserve">24 V; factory230 V;2400 W at25C/2200 W at40C;70 A. GX monitoring differs; two GX units not required by yacht specification. Current manual geometry differs from catalogue: confirm revision. | 24 V; factory230 V;2400 W at25C/2200 W at40C;70 A. GX monitoring differs; two GX units not required by yacht specification. Current manual geometry differs from catalogue: confirm revision. | Исключено: Исходные ограничения M03 сохранены | CONDITIONAL_3KVA_REFERENCE</t>
  </si>
  <si>
    <t xml:space="preserve">https://www.svb.de/de/victron-wechselrichter-ladegeraet-multiplus-ii-gx-24-v-3000-va-70-a.html</t>
  </si>
  <si>
    <t xml:space="preserve">PK03-B-L02</t>
  </si>
  <si>
    <t xml:space="preserve">Mastervolt Mass GI3.5 88000355</t>
  </si>
  <si>
    <t xml:space="preserve">EL-ISO-B</t>
  </si>
  <si>
    <t xml:space="preserve">3500 VA at230 V;16 A;HF technology;source IP23 supersedes dealer IP21. Not complete shore protection. | 3500 VA at230 V;16 A;HF technology;source IP23 supersedes dealer IP21. Not complete shore protection. | Исключено: Исходные ограничения M03 сохранены | CONDITIONAL_UNIT_BENCHMARK</t>
  </si>
  <si>
    <t xml:space="preserve">https://www.svb24.com/en/mastervolt-mass-gi-3-5-isolation-transformer-16-a-3-5-kw.html</t>
  </si>
  <si>
    <t xml:space="preserve">PK03-C-L01</t>
  </si>
  <si>
    <t xml:space="preserve">Mastervolt CombiMaster 24/3000-60 230V 35023000</t>
  </si>
  <si>
    <t xml:space="preserve">EL-INV-C</t>
  </si>
  <si>
    <t xml:space="preserve">24 V; factory230 V;3000 VA/2600 W at40C;60 A charger;25 A transfer versus32 A Victron. Parallel operation not qualified. | 24 V; factory230 V;3000 VA/2600 W at40C;60 A charger;25 A transfer versus32 A Victron. Parallel operation not qualified. | Исключено: Исходные ограничения M03 сохранены | CONDITIONAL_3KVA_NOT_EQUAL_W</t>
  </si>
  <si>
    <t xml:space="preserve">https://www.svb.de/de/mastervolt-wechselrichter-ladegeraet-combimaster-24-v-3000-va-60-a.html?question_sort=oldest</t>
  </si>
  <si>
    <t xml:space="preserve">PK03-C-L02</t>
  </si>
  <si>
    <t xml:space="preserve">PK04-A-L01</t>
  </si>
  <si>
    <t xml:space="preserve">ME-08</t>
  </si>
  <si>
    <t xml:space="preserve">Exide ER550 12V115Ah</t>
  </si>
  <si>
    <t xml:space="preserve">EL-BAT-A</t>
  </si>
  <si>
    <t xml:space="preserve">Flooded. Owner only said115 amperes; Ah and unit voltage unconfirmed. 6 physical units; no bank wiring/capacity inferred. Deposit extra. Dealer350mm/29kg differs from brochure. | Flooded. Owner only said115 amperes; Ah and unit voltage unconfirmed. 6 physical units; no bank wiring/capacity inferred. Deposit extra. Dealer350mm/29kg differs from brochure. | Исключено: Исходные ограничения M03 сохранены | CONDITIONAL_115AH12V_NOT_OWNER_APPROVED</t>
  </si>
  <si>
    <t xml:space="preserve">https://online-batterien.de/a/exide-er550-dual-versorgungsbatterie-starterbatterie-12v-115ah-550wh/400440</t>
  </si>
  <si>
    <t xml:space="preserve">PK04-A-L02</t>
  </si>
  <si>
    <t xml:space="preserve">ME-07</t>
  </si>
  <si>
    <t xml:space="preserve">Vetus SMF 125 Ah 12 V, стартерный кандидат</t>
  </si>
  <si>
    <t xml:space="preserve">EL-02</t>
  </si>
  <si>
    <t xml:space="preserve">Подстановка M09 вместо EL-OPEN-MAIN. Прежнее описание относится к старому SKU и сохранено в M03. | Одна физическая стартерная батарея. | Исключено: Крепление, кабели, зарядка, доставка перевозчиком. | Только условный 12 V кандидат. OEM двигателя должен подтвердить напряжение/CCA; не образует принятую 24 V схему. Паспорт VESMF125: 950 A EN.</t>
  </si>
  <si>
    <t xml:space="preserve">2026-09-15</t>
  </si>
  <si>
    <t xml:space="preserve">https://www.svb24.com/en/vetus-boat-battery-60-ah-to-230-ah.html</t>
  </si>
  <si>
    <t xml:space="preserve">PK04-A-L03</t>
  </si>
  <si>
    <t xml:space="preserve">ME-27</t>
  </si>
  <si>
    <t xml:space="preserve">Vetus SMF 70 Ah 12 V, генераторный кандидат</t>
  </si>
  <si>
    <t xml:space="preserve">EL-03</t>
  </si>
  <si>
    <t xml:space="preserve">Подстановка M09 вместо EL-OPEN-GEN. Прежнее описание относится к старому SKU и сохранено в M03. | Две физические батареи, цена за одну. | Исключено: Крепления, кабели, зарядка, доставка. | Условные 12 V / 640 A EN; соответствие двум выбранным генераторам открыто. Не добавлять сверх 6+2+1.</t>
  </si>
  <si>
    <t xml:space="preserve">PK04-A-L04</t>
  </si>
  <si>
    <t xml:space="preserve">ME-28</t>
  </si>
  <si>
    <t xml:space="preserve">Blue Sea HD remote battery switch 24 V</t>
  </si>
  <si>
    <t xml:space="preserve">EL-09</t>
  </si>
  <si>
    <t xml:space="preserve">ПРЕДВАРИТЕЛЬНЫЙ СЦЕНАРИЙ M09: условно три выключателя стартовых ветвей и один резервный; это не полная схема запуска от любого из девяти АКБ; не утверждённое количество закупки.</t>
  </si>
  <si>
    <t xml:space="preserve">Подстановка M09 вместо EL-REM-A. Прежнее описание относится к старому SKU и сохранено в M03. | Один дистанционный силовой выключатель с управлением 24 V. | Исключено: Полная схема резервного пуска, блокировка неисправной АКБ, кабели и пульт — состав проверить. | 24 V относится к управлению; не конвертирует 24 V в 12 V. Число аппаратов и ток/длительность пуска открыты. Ревизия OEM7702100 требует сопоставления SKU.</t>
  </si>
  <si>
    <t xml:space="preserve">https://www.svb24.com/en/blue-sea-hd-remote-battery-switch-24v.html</t>
  </si>
  <si>
    <t xml:space="preserve">PK04-B-L01</t>
  </si>
  <si>
    <t xml:space="preserve">Aquamot ALS12115 12V115Ah</t>
  </si>
  <si>
    <t xml:space="preserve">EL-BAT-B</t>
  </si>
  <si>
    <t xml:space="preserve">AGM dealer description; legacy manufacturer sheet includes GEL construction wording, chemistry/revision confirmation needed. Body height214mm total220mm; dealer header6.4kg rejected in favour33.7kg technical sheet. | AGM dealer description; legacy manufacturer sheet includes GEL construction wording, chemistry/revision confirmation needed. Body height214mm total220mm; dealer header6.4kg rejected in favour33.7kg technical sheet. | Исключено: Исходные ограничения M03 сохранены | CONDITIONAL_115AH12V_NOT_OWNER_APPROVED</t>
  </si>
  <si>
    <t xml:space="preserve">https://www.nothnagel-marine.de/product_info.php?info=p3857_aquamot---power-battery--dc-battery-als12115-12v-115ah-agm-deep-cycle-battery.html&amp;language=en</t>
  </si>
  <si>
    <t xml:space="preserve">PK04-B-L02</t>
  </si>
  <si>
    <t xml:space="preserve">PK04-B-L03</t>
  </si>
  <si>
    <t xml:space="preserve">PK04-B-L04</t>
  </si>
  <si>
    <t xml:space="preserve">PK04-C-L01</t>
  </si>
  <si>
    <t xml:space="preserve">Victron AGM Telecom115Ah M8 BAT412105164</t>
  </si>
  <si>
    <t xml:space="preserve">EL-BAT-C</t>
  </si>
  <si>
    <t xml:space="preserve">12 V AGM front terminal;6 units only if owner confirms115Ah12V. No12V housebus inferred. Open page21% supersedes search19%. | 12 V AGM front terminal;6 units only if owner confirms115Ah12V. No12V housebus inferred. Open page21% supersedes search19%. | Исключено: Исходные ограничения M03 сохранены | CONDITIONAL_115AH12V_NOT_OWNER_APPROVED</t>
  </si>
  <si>
    <t xml:space="preserve">https://ab-marineservice.com/product/12v-115ah-agm-telecom-batt-m8/</t>
  </si>
  <si>
    <t xml:space="preserve">PK04-C-L02</t>
  </si>
  <si>
    <t xml:space="preserve">PK04-C-L03</t>
  </si>
  <si>
    <t xml:space="preserve">PK04-C-L04</t>
  </si>
  <si>
    <t xml:space="preserve">PK05-A-L01</t>
  </si>
  <si>
    <t xml:space="preserve">ME-11</t>
  </si>
  <si>
    <t xml:space="preserve">CEM OSC-16.062.24 / OEM identity reconcile</t>
  </si>
  <si>
    <t xml:space="preserve">шт</t>
  </si>
  <si>
    <t xml:space="preserve">WC-DC-01</t>
  </si>
  <si>
    <t xml:space="preserve">24V20L accumulator; dealer50L/min max; source model mapping not proven. Common proposed test15L/min at2bar NOT verified. Do not add included tank again. | 24V20L accumulator; dealer50L/min max; source model mapping not proven. Common proposed test15L/min at2bar NOT verified. Do not add included tank again. | Исключено: Исходные ограничения M03 сохранены | WORKING_POINT_AND_OEM_ID_OPEN</t>
  </si>
  <si>
    <t xml:space="preserve">https://www.comptoirnautique.com/groupe-d-eau-a-pressostat/53022-cem-elettromeccanica-autoclave-cem-vase-expansion-inox-20l-24v-50-l-min.html</t>
  </si>
  <si>
    <t xml:space="preserve">PK05-A-L02</t>
  </si>
  <si>
    <t xml:space="preserve">ME-12</t>
  </si>
  <si>
    <t xml:space="preserve">CEM J-INOX/20X 230M</t>
  </si>
  <si>
    <t xml:space="preserve">WC-AC-01</t>
  </si>
  <si>
    <t xml:space="preserve">Official230V singlephase variant exists. Proposedcommon15L/min at2bar not accepted from maxflow.20L stainless tank included. No price borrowed from24V sibling. | Official230V singlephase variant exists. Proposedcommon15L/min at2bar not accepted from maxflow.20L stainless tank included. No price borrowed from24V sibling. | Исключено: Исходные ограничения M03 сохранены | RFQ_REQUIRED;220V_COMPATIBILITY_OPEN;WORKING_POINT_OPEN</t>
  </si>
  <si>
    <t xml:space="preserve">https://cempumps.com/wp-content/uploads/2024/10/Autoclavi_20L-20X.pdf</t>
  </si>
  <si>
    <t xml:space="preserve">PK05-B-L01</t>
  </si>
  <si>
    <t xml:space="preserve">Gianneschi EcoInox1 GE011 24V20L</t>
  </si>
  <si>
    <t xml:space="preserve">WC-DC-02</t>
  </si>
  <si>
    <t xml:space="preserve">45L/min max; common proposed15L/min at2bar needs curve. Includes20L tank/gauge/pressure switch; current OEM revision confirmation. | 45L/min max; common proposed15L/min at2bar needs curve. Includes20L tank/gauge/pressure switch; current OEM revision confirmation. | Исключено: Исходные ограничения M03 сохранены | WORKING_POINT_OPEN</t>
  </si>
  <si>
    <t xml:space="preserve">https://www.comptoirnautique.com/groupe-d-eau-hydrophore/22947-gianneschi-groupe-d-eau-ecoinox-1-avec-reservoir-20l-24v-45lmin-7024.html</t>
  </si>
  <si>
    <t xml:space="preserve">PK05-B-L02</t>
  </si>
  <si>
    <t xml:space="preserve">Gianneschi EcoInox2 GE017 230V20L</t>
  </si>
  <si>
    <t xml:space="preserve">WC-AC-02</t>
  </si>
  <si>
    <t xml:space="preserve">Open page1052.50HT supersedes search992.50. Dealer max55L/min conflicts Kent45: curves required.0.45kW/20L; common15L/min at2bar not verified. | Open page1052.50HT supersedes search992.50. Dealer max55L/min conflicts Kent45: curves required.0.45kW/20L; common15L/min at2bar not verified. | Исключено: Исходные ограничения M03 сохранены | 220V_COMPATIBILITY_OPEN;WORKING_POINT_OPEN</t>
  </si>
  <si>
    <t xml:space="preserve">https://www.tyboat.com/achat/P-57388-gianneschi-groupe-d-eau-ecoinox2-3-5-bars-0-45-kw-55-litres-minute-reservoir-20-litres-230-volts.html</t>
  </si>
  <si>
    <t xml:space="preserve">PK05-C-L01</t>
  </si>
  <si>
    <t xml:space="preserve">ENAG GH24-0.37-24L-OT RB18-ED</t>
  </si>
  <si>
    <t xml:space="preserve">WC-DC-03</t>
  </si>
  <si>
    <t xml:space="preserve">Official24V/0.37kW; 1m3/h at30m published point; pressure switch1.5/2.5bar.24L tank differs20L competitors: standardise accumulator scope before comparison. Dimensions drawing orientation not mapped into LWH. | Official24V/0.37kW; 1m3/h at30m published point; pressure switch1.5/2.5bar.24L tank differs20L competitors: standardise accumulator scope before comparison. Dimensions drawing orientation not mapped into LWH. | Исключено: Исходные ограничения M03 сохранены | RFQ_REQUIRED;WORKING_POINT_OPEN</t>
  </si>
  <si>
    <t xml:space="preserve">https://www.enag.fr/english/wp-content/uploads/sites/5/2022/11/FC-GH-EN-C.pdf</t>
  </si>
  <si>
    <t xml:space="preserve">PK05-C-L02</t>
  </si>
  <si>
    <t xml:space="preserve">ENAG GH230mono-0.37-24L-JET M-ED</t>
  </si>
  <si>
    <t xml:space="preserve">WC-AC-03</t>
  </si>
  <si>
    <t xml:space="preserve">Explicit230V singlephase; official1m3/h at40m, pressure switch1.5/2.5bar.24L accumulator vs20L needs standardisation; no equivalence claim. | Explicit230V singlephase; official1m3/h at40m, pressure switch1.5/2.5bar.24L accumulator vs20L needs standardisation; no equivalence claim. | Исключено: Исходные ограничения M03 сохранены | RFQ_REQUIRED;220V_COMPATIBILITY_OPEN;WORKING_POINT_OPEN</t>
  </si>
  <si>
    <t xml:space="preserve">PK06-A-L01</t>
  </si>
  <si>
    <t xml:space="preserve">ME-13</t>
  </si>
  <si>
    <t xml:space="preserve">Aquatec AC150 230V single phase</t>
  </si>
  <si>
    <t xml:space="preserve">WC-RO-01</t>
  </si>
  <si>
    <t xml:space="preserve">150 L/h nominal ±10% at25C/35000ppm; modular conventional HP pump; base price only: automatic flush/salinity/reject parity must be itemised; generator minimum4kW manufacturer target, not electrical demand or selection | 150 L/h nominal ±10% at25C/35000ppm; modular conventional HP pump; base price only: automatic flush/salinity/reject parity must be itemised; generator minimum4kW manufacturer target, not electrical demand or selection | Исключено: Исходные ограничения M03 сохранены | FUNCTION_PARITY_OPEN;220V_COMPATIBILITY_OPEN</t>
  </si>
  <si>
    <t xml:space="preserve">https://www.aquatec-watermaker.de/wassermacher-produkt-ac150-ac240.html</t>
  </si>
  <si>
    <t xml:space="preserve">PK06-B-L01</t>
  </si>
  <si>
    <t xml:space="preserve">Schenker ZEN150 24V/230V Touch plus salinity/reject</t>
  </si>
  <si>
    <t xml:space="preserve">WC-RO-02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</si>
  <si>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 | Observed FROM base price; net is FROM benchmark only, NOT complete Touch/salinity/reject price. Nominal150L/h. Manufacturer230V±15% includes220V. Basic has no salinity; Touch optional; 24V variant permitted. Modular unit dimensions not total installed envelope. | Исключено: Исходные ограничения M03 сохранены | FROM_PRICE_NOT_CONFIGURED;RFQ_REQUIRED</t>
  </si>
  <si>
    <t xml:space="preserve">https://mar-nautic.com/schenker-watermaker-zen-150</t>
  </si>
  <si>
    <t xml:space="preserve">PK06-C-L01</t>
  </si>
  <si>
    <t xml:space="preserve">Osmosea NEW12 150C 24V</t>
  </si>
  <si>
    <t xml:space="preserve">WC-RO-03</t>
  </si>
  <si>
    <t xml:space="preserve">Official150L/h/600W; flush/salinometer/unsafe-water discard included. Official63kg conflicts dealer65kg; dimensions dealer796x317x408 not official therefore blank. Dealer install/service kits included vs manufacturer optional: reconcile | Official150L/h/600W; flush/salinometer/unsafe-water discard included. Official63kg conflicts dealer65kg; dimensions dealer796x317x408 not official therefore blank. Dealer install/service kits included vs manufacturer optional: reconcile | Исключено: Исходные ограничения M03 сохранены | RFQ_REQUIRED;COMPACT_CANDIDATE</t>
  </si>
  <si>
    <t xml:space="preserve">https://www.manelservice.com/en/marine-desalination-systems/17102-osmosea-new12-150c-nautical-watermaker-150-lth.html</t>
  </si>
  <si>
    <t xml:space="preserve">PK07-A-L01</t>
  </si>
  <si>
    <t xml:space="preserve">ME-14</t>
  </si>
  <si>
    <t xml:space="preserve">Quick B3 40L1200W FLB34012S000A00</t>
  </si>
  <si>
    <t xml:space="preserve">WC-HW-01</t>
  </si>
  <si>
    <t xml:space="preserve">ПРЕДВАРИТЕЛЬНЫЙ СЦЕНАРИЙ M09: один бойлер; потребность ГВС не рассчитана; не утверждённое количество закупки.</t>
  </si>
  <si>
    <t xml:space="preserve">40L1200W220V plus engine heat exchanger common illustrative class; not owner size. Supplier dimensions/mass in research only pending official drawing. Thermostatic mixing equalise separately. | 40L1200W220V plus engine heat exchanger common illustrative class; not owner size. Supplier dimensions/mass in research only pending official drawing. Thermostatic mixing equalise separately. | Исключено: Исходные ограничения M03 сохранены | UNIT_BENCHMARK_ONLY;QTY_OPEN</t>
  </si>
  <si>
    <t xml:space="preserve">https://www.tyboat.com/achat/P-8889-quick-chauffe-eau-cylindrique-b3-40-litres-220-volts-1200-watts.html</t>
  </si>
  <si>
    <t xml:space="preserve">PK07-B-L01</t>
  </si>
  <si>
    <t xml:space="preserve">Quick BX40 1200W</t>
  </si>
  <si>
    <t xml:space="preserve">M09-M-01</t>
  </si>
  <si>
    <t xml:space="preserve">Подстановка M09 вместо WC-HW-02. Прежнее описание относится к старому SKU и сохранено в M03. | Бойлер40л,220V1200W, теплообменник, опоры | Исключено: Смесительный клапан, разводка, монтаж | Повтор цены M07, не дополнительный бойлер. Объём40л иллюстративный; потребление/доступ OPEN.</t>
  </si>
  <si>
    <t xml:space="preserve">https://www.tyboat.com/achat/P-8880-quick-chauffe-eau-cylindrique-bx-40-litres-220-volts-1200-watts.html</t>
  </si>
  <si>
    <t xml:space="preserve">PK07-C-L01</t>
  </si>
  <si>
    <t xml:space="preserve">Quick BXS 40L1200W FLBXS4012S00A00</t>
  </si>
  <si>
    <t xml:space="preserve">WC-HW-03</t>
  </si>
  <si>
    <t xml:space="preserve">https://www.tyboat.com/achat/P-18237-quick-chauffe-eau-cube-inox-bxs-40-litres-220-volts-1200-watts.html</t>
  </si>
  <si>
    <t xml:space="preserve">PK08-A-L01</t>
  </si>
  <si>
    <t xml:space="preserve">ME-15</t>
  </si>
  <si>
    <t xml:space="preserve">Thermowell UC16H</t>
  </si>
  <si>
    <t xml:space="preserve">WC-CH-01</t>
  </si>
  <si>
    <t xml:space="preserve"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 | 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 | Исключено: Исходные ограничения M03 сохранены | REFERENCE_SIZE_ONLY;VOLTAGE_REVISION_CHECK;SUPPLY_SCOPE_CONFLICT_RFQ</t>
  </si>
  <si>
    <t xml:space="preserve">https://www.esconet.fi/shop/uc16h-thermowell-uc16h-ilmastointilaite-chiller-230v-16000btu-27518</t>
  </si>
  <si>
    <t xml:space="preserve">PK08-A-L02</t>
  </si>
  <si>
    <t xml:space="preserve">ME-16</t>
  </si>
  <si>
    <t xml:space="preserve">Frigomar NH150PS230V</t>
  </si>
  <si>
    <t xml:space="preserve">M09-M-02</t>
  </si>
  <si>
    <t xml:space="preserve">ПРЕДВАРИТЕЛЬНЫЙ СЦЕНАРИЙ M09: по одному насосу охлаждения на каждый из двух климатических модулей; гидравлический расчёт открыт; не утверждённое количество закупки.</t>
  </si>
  <si>
    <t xml:space="preserve">Подстановка M09 вместо WC-AUX-01. Прежнее описание относится к старому SKU и сохранено в M03. | Магнитный насос NH150PS230V50/60Hz | Исключено: Арматура, шланги, управление, монтаж | Повтор M07. Назначение на контур забортной/охлаждённой воды, требуемая рабочая точка и ACдопуск OPEN; не два контура одним насосом.</t>
  </si>
  <si>
    <t xml:space="preserve">https://www.comptoirnautique.com/climatisation-bateau/91819-frigomar-pompes-a-entrainement-magnetique.html</t>
  </si>
  <si>
    <t xml:space="preserve">PK08-B-L01</t>
  </si>
  <si>
    <t xml:space="preserve">Climma CWS Aquacontrol161RC 230/1/50</t>
  </si>
  <si>
    <t xml:space="preserve">WC-CH-02</t>
  </si>
  <si>
    <t xml:space="preserve">16000BTU/h each; reversecycle. Price recovered live requests HTTP200 after web429; local source text retained. OEM dimensions require authenticated download; old dealerPDF not promoted. | 16000BTU/h each; reversecycle. Price recovered live requests HTTP200 after web429; local source text retained. OEM dimensions require authenticated download; old dealerPDF not promoted. | Исключено: Исходные ограничения M03 сохранены | REFERENCE_SIZE_ONLY;220V_COMPATIBILITY_OPEN</t>
  </si>
  <si>
    <t xml:space="preserve">https://mdislandsupply.com/en/climma/879-cws-aquacontrol-161-rc-230150-climma.html</t>
  </si>
  <si>
    <t xml:space="preserve">PK08-B-L02</t>
  </si>
  <si>
    <t xml:space="preserve">PK08-C-L01</t>
  </si>
  <si>
    <t xml:space="preserve">Webasto BlueCool C16M</t>
  </si>
  <si>
    <t xml:space="preserve">WC-CH-03</t>
  </si>
  <si>
    <t xml:space="preserve">16000BTU/h each; officialcurrentdimensions. Older F-suffix dealerweight differs: revision match required.3pricepaths found no verified EU net exactSKU; no US price conversion. | 16000BTU/h each; officialcurrentdimensions. Older F-suffix dealerweight differs: revision match required.3pricepaths found no verified EU net exactSKU; no US price conversion. | Исключено: Исходные ограничения M03 сохранены | RFQ_REQUIRED;REFERENCE_SIZE_ONLY;220V_COMPATIBILITY_OPEN</t>
  </si>
  <si>
    <t xml:space="preserve">https://www.nauticsale.com/en/airconditioning/bluecool-chiller-systems/bluecool-c-series-chillers/</t>
  </si>
  <si>
    <t xml:space="preserve">PK08-C-L02</t>
  </si>
  <si>
    <t xml:space="preserve">PK09-A-L01</t>
  </si>
  <si>
    <t xml:space="preserve">ME-18</t>
  </si>
  <si>
    <t xml:space="preserve">Racor дуплексный фильтр30мкм</t>
  </si>
  <si>
    <t xml:space="preserve">M09-M-04</t>
  </si>
  <si>
    <t xml:space="preserve">ПРЕДВАРИТЕЛЬНЫЙ СЦЕНАРИЙ M09: одна внешняя фильтрующая ветвь главного двигателя; генерирующие ветви раскрыты отдельно; не утверждённое количество закупки.</t>
  </si>
  <si>
    <t xml:space="preserve">Подстановка M09 вместо A09. Прежнее описание относится к старому SKU и сохранено в M03. | Два корпуса,4ходовойклапан,кронштейн,30мкмэлементы | Исключено: Трубопроводы,фитинги,монтаж,первичнаяпрокачка | Повтор M07;2корпуса — один дуплексный узел. Расход одной активной ветви и OEMмикроны подтвердить;не умножать на3машиныавтоматически.</t>
  </si>
  <si>
    <t xml:space="preserve">https://racorshop.de/product/racor-75500maxm30-turbine-filter-marine/</t>
  </si>
  <si>
    <t xml:space="preserve">PK09-A-L02</t>
  </si>
  <si>
    <t xml:space="preserve">ME-19</t>
  </si>
  <si>
    <t xml:space="preserve">Vetus FTR330/32</t>
  </si>
  <si>
    <t xml:space="preserve">A10</t>
  </si>
  <si>
    <t xml:space="preserve">Типоразмер32мм только ориентир; диаметр и положение относительно ватерлинии по выбранному агрегату. | Типоразмер32мм только ориентир; диаметр и положение относительно ватерлинии по выбранному агрегату. | Исключено: Исходные ограничения M03 сохранены | UNIT_BENCHMARK_TECH_OPEN</t>
  </si>
  <si>
    <t xml:space="preserve">https://www.vetus-shop.com/vetus-raw-water-strainer-type-330-and21632mm-p-1026.html</t>
  </si>
  <si>
    <t xml:space="preserve">PK09-A-L03</t>
  </si>
  <si>
    <t xml:space="preserve">ME-22</t>
  </si>
  <si>
    <t xml:space="preserve">Ocean Technologies blower / 24 V / 1000 m³/h</t>
  </si>
  <si>
    <t xml:space="preserve">AX04</t>
  </si>
  <si>
    <t xml:space="preserve">ПРЕДВАРИТЕЛЬНЫЙ СЦЕНАРИЙ M09: один приточный и один вытяжной вентилятор; расход не суммировать как удвоенный расход МО; не утверждённое количество закупки.</t>
  </si>
  <si>
    <t xml:space="preserve">Подстановка M09 вместо A15. Прежнее описание относится к старому SKU и сохранено в M03. | Вентилятор 24 V. | Исключено: Воздуховоды, решётки, шумоглушение, противопожарное перекрытие и останов, питание, монтаж. | 24 V; 1000 м³/ч — каталожный расход, не подтверждённый расход сети. Нужен баланс воздуха двигателя и двух генераторов.</t>
  </si>
  <si>
    <t xml:space="preserve">https://www.svb24.com/en/ocean-technologies-engine-compartment-blower-24-v-1000-m3-hour-150-mm-flex-mount.html</t>
  </si>
  <si>
    <t xml:space="preserve">PK09-A-L04</t>
  </si>
  <si>
    <t xml:space="preserve">ME-23</t>
  </si>
  <si>
    <t xml:space="preserve">Marco UP3 Oil Change Pump / 24 V</t>
  </si>
  <si>
    <t xml:space="preserve">AX05</t>
  </si>
  <si>
    <t xml:space="preserve">ПРЕДВАРИТЕЛЬНЫЙ СЦЕНАРИЙ M09: один компонент соответствующей функции; состав и производительность уточняются; не утверждённое количество закупки.</t>
  </si>
  <si>
    <t xml:space="preserve">Подстановка M09 вместо A16. Прежнее описание относится к старому SKU и сохранено в M03. | Насос и две трубки 6/8 мм длиной 80 см. | Исключено: Стационарный коллектор двигателя/двух генераторов/редуктора, запорная арматура, длинные шланги, ёмкость отработки, защиты, монтаж. | 24 V вариант: именно 168.03, не стартовая цена 12 V 166.34. Масло предварительно прогреть по карточке; вязкость и точки отбора уточнить.</t>
  </si>
  <si>
    <t xml:space="preserve">https://www.svb24.com/en/marco-up3-electric-oil-change-pump.html</t>
  </si>
  <si>
    <t xml:space="preserve">PK09-B-L01</t>
  </si>
  <si>
    <t xml:space="preserve">PK09-B-L02</t>
  </si>
  <si>
    <t xml:space="preserve">Vetus330 heavy-duty32мм</t>
  </si>
  <si>
    <t xml:space="preserve">M09-M-11</t>
  </si>
  <si>
    <t xml:space="preserve">Подстановка M09 вместо A11. Прежнее описание относится к старому SKU и сохранено в M03. | Фильтр забортной воды32мм, металлическаякрышка | Исключено: Кингстон,шланги,хомуты,монтаж | ПовторM07;не добавлять ккомплекту уже содержащему фильтр.Подобратьрасходиустановочныйуровень.</t>
  </si>
  <si>
    <t xml:space="preserve">https://www.mediawinkel.eu/nl/heavy-duty-waterfilter-32-mm.html</t>
  </si>
  <si>
    <t xml:space="preserve">PK09-B-L03</t>
  </si>
  <si>
    <t xml:space="preserve">PK09-B-L04</t>
  </si>
  <si>
    <t xml:space="preserve">PK09-C-L01</t>
  </si>
  <si>
    <t xml:space="preserve">PK09-C-L02</t>
  </si>
  <si>
    <t xml:space="preserve">PK09-C-L03</t>
  </si>
  <si>
    <t xml:space="preserve">PK09-C-L04</t>
  </si>
  <si>
    <t xml:space="preserve">PK10-A-L01</t>
  </si>
  <si>
    <t xml:space="preserve">ME-20</t>
  </si>
  <si>
    <t xml:space="preserve">Rule 2000 / 24 V</t>
  </si>
  <si>
    <t xml:space="preserve">AX01</t>
  </si>
  <si>
    <t xml:space="preserve">ПРЕДВАРИТЕЛЬНЫЙ СЦЕНАРИЙ M09: два местных поста осушения/сигнализации МО; не расчёт общей аварийной системы яхты; не утверждённое количество закупки.</t>
  </si>
  <si>
    <t xml:space="preserve">Подстановка M09 вместо A12. Прежнее описание относится к старому SKU и сохранено в M03. | Погружная осушительная помпа. | Исключено: Поплавок, независимая аварийная сигнализация, щит, проводка, шланги, арматура, монтаж. | 24 V; максимум 129 л/мин без подтверждения рабочего напора. Не доказана достаточность аварийного осушения VDS67.</t>
  </si>
  <si>
    <t xml:space="preserve">https://www.svb24.com/en/rule-heavy-duty-bilge-pump-2000-24v.html</t>
  </si>
  <si>
    <t xml:space="preserve">PK10-A-L02</t>
  </si>
  <si>
    <t xml:space="preserve">Whale Gusher Urchin BP9005</t>
  </si>
  <si>
    <t xml:space="preserve">AX02</t>
  </si>
  <si>
    <t xml:space="preserve">Подстановка M09 вместо A13. Прежнее описание относится к старому SKU и сохранено в M03. | Ручная помпа указанного исполнения. | Исключено: Шланги, приёмники, арматура и монтаж. | Ручная. Компактный ценовой ориентир; не утверждена как главная аварийная помпа яхты 67 ft.</t>
  </si>
  <si>
    <t xml:space="preserve">https://www.svb24.com/en/whale-gusher-urchin-manual-bilge-pump-type-bp-9005.html</t>
  </si>
  <si>
    <t xml:space="preserve">PK10-A-L03</t>
  </si>
  <si>
    <t xml:space="preserve">Johnson Bilge Alert / 24 V</t>
  </si>
  <si>
    <t xml:space="preserve">AX08</t>
  </si>
  <si>
    <t xml:space="preserve">Подстановка M09 вместо A14. Прежнее описание относится к старому SKU и сохранено в M03. | Датчик высокого уровня, звуковая/световая сигнализация и органы тестирования по карточке. | Исключено: Многозонная интеграция, независимое питание, проводка, помпы и монтаж. | 24 V вариант 97.44; 92.40 относится к 12 V. Сигнализацию не считать второй помпой или всей судовой автоматикой.</t>
  </si>
  <si>
    <t xml:space="preserve">https://www.svb24.com/en/johnson-pump-bilge-alert-high-water-alarm-with-ultima-switch.html</t>
  </si>
  <si>
    <t xml:space="preserve">PK10-A-L04</t>
  </si>
  <si>
    <t xml:space="preserve">ME-21</t>
  </si>
  <si>
    <t xml:space="preserve">Fireboy MA / 26.8 kg / 31.1 m³</t>
  </si>
  <si>
    <t xml:space="preserve">AX14</t>
  </si>
  <si>
    <t xml:space="preserve">ПРЕДВАРИТЕЛЬНЫЙ СЦЕНАРИЙ M09: один ценовой аналог баллона 31.1 м³; объём около 29.6 м³ G03 не доказывает достаточность заряда, нужна проверка проекта и изготовителя; не утверждённое количество закупки.</t>
  </si>
  <si>
    <t xml:space="preserve">Подстановка M09 вместо A20. Прежнее описание относится к старому SKU и сохранено в M03. | Баллон указанного исполнения; состав крепления и индикации подтвердить в КП. | Исключено: Трос ручного пуска, shutdown-контроллер, проводка, исполнительные клапаны/заслонки, монтаж и приёмка. | 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</si>
  <si>
    <t xml:space="preserve">https://www.nauticabasile.it/eng/osculati/fixed-fireboy-fire-extinguishers-with-clean-agent-and-manualautomatic-activation-46870/31.610.31/</t>
  </si>
  <si>
    <t xml:space="preserve">PK10-B-L01</t>
  </si>
  <si>
    <t xml:space="preserve">PK10-B-L02</t>
  </si>
  <si>
    <t xml:space="preserve">PK10-B-L03</t>
  </si>
  <si>
    <t xml:space="preserve">PK10-B-L04</t>
  </si>
  <si>
    <t xml:space="preserve">PK10-C-L01</t>
  </si>
  <si>
    <t xml:space="preserve">PK10-C-L02</t>
  </si>
  <si>
    <t xml:space="preserve">PK10-C-L03</t>
  </si>
  <si>
    <t xml:space="preserve">PK10-C-L04</t>
  </si>
  <si>
    <t xml:space="preserve">PK11-A-L01</t>
  </si>
  <si>
    <t xml:space="preserve">ME-24</t>
  </si>
  <si>
    <t xml:space="preserve">Vetus SENSOR320</t>
  </si>
  <si>
    <t xml:space="preserve">A17</t>
  </si>
  <si>
    <t xml:space="preserve">ПРЕДВАРИТЕЛЬНЫЙ СЦЕНАРИЙ M09: историческая spec-matrix: два топливных, два пресной воды, один сточный танк; наличие, глубины и пригодность датчиков ещё не проверены; не утверждённое количество закупки.</t>
  </si>
  <si>
    <t xml:space="preserve">Длина320мм исследовательская; не утверждена глубина/число танков. Цена связанного товара, отдельный индикатор не включён. | Длина320мм исследовательская; не утверждена глубина/число танков. Цена связанного товара, отдельный индикатор не включён. | Исключено: Исходные ограничения M03 сохранены | UNIT_BENCHMARK_TECH_OPEN</t>
  </si>
  <si>
    <t xml:space="preserve">https://www.vetus-shop.com/vetus-fuel-tank-quickfit-diesel-40-litre-8mm-p-1786.html</t>
  </si>
  <si>
    <t xml:space="preserve">PK11-A-L02</t>
  </si>
  <si>
    <t xml:space="preserve">ME-25</t>
  </si>
  <si>
    <t xml:space="preserve">Jabsco Type 12GPM waste water pump / 24 V</t>
  </si>
  <si>
    <t xml:space="preserve">AX06</t>
  </si>
  <si>
    <t xml:space="preserve">Подстановка M09 вместо A19. Прежнее описание относится к старому SKU и сохранено в M03. | Насос macerator. | Исключено: Санприборы, танки, трубопроводы, арматура, управление, монтаж. | 24 V. Проверить отсутствие повторного счёта насоса, включённого в сансистему; схема и допустимый сброс открыты.</t>
  </si>
  <si>
    <t xml:space="preserve">https://www.svb24.com/en/jabsco-type-12gpm-waste-water-pump-24v.html</t>
  </si>
  <si>
    <t xml:space="preserve">PK11-B-L01</t>
  </si>
  <si>
    <t xml:space="preserve">Vetus SENSORA</t>
  </si>
  <si>
    <t xml:space="preserve">A18</t>
  </si>
  <si>
    <t xml:space="preserve">Ультразвуковой аналоговый датчик; работа в конкретном танке и интерфейс подлежат проверке. Не цена танка. | Ультразвуковой аналоговый датчик; работа в конкретном танке и интерфейс подлежат проверке. Не цена танка. | Исключено: Исходные ограничения M03 сохранены | UNIT_BENCHMARK_TECH_OPEN</t>
  </si>
  <si>
    <t xml:space="preserve">PK11-B-L02</t>
  </si>
  <si>
    <t xml:space="preserve">PK11-C-L01</t>
  </si>
  <si>
    <t xml:space="preserve">PK11-C-L02</t>
  </si>
  <si>
    <t xml:space="preserve">M09-SHAFT-A</t>
  </si>
  <si>
    <t xml:space="preserve">ME-03</t>
  </si>
  <si>
    <t xml:space="preserve">PSS уплотнениевала50мм</t>
  </si>
  <si>
    <t xml:space="preserve">M09-M-17</t>
  </si>
  <si>
    <t xml:space="preserve">ПРЕДВАРИТЕЛЬНЫЙ СЦЕНАРИЙ M09: одна валовая линия, 50 мм только ценовой типоразмер</t>
  </si>
  <si>
    <t xml:space="preserve">Уплотнение не включает вал, муфту, упорный узел, кронштейны и выверку. Диаметр и допустимый режим открыты. | УплотнениеPSSдлявала50мм,дейдвуд83–86мм | Исключено: Вал,дейдвуд,подача/вентиляцияводы,монтаж | Ценовойаналогдиаметра50мм,диаметрнеутверждён;геометриядейдвудаиусловияохлажденияOPEN.Одноуплотнениенаодинвалпредварительно.</t>
  </si>
  <si>
    <t xml:space="preserve">https://www.svb24.com/en/pss-shaft-seal-for-50-mm-shaft.html</t>
  </si>
  <si>
    <t xml:space="preserve">M09-SHAFT-B</t>
  </si>
  <si>
    <t xml:space="preserve">M09-SHAFT-C</t>
  </si>
  <si>
    <t xml:space="preserve">M09-WATER-INV-A</t>
  </si>
  <si>
    <t xml:space="preserve">ME-06</t>
  </si>
  <si>
    <t xml:space="preserve">Victron Phoenix 24/1200 VE.Direct Schuko</t>
  </si>
  <si>
    <t xml:space="preserve">EL-01</t>
  </si>
  <si>
    <t xml:space="preserve">ПРЕДВАРИТЕЛЬНЫЙ СЦЕНАРИЙ M09: один независимый канал AC питания воды</t>
  </si>
  <si>
    <t xml:space="preserve">Пусковой ток насоса и независимость канала не проверены. Gross без выделения налога. Доставка продавца в Польшу не подтверждена. | Один инвертор 24 VDC / 230 VAC. | Исключено: Кабели, защита, переключение, монтаж; не включает насос. CGV: обычная доставка FR/BE; Польша по отдельному согласованию, расходы неизвестны. | Условный класс 1200 VA, пуск выбранного насоса не проверен. Отдельный канал не заменяет два основных инвертора.</t>
  </si>
  <si>
    <t xml:space="preserve">https://www.mon-camping-car.com/convertisseur-24v-230v-phoenix-1200va-ve-direct-pur-sinus-victron.html</t>
  </si>
  <si>
    <t xml:space="preserve">M09-WATER-INV-B</t>
  </si>
  <si>
    <t xml:space="preserve">M09-WATER-INV-C</t>
  </si>
  <si>
    <t xml:space="preserve">M09-DC-PANEL-A</t>
  </si>
  <si>
    <t xml:space="preserve">ME-10</t>
  </si>
  <si>
    <t xml:space="preserve">Philippi STV207 DC distribution panel</t>
  </si>
  <si>
    <t xml:space="preserve">EL-06</t>
  </si>
  <si>
    <t xml:space="preserve">ПРЕДВАРИТЕЛЬНЫЙ СЦЕНАРИЙ M09: один образец распределительного DC щита</t>
  </si>
  <si>
    <t xml:space="preserve">Ценовая часть щита 24 V; число цепей и весь состав не определены. | 7 переключателей и тепловых автоматов, стандартно 10 A. | Исключено: Остальные цепи, силовые шины, кабели, общий шкаф и монтаж. | 12/24 V аппарат применим как кандидат для 24 V DC. Число цепей/номиналы по схеме; не весь DC щит яхты.</t>
  </si>
  <si>
    <t xml:space="preserve">https://www.svb24.com/en/philippi-stv207-power-distribution-panel-configurable.html</t>
  </si>
  <si>
    <t xml:space="preserve">M09-DC-PANEL-B</t>
  </si>
  <si>
    <t xml:space="preserve">M09-DC-PANEL-C</t>
  </si>
  <si>
    <t xml:space="preserve">M09-AC-PANEL-A</t>
  </si>
  <si>
    <t xml:space="preserve">Philippi LAE113 shore connection unit</t>
  </si>
  <si>
    <t xml:space="preserve">EL-07</t>
  </si>
  <si>
    <t xml:space="preserve">ПРЕДВАРИТЕЛЬНЫЙ СЦЕНАРИЙ M09: один береговой AC ввод с защитой</t>
  </si>
  <si>
    <t xml:space="preserve">Не весь щит AC и не переключение двух генераторов/инверторов/берега. | Береговой блок 230 V: RCCB, главный выключатель, индикатор, розетка и две линии 10 A. | Исключено: Полное AC распределение, береговой ввод/шнур, переключение двух генераторов/инверторов. | Частичный AC блок, не законченный главный щит; не дублировать его встроенные автоматы отдельными строками.</t>
  </si>
  <si>
    <t xml:space="preserve">https://www.svb24.com/en/philippi-lae-113-shore-connection-unit.html</t>
  </si>
  <si>
    <t xml:space="preserve">M09-AC-PANEL-B</t>
  </si>
  <si>
    <t xml:space="preserve">M09-AC-PANEL-C</t>
  </si>
  <si>
    <t xml:space="preserve">M09-SHORE-IN-A</t>
  </si>
  <si>
    <t xml:space="preserve">CEE Shore Power Inlet 16 A 230 V male</t>
  </si>
  <si>
    <t xml:space="preserve">EL-11</t>
  </si>
  <si>
    <t xml:space="preserve">ПРЕДВАРИТЕЛЬНЫЙ СЦЕНАРИЙ M09: один береговой разъём 16 A</t>
  </si>
  <si>
    <t xml:space="preserve">Ток и количество вводов уточняются; разъём не дублирует защитный блок. | Один береговой ввод, без кабеля и распределения. | Исключено: Кабели, держатель/сопряжённые детали, схема, монтаж и остальная система. | 16 A — условный ценовой класс; требуемая береговая мощность неизвестна.</t>
  </si>
  <si>
    <t xml:space="preserve">https://www.svb24.com/en/cee-shore-power-inlet-16-a-230-v-male.html</t>
  </si>
  <si>
    <t xml:space="preserve">M09-SHORE-IN-B</t>
  </si>
  <si>
    <t xml:space="preserve">M09-SHORE-IN-C</t>
  </si>
  <si>
    <t xml:space="preserve">M09-FUSE-HOLDER-A</t>
  </si>
  <si>
    <t xml:space="preserve">MEGA fuse holder in-line</t>
  </si>
  <si>
    <t xml:space="preserve">EL-08</t>
  </si>
  <si>
    <t xml:space="preserve">ПРЕДВАРИТЕЛЬНЫЙ СЦЕНАРИЙ M09: количество определится схемой цепей</t>
  </si>
  <si>
    <t xml:space="preserve">Цена за один держатель, не вся силовая защита. | Один держатель MEGA. | Исключено: Предохранитель, наконечники, кабели, коробка, монтаж. | 24 V кандидат; сечение, отключающая способность и ток выбранного предохранителя открыты.</t>
  </si>
  <si>
    <t xml:space="preserve">https://www.svb24.com/en/mega-fuse-holder-in-line.html</t>
  </si>
  <si>
    <t xml:space="preserve">M09-FUSE-HOLDER-B</t>
  </si>
  <si>
    <t xml:space="preserve">M09-FUSE-HOLDER-C</t>
  </si>
  <si>
    <t xml:space="preserve">M09-FUSE-PACK-A</t>
  </si>
  <si>
    <t xml:space="preserve">MEGA fuse 60 A, pack of 5</t>
  </si>
  <si>
    <t xml:space="preserve">pack_5</t>
  </si>
  <si>
    <t xml:space="preserve">EL-12</t>
  </si>
  <si>
    <t xml:space="preserve">ПРЕДВАРИТЕЛЬНЫЙ СЦЕНАРИЙ M09: количество упаковок и номиналы открыты</t>
  </si>
  <si>
    <t xml:space="preserve">Цена за упаковку из 5 предохранителей 60 A; не считать упаковку одним предохранителем. | Упаковка из пяти предохранителей. | Исключено: Кабели, держатель/сопряжённые детали, схема, монтаж и остальная система. | 60 A — только ценовой ориентир, не назначение защиты пусковой/инверторной линии; требуется расчёт тока и отключающей способности.</t>
  </si>
  <si>
    <t xml:space="preserve">https://www.svb24.com/en/mega-fuses-pack-of-5.html</t>
  </si>
  <si>
    <t xml:space="preserve">M09-FUSE-PACK-B</t>
  </si>
  <si>
    <t xml:space="preserve">M09-FUSE-PACK-C</t>
  </si>
  <si>
    <t xml:space="preserve">M09-MIX-A</t>
  </si>
  <si>
    <t xml:space="preserve">ME-17</t>
  </si>
  <si>
    <t xml:space="preserve">Смесительный термоклапан</t>
  </si>
  <si>
    <t xml:space="preserve">M09-M-06</t>
  </si>
  <si>
    <t xml:space="preserve">ПРЕДВАРИТЕЛЬНЫЙ СЦЕНАРИЙ M09: один смесительный клапан ГВС</t>
  </si>
  <si>
    <t xml:space="preserve">Условный состав с Quick; исключить, если клапан уже входит в выбранный бойлер. | Клапан1/2дюйма дляQuickNAUTIC/B3 и ATI | Исключено: Принадлежности на фото не включены; фитинги и монтаж | Вариант кQuick; не добавлять кбойлеру с уже включённым смесителем.</t>
  </si>
  <si>
    <t xml:space="preserve">https://www.svb24.com/en/p/thermostat-mixing-valve.html</t>
  </si>
  <si>
    <t xml:space="preserve">M09-MIX-B</t>
  </si>
  <si>
    <t xml:space="preserve">M09-MIX-C</t>
  </si>
  <si>
    <t xml:space="preserve">M09-WATER-FILTER-A</t>
  </si>
  <si>
    <t xml:space="preserve">Угольный проточный фильтр</t>
  </si>
  <si>
    <t xml:space="preserve">M09-M-08</t>
  </si>
  <si>
    <t xml:space="preserve">ПРЕДВАРИТЕЛЬНЫЙ СЦЕНАРИЙ M09: один фильтр отдельной точки/заполнения; магистральная фильтрация OPEN</t>
  </si>
  <si>
    <t xml:space="preserve">До 200 л/ч (3.33 л/мин), не общий магистральный фильтр для рабочей точки 15 л/мин; полная фильтрация требует подбора. | Одноразовый угольный фильтр1/4дюйма,7000лпаспортныйресурс | Исключено: Штуцеры,дезинфекция,контролькачества,монтаж | 200л/чмаксимум,8бар;для точки/заполнениябака.Необещаетмикробиологическибезопаснуюводу;не универсальныйполносудовойфильтр.</t>
  </si>
  <si>
    <t xml:space="preserve">https://www.svb24.com/product/510125?filter=4</t>
  </si>
  <si>
    <t xml:space="preserve">M09-WATER-FILTER-B</t>
  </si>
  <si>
    <t xml:space="preserve">M09-WATER-FILTER-C</t>
  </si>
  <si>
    <t xml:space="preserve">M09-RECIRC-A</t>
  </si>
  <si>
    <t xml:space="preserve">Jabsco Ecocirc горячая вода8–24V</t>
  </si>
  <si>
    <t xml:space="preserve">M09-M-12</t>
  </si>
  <si>
    <t xml:space="preserve">ПРЕДВАРИТЕЛЬНЫЙ СЦЕНАРИЙ M09: один насос рециркуляции ГВС</t>
  </si>
  <si>
    <t xml:space="preserve">Включён только насос; контур и управление отдельно. | Магнитныйнасос8–24V,штуцер3/4,до80C | Исключено: Клапаны,таймер/термоуправление,монтаж | ПредварительноциркуляцияГВС.21л/минпри0.1бар,несамовсасывающий; допускматериаловкпитьевойГВСподтвердить,не автоматическоезамещениеHVACнасоса.</t>
  </si>
  <si>
    <t xml:space="preserve">https://flutech-marine.com/en/jabsco/jabsco-59530-0000b/</t>
  </si>
  <si>
    <t xml:space="preserve">M09-RECIRC-B</t>
  </si>
  <si>
    <t xml:space="preserve">M09-RECIRC-C</t>
  </si>
  <si>
    <t xml:space="preserve">M09-GEN-FUEL-A</t>
  </si>
  <si>
    <t xml:space="preserve">Racor одиночный морской фильтр10мкм</t>
  </si>
  <si>
    <t xml:space="preserve">M09-M-10</t>
  </si>
  <si>
    <t xml:space="preserve">ПРЕДВАРИТЕЛЬНЫЙ СЦЕНАРИЙ M09: по одному внешнему одиночному фильтру на генератор</t>
  </si>
  <si>
    <t xml:space="preserve">Сверить заводскую комплектность, микроны и расход; не покупать повторно включённые OEM элементы. | Один морской фильтр-влагоотделитель | Исключено: Дуплексный переключающий узел,трубопроводы,монтаж | Альтернативаодиночнойветви;НЕ равнозначна75500пообслуживаниюбезостановки.Длягенераторарасход/микроны/qtyподобратьотдельно.</t>
  </si>
  <si>
    <t xml:space="preserve">https://racorshop.de/product/racor-500mam10-turbine-filter-marine/</t>
  </si>
  <si>
    <t xml:space="preserve">M09-GEN-FUEL-B</t>
  </si>
  <si>
    <t xml:space="preserve">M09-GEN-FUEL-C</t>
  </si>
  <si>
    <t xml:space="preserve">M09-GEN-SEA-A</t>
  </si>
  <si>
    <t xml:space="preserve">Комплект забортной воды19мм</t>
  </si>
  <si>
    <t xml:space="preserve">M09-M-05</t>
  </si>
  <si>
    <t xml:space="preserve">ПРЕДВАРИТЕЛЬНЫЙ СЦЕНАРИЙ M09: по одному внешнему заборному комплекту 19 мм на генератор</t>
  </si>
  <si>
    <t xml:space="preserve">19 мм только ценовой пример; подтвердить OEM диаметр и состав, не применять к Yanmar автоматически. | Водозабор3/4,шаровойкран3/4,штуцер19мм,фильтрVetus3303/4,4хомута20–32мм | Исключено: Шланги,изолирующаяадаптация,монтаж,выхлоп | 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</si>
  <si>
    <t xml:space="preserve">https://www.svb24.com/en/seawater-connection-kit-19-mm.html</t>
  </si>
  <si>
    <t xml:space="preserve">M09-GEN-SEA-B</t>
  </si>
  <si>
    <t xml:space="preserve">M09-GEN-SEA-C</t>
  </si>
  <si>
    <t xml:space="preserve">M09-FLOAT-A</t>
  </si>
  <si>
    <t xml:space="preserve">Rule-A-Matic Plus float switch</t>
  </si>
  <si>
    <t xml:space="preserve">шт.</t>
  </si>
  <si>
    <t xml:space="preserve">AX07</t>
  </si>
  <si>
    <t xml:space="preserve">ПРЕДВАРИТЕЛЬНЫЙ СЦЕНАРИЙ M09: по одному рабочему поплавку к двум помпам</t>
  </si>
  <si>
    <t xml:space="preserve">Отдельно от датчиков высокого уровня AX08. | Поплавковый выключатель с защитным кожухом. | Исключено: Помпа, независимый высокий уровень, щит, реле при необходимости, кабели и монтаж. | 24 V: коммутационный ток проверить по паспорту конкретной помпы; пусковой ток не равен рабочему. Не полная автоматика осушения.</t>
  </si>
  <si>
    <t xml:space="preserve">https://www.svb24.com/en/rule-rule-a-matic-plus-automatic-float-switch.html</t>
  </si>
  <si>
    <t xml:space="preserve">M09-FLOAT-B</t>
  </si>
  <si>
    <t xml:space="preserve">M09-FLOAT-C</t>
  </si>
  <si>
    <t xml:space="preserve">M09-FIRE-STOP-A</t>
  </si>
  <si>
    <t xml:space="preserve">Fireboy ESC shutdown / 8 circuits</t>
  </si>
  <si>
    <t xml:space="preserve">AX11</t>
  </si>
  <si>
    <t xml:space="preserve">ПРЕДВАРИТЕЛЬНЫЙ СЦЕНАРИЙ M09: один блок аварийного останова на 8 цепей</t>
  </si>
  <si>
    <t xml:space="preserve">Подтвердить 24 V конкретного SKU; приводы, тросы и матрица останова не включены. Gross без выделения налога. | Контроллер аварийного останова, исполнение 8 цепей. | Исключено: Баллон, трос, силовые исполнительные устройства, проводка, монтаж и настройка. | 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</si>
  <si>
    <t xml:space="preserve">https://www.nauticabasile.it/eng/osculati/fireboy-esc-series-automatic-engine-shutdown-systems-46872/?listRef=related</t>
  </si>
  <si>
    <t xml:space="preserve">M09-FIRE-STOP-B</t>
  </si>
  <si>
    <t xml:space="preserve">M09-FIRE-STOP-C</t>
  </si>
  <si>
    <t xml:space="preserve">M09-HEAT-A</t>
  </si>
  <si>
    <t xml:space="preserve">ME-26</t>
  </si>
  <si>
    <t xml:space="preserve">Webasto Thermo Pro 90 Marine / 24 V</t>
  </si>
  <si>
    <t xml:space="preserve">AX12</t>
  </si>
  <si>
    <t xml:space="preserve">ПРЕДВАРИТЕЛЬНЫЙ СЦЕНАРИЙ M09: один опциональный котёл 24 V</t>
  </si>
  <si>
    <t xml:space="preserve">SVB выбран как сценарный источник; ImpEK AX13 дешевле, состав и поставка сравниваются. Вне основного итога. | Отопитель Marine указанного SKU с установочным набором; окончательный packing list согласовать. | Исключено: Распределение тепла по яхте, фанкойлы/радиаторы, длинные магистрали, интеграция ГВС/чиллеров, монтаж и ввод. | 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</si>
  <si>
    <t xml:space="preserve">https://www.svb24.com/en/webasto-thermo-pro-90-marine-diesel-water-heater-24-v-9-1-kw.html</t>
  </si>
  <si>
    <t xml:space="preserve">ОПЦИЯ</t>
  </si>
  <si>
    <t xml:space="preserve">M09-HEAT-B</t>
  </si>
  <si>
    <t xml:space="preserve">M09-HEAT-C</t>
  </si>
  <si>
    <t xml:space="preserve">M09-HY-TANK-A</t>
  </si>
  <si>
    <t xml:space="preserve">ME-29</t>
  </si>
  <si>
    <t xml:space="preserve">Vetus HT1010 — бак 70 л с фильтром, коллектором и одним HT1013</t>
  </si>
  <si>
    <t xml:space="preserve">HY-TANK</t>
  </si>
  <si>
    <t xml:space="preserve">ПРЕДВАРИТЕЛЬНЫЙ СЦЕНАРИЙ M09: по одному основному компоненту центральной гидростанции; дополнительные клапаны и масло по будущей схеме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</si>
  <si>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Бак; возвратный фильтр; указатель температуры; коллектор до5функций; один клапанHT1013 | Исключено: Насос/PTO, LS-регулятор, остальные клапаны, охладитель, рукава, масло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</si>
  <si>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https://www.vetus-shop.com/aluminium-hydraulic-tank-70-incl-ht1013-p-2024.html</t>
  </si>
  <si>
    <t xml:space="preserve">M09-HY-TANK-B</t>
  </si>
  <si>
    <t xml:space="preserve">M09-HY-TANK-C</t>
  </si>
  <si>
    <t xml:space="preserve">M09-HY-PUMP-A</t>
  </si>
  <si>
    <t xml:space="preserve">Vetus HT1016SD2 — регулируемый насос 45 см³</t>
  </si>
  <si>
    <t xml:space="preserve">HY-PUMP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</si>
  <si>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Насос | Исключено: PTO/переходник/ременной привод, опоры, 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</si>
  <si>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https://www.vetus-shop.com/variably-adjustable-piston-pump-45cc-left-handed-saeb-flang-p-2033.html</t>
  </si>
  <si>
    <t xml:space="preserve">M09-HY-PUMP-B</t>
  </si>
  <si>
    <t xml:space="preserve">M09-HY-PUMP-C</t>
  </si>
  <si>
    <t xml:space="preserve">M09-HY-LS-A</t>
  </si>
  <si>
    <t xml:space="preserve">Vetus HT1011 — регулятор load sensing</t>
  </si>
  <si>
    <t xml:space="preserve">HY-LS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</si>
  <si>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Регулятор и электрическое соединение по карточке | Исключено: Трассы, проект управления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</si>
  <si>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https://www.vetus-shop.com/single-step-load-sensing-device-incl-electrical-connection-p-2026.html</t>
  </si>
  <si>
    <t xml:space="preserve">M09-HY-LS-B</t>
  </si>
  <si>
    <t xml:space="preserve">M09-HY-LS-C</t>
  </si>
  <si>
    <t xml:space="preserve">M09-HY-COOL-A</t>
  </si>
  <si>
    <t xml:space="preserve">Vetus HT301132 — охладитель гидравлического масла</t>
  </si>
  <si>
    <t xml:space="preserve">HY-COOL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</si>
  <si>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Охладитель32мм | Исключено: Насос охлаждения, фильтр, кингстон, трассы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</si>
  <si>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https://www.vetus-shop.com/hydraulic-oil-cooler-for-hose-id-and216-32-mm-p-2050.html</t>
  </si>
  <si>
    <t xml:space="preserve">M09-HY-COOL-B</t>
  </si>
  <si>
    <t xml:space="preserve">M09-HY-COOL-C</t>
  </si>
  <si>
    <t xml:space="preserve">M09-HY-VALVE-A</t>
  </si>
  <si>
    <t xml:space="preserve">Vetus HT1013 — дополнительный клапан24В</t>
  </si>
  <si>
    <t xml:space="preserve">HY-VALVE</t>
  </si>
  <si>
    <t xml:space="preserve">ПРЕДВАРИТЕЛЬНЫЙ СЦЕНАРИЙ M09: количество открыто до схемы гидропотребителей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</si>
  <si>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Один клапан24В | Исключено: Внешние потребители/гидромоторы/рукава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</si>
  <si>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M09-HY-VALVE-B</t>
  </si>
  <si>
    <t xml:space="preserve">M09-HY-VALVE-C</t>
  </si>
  <si>
    <t xml:space="preserve">M09-HY-WINCH-A</t>
  </si>
  <si>
    <t xml:space="preserve">Vetus HT102312 — клапан управления якорной лебёдкой24В</t>
  </si>
  <si>
    <t xml:space="preserve">HY-WINCH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</si>
  <si>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Клапан управления | Исключено: Сама лебёдка/гидромотор/пульт/рукава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</si>
  <si>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https://www.vetus-shop.com/dual-step-solenoid-control-unit-24v-for-anchor-windlass-p-2043.html</t>
  </si>
  <si>
    <t xml:space="preserve">M09-HY-WINCH-B</t>
  </si>
  <si>
    <t xml:space="preserve">M09-HY-WINCH-C</t>
  </si>
  <si>
    <t xml:space="preserve">M09-HY-OIL-A</t>
  </si>
  <si>
    <t xml:space="preserve">Vetus VHT20 HLP46 — гидравлическое масло20л</t>
  </si>
  <si>
    <t xml:space="preserve">канистра20л</t>
  </si>
  <si>
    <t xml:space="preserve">HY-OIL</t>
  </si>
  <si>
    <t xml:space="preserve">Vetus — общий ценовой аналог для A/B/C, не подтверждённый привод для Yanmar/KMH50A. Один HT1013 уже включён в HT1010. Внешние гидромоторы не оценены; UK импорт отдельно. | 20л масла | Исключено: Промывка, потери, заправочные работы | 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</si>
  <si>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M09-HY-OIL-B</t>
  </si>
  <si>
    <t xml:space="preserve">M09-HY-OIL-C</t>
  </si>
  <si>
    <t xml:space="preserve">id</t>
  </si>
  <si>
    <t xml:space="preserve">me</t>
  </si>
  <si>
    <t xml:space="preserve">name</t>
  </si>
  <si>
    <t xml:space="preserve">sku</t>
  </si>
  <si>
    <t xml:space="preserve">seller</t>
  </si>
  <si>
    <t xml:space="preserve">url</t>
  </si>
  <si>
    <t xml:space="preserve">viewed_on</t>
  </si>
  <si>
    <t xml:space="preserve">currency</t>
  </si>
  <si>
    <t xml:space="preserve">source_price</t>
  </si>
  <si>
    <t xml:space="preserve">source_tax_basis</t>
  </si>
  <si>
    <t xml:space="preserve">source_tax_percent</t>
  </si>
  <si>
    <t xml:space="preserve">net_unit_eur</t>
  </si>
  <si>
    <t xml:space="preserve">unit</t>
  </si>
  <si>
    <t xml:space="preserve">scope_included</t>
  </si>
  <si>
    <t xml:space="preserve">scope_excluded</t>
  </si>
  <si>
    <t xml:space="preserve">compatibility</t>
  </si>
  <si>
    <t xml:space="preserve">price_evidence</t>
  </si>
  <si>
    <t xml:space="preserve">revision</t>
  </si>
  <si>
    <t xml:space="preserve">fx_date</t>
  </si>
  <si>
    <t xml:space="preserve">fx_quote_per_eur</t>
  </si>
  <si>
    <t xml:space="preserve">PROP-E01</t>
  </si>
  <si>
    <t xml:space="preserve">Volvo Penta D4-300 I + HS68A</t>
  </si>
  <si>
    <t xml:space="preserve">D4-300 I + HS68A</t>
  </si>
  <si>
    <t xml:space="preserve">См. исходную карточку M03</t>
  </si>
  <si>
    <t xml:space="preserve">EUR</t>
  </si>
  <si>
    <t xml:space="preserve">44716</t>
  </si>
  <si>
    <t xml:space="preserve">explicit HT; historical March 2023</t>
  </si>
  <si>
    <t xml:space="preserve">44716.00</t>
  </si>
  <si>
    <t xml:space="preserve"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</si>
  <si>
    <t xml:space="preserve">Исходные ограничения M03 сохранены</t>
  </si>
  <si>
    <t xml:space="preserve">HISTORICAL_NET_REFERENCE|RFQ_REQUIRED|DUTY_OPEN</t>
  </si>
  <si>
    <t xml:space="preserve">PUBLIC_PRICE_NOT_KP</t>
  </si>
  <si>
    <t xml:space="preserve">M03/v001; цена не перепроверялась в M09</t>
  </si>
  <si>
    <t xml:space="preserve">D4-300 I + HS85A</t>
  </si>
  <si>
    <t xml:space="preserve">45977</t>
  </si>
  <si>
    <t xml:space="preserve">45977.00</t>
  </si>
  <si>
    <t xml:space="preserve"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</si>
  <si>
    <t xml:space="preserve">PROP-E03</t>
  </si>
  <si>
    <t xml:space="preserve">Volvo Penta D6-300 I + HS85A</t>
  </si>
  <si>
    <t xml:space="preserve">D6-300 I + HS85A</t>
  </si>
  <si>
    <t xml:space="preserve">50146</t>
  </si>
  <si>
    <t xml:space="preserve">50146.00</t>
  </si>
  <si>
    <t xml:space="preserve"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</si>
  <si>
    <t xml:space="preserve">C90 410 rating D 300hp + gearbox RFQ</t>
  </si>
  <si>
    <t xml:space="preserve">RFQ_REQUIRED</t>
  </si>
  <si>
    <t xml:space="preserve"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</si>
  <si>
    <t xml:space="preserve">RFQ_REQUIRED|INCOMPLETE_PACKAGE|DUTY_COMPARISON_OPEN</t>
  </si>
  <si>
    <t xml:space="preserve">PROP-G01</t>
  </si>
  <si>
    <t xml:space="preserve">Fischer Panda Panda12000x PMS</t>
  </si>
  <si>
    <t xml:space="preserve">Panda12000x PMS</t>
  </si>
  <si>
    <t xml:space="preserve">https://www.jpcdirect.com/product/fischer-panda-12000x-generator/</t>
  </si>
  <si>
    <t xml:space="preserve">16830</t>
  </si>
  <si>
    <t xml:space="preserve">explicit inc vat/ex vat pair</t>
  </si>
  <si>
    <t xml:space="preserve">20</t>
  </si>
  <si>
    <t xml:space="preserve">16324.27</t>
  </si>
  <si>
    <t xml:space="preserve"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</si>
  <si>
    <t xml:space="preserve">CONDITIONAL_START_VOLTAGE|AC_COMPATIBILITY_OPEN|RATING_OPEN|UK_REFERENCE</t>
  </si>
  <si>
    <t xml:space="preserve">2026-09-10</t>
  </si>
  <si>
    <t xml:space="preserve">0.85915</t>
  </si>
  <si>
    <t xml:space="preserve">12EFKOZD</t>
  </si>
  <si>
    <t xml:space="preserve">18484.56</t>
  </si>
  <si>
    <t xml:space="preserve">17929.12</t>
  </si>
  <si>
    <t xml:space="preserve"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</si>
  <si>
    <t xml:space="preserve">CONDITIONAL_CONFIGURATION|AC_COMPATIBILITY_OPEN|RATING_OPEN|UK_REFERENCE</t>
  </si>
  <si>
    <t xml:space="preserve">Paguro12000V AP12023050M0</t>
  </si>
  <si>
    <t xml:space="preserve">14935.8</t>
  </si>
  <si>
    <t xml:space="preserve">direct page12446.50 +IVA; gross14935.80 labelled SK20% locale</t>
  </si>
  <si>
    <t xml:space="preserve">12446.50</t>
  </si>
  <si>
    <t xml:space="preserve"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</si>
  <si>
    <t xml:space="preserve">CONDITIONAL_START_VOLTAGE|AC_COMPATIBILITY_OPEN|REVISION_OPEN</t>
  </si>
  <si>
    <t xml:space="preserve">PROP-G04</t>
  </si>
  <si>
    <t xml:space="preserve">Kohler / Rehlko 12EFKOZD24-SS</t>
  </si>
  <si>
    <t xml:space="preserve">12EFKOZD24-SS</t>
  </si>
  <si>
    <t xml:space="preserve">https://mmarineonline.com/products/kohler-marine-diesel-generator-24v-12efkozd-ss-50hz-with-sound-shield</t>
  </si>
  <si>
    <t xml:space="preserve">USD</t>
  </si>
  <si>
    <t xml:space="preserve">20165.6</t>
  </si>
  <si>
    <t xml:space="preserve">not stated</t>
  </si>
  <si>
    <t xml:space="preserve">Alternative offer for G02 not fourthgenerator;24V plus shield explicitlySKU; tax/import/Poland availability unknown; price originalUSD noFX; ME-19 partial factory cooling only: external seawater/exhaust runs and installation OPEN</t>
  </si>
  <si>
    <t xml:space="preserve">NO_NET|US_REFERENCE_ONLY|AC_COMPATIBILITY_OPEN|RATING_OPEN</t>
  </si>
  <si>
    <t xml:space="preserve">MultiPlus-II 24/3000/70-32 PMP242305010</t>
  </si>
  <si>
    <t xml:space="preserve">879.95</t>
  </si>
  <si>
    <t xml:space="preserve">GROSS_RATE_CONFIRMED</t>
  </si>
  <si>
    <t xml:space="preserve">19</t>
  </si>
  <si>
    <t xml:space="preserve">739.45</t>
  </si>
  <si>
    <t xml:space="preserve">24 V input; factory 230 V. 3000 VA not 3000 W: 2400 W at25C/2200 W at40C; charger70 A. 2 devices architecture target, capacity unapproved.</t>
  </si>
  <si>
    <t xml:space="preserve">CONDITIONAL_3KVA_REFERENCE</t>
  </si>
  <si>
    <t xml:space="preserve">MultiPlus-II GX 24/3000/70-32 PMP242306000</t>
  </si>
  <si>
    <t xml:space="preserve">999.95</t>
  </si>
  <si>
    <t xml:space="preserve">840.29</t>
  </si>
  <si>
    <t xml:space="preserve">24 V; factory230 V;2400 W at25C/2200 W at40C;70 A. GX monitoring differs; two GX units not required by yacht specification. Current manual geometry differs from catalogue: confirm revision.</t>
  </si>
  <si>
    <t xml:space="preserve">CombiMaster 24/3000-60 230V 35023000</t>
  </si>
  <si>
    <t xml:space="preserve">1599.96</t>
  </si>
  <si>
    <t xml:space="preserve">1344.50</t>
  </si>
  <si>
    <t xml:space="preserve">24 V; factory230 V;3000 VA/2600 W at40C;60 A charger;25 A transfer versus32 A Victron. Parallel operation not qualified.</t>
  </si>
  <si>
    <t xml:space="preserve">CONDITIONAL_3KVA_NOT_EQUAL_W</t>
  </si>
  <si>
    <t xml:space="preserve">3600 ITR040362042</t>
  </si>
  <si>
    <t xml:space="preserve">436.93</t>
  </si>
  <si>
    <t xml:space="preserve">NET_EXPLICIT</t>
  </si>
  <si>
    <t xml:space="preserve">3.6 class; quantity and shore capacity unknown. Dimensions/mass from opened dealer data pending native drawing confirmation; no substitute of32A at115V for32A at230V.</t>
  </si>
  <si>
    <t xml:space="preserve">CONDITIONAL_UNIT_BENCHMARK_DIMENSIONS_DEALER</t>
  </si>
  <si>
    <t xml:space="preserve">Mass GI3.5 88000355</t>
  </si>
  <si>
    <t xml:space="preserve">1008.36</t>
  </si>
  <si>
    <t xml:space="preserve">3500 VA at230 V;16 A;HF technology;source IP23 supersedes dealer IP21. Not complete shore protection.</t>
  </si>
  <si>
    <t xml:space="preserve">CONDITIONAL_UNIT_BENCHMARK</t>
  </si>
  <si>
    <t xml:space="preserve">EL-ISO-C</t>
  </si>
  <si>
    <t xml:space="preserve">WhisperPower GI3600 60110102</t>
  </si>
  <si>
    <t xml:space="preserve">GI3600 60110102</t>
  </si>
  <si>
    <t xml:space="preserve">https://www.hansenautic.de/36377/wp-gi-compact-galvanic-isolation-transformator-230v-16a-120v-32a/</t>
  </si>
  <si>
    <t xml:space="preserve">1885.00</t>
  </si>
  <si>
    <t xml:space="preserve">GROSS_RATE_UNCONFIRMED</t>
  </si>
  <si>
    <t xml:space="preserve">3.6 kVA;230/110 V;16/32 A. Open page confirms VAT included but not rate: NET deliberately blank.</t>
  </si>
  <si>
    <t xml:space="preserve">CONDITIONAL_NET_PENDING_TAX</t>
  </si>
  <si>
    <t xml:space="preserve">ER550 12V115Ah</t>
  </si>
  <si>
    <t xml:space="preserve">166.89</t>
  </si>
  <si>
    <t xml:space="preserve">140.24</t>
  </si>
  <si>
    <t xml:space="preserve">Flooded. Owner only said115 amperes; Ah and unit voltage unconfirmed. 6 physical units; no bank wiring/capacity inferred. Deposit extra. Dealer350mm/29kg differs from brochure.</t>
  </si>
  <si>
    <t xml:space="preserve">CONDITIONAL_115AH12V_NOT_OWNER_APPROVED</t>
  </si>
  <si>
    <t xml:space="preserve">ALS12115 12V115Ah</t>
  </si>
  <si>
    <t xml:space="preserve">319.00</t>
  </si>
  <si>
    <t xml:space="preserve">268.07</t>
  </si>
  <si>
    <t xml:space="preserve">AGM dealer description; legacy manufacturer sheet includes GEL construction wording, chemistry/revision confirmation needed. Body height214mm total220mm; dealer header6.4kg rejected in favour33.7kg technical sheet.</t>
  </si>
  <si>
    <t xml:space="preserve">AGM Telecom115Ah M8 BAT412105164</t>
  </si>
  <si>
    <t xml:space="preserve">329.95</t>
  </si>
  <si>
    <t xml:space="preserve">21</t>
  </si>
  <si>
    <t xml:space="preserve">272.69</t>
  </si>
  <si>
    <t xml:space="preserve">12 V AGM front terminal;6 units only if owner confirms115Ah12V. No12V housebus inferred. Open page21% supersedes search19%.</t>
  </si>
  <si>
    <t xml:space="preserve">EL-DIST-A</t>
  </si>
  <si>
    <t xml:space="preserve">Victron Lynx Distributor M8 LYN060102000</t>
  </si>
  <si>
    <t xml:space="preserve">Lynx Distributor M8 LYN060102000</t>
  </si>
  <si>
    <t xml:space="preserve">https://www.dynastart.nl/lyn060102000-lynx-distributor-m8</t>
  </si>
  <si>
    <t xml:space="preserve">182.75</t>
  </si>
  <si>
    <t xml:space="preserve">Supports24 V;1000 A product rating not yacht demand; four fuse ways, fuses/monitor supply and full installation separate. Source axis hxlxw=290x170x80; check drawing for orientation.</t>
  </si>
  <si>
    <t xml:space="preserve">EL-DIST-B</t>
  </si>
  <si>
    <t xml:space="preserve">Philippi STV207 020002071</t>
  </si>
  <si>
    <t xml:space="preserve">STV207 020002071</t>
  </si>
  <si>
    <t xml:space="preserve">214.24</t>
  </si>
  <si>
    <t xml:space="preserve">24 V compatible seven-circuit unit benchmark;10 A standard breakers not approved circuit ratings. DC accessory socket not permission for12V loads on24V. Mass not published. Not complete yacht switchboard.</t>
  </si>
  <si>
    <t xml:space="preserve">EL-DIST-C</t>
  </si>
  <si>
    <t xml:space="preserve">Philippi LAE113 010001130</t>
  </si>
  <si>
    <t xml:space="preserve">LAE113 010001130</t>
  </si>
  <si>
    <t xml:space="preserve">331.89</t>
  </si>
  <si>
    <t xml:space="preserve">Factory230 V50Hz panel benchmark for220VAC target;16A/30mA RCBO and3two-pole10A circuits per official description. Not full multi-source AC switchboard; mass unknown.</t>
  </si>
  <si>
    <t xml:space="preserve">EL-REM-A</t>
  </si>
  <si>
    <t xml:space="preserve">Blue Sea ML-RBS7702 24V</t>
  </si>
  <si>
    <t xml:space="preserve">ML-RBS7702 24V</t>
  </si>
  <si>
    <t xml:space="preserve">239.45</t>
  </si>
  <si>
    <t xml:space="preserve">Manual override;24V coil;500A continuous product rating. Quantity, control failover, crank duty and24V live switching not qualified; dimensions drawing pending.</t>
  </si>
  <si>
    <t xml:space="preserve">EL-REM-B</t>
  </si>
  <si>
    <t xml:space="preserve">Blue Sea 7703 24V</t>
  </si>
  <si>
    <t xml:space="preserve">7703 24V</t>
  </si>
  <si>
    <t xml:space="preserve">https://www.svb24.com/en/blue-sea-universal-solenoid-switch-24-v.html</t>
  </si>
  <si>
    <t xml:space="preserve">226.85</t>
  </si>
  <si>
    <t xml:space="preserve">Solenoid unit benchmark without manual override of7702; not automatic equivalent. Physical dimensions/mass unverified. No assertion reserve-start scheme works.</t>
  </si>
  <si>
    <t xml:space="preserve">EL-OPEN-PUMP</t>
  </si>
  <si>
    <t xml:space="preserve"> UNSIZED</t>
  </si>
  <si>
    <t xml:space="preserve">UNSIZED</t>
  </si>
  <si>
    <t xml:space="preserve">UNKNOWN</t>
  </si>
  <si>
    <t xml:space="preserve">function</t>
  </si>
  <si>
    <t xml:space="preserve">1 independent function, not necessarily extra inverter. Select after pump running power/start waveform/duty; avoid double counting ME05.</t>
  </si>
  <si>
    <t xml:space="preserve">OPEN_LOAD_AND_STARTUP</t>
  </si>
  <si>
    <t xml:space="preserve">EL-OPEN-MAIN</t>
  </si>
  <si>
    <t xml:space="preserve">1 physical owner battery, capacity/voltage/chemistry unknown. Not automatically ER550 or service115Ah.</t>
  </si>
  <si>
    <t xml:space="preserve">OPEN_START_VOLTAGE_CCA</t>
  </si>
  <si>
    <t xml:space="preserve">EL-OPEN-GEN</t>
  </si>
  <si>
    <t xml:space="preserve">2 physical owner batteries for2generators; capacity/voltage/CCA unknown; keep9total with6service+1main. No fictitious unit price.</t>
  </si>
  <si>
    <t xml:space="preserve">AC150 230V single phase</t>
  </si>
  <si>
    <t xml:space="preserve">7539</t>
  </si>
  <si>
    <t xml:space="preserve">EXPLICIT_NET_AND_19_PERCENT_GROSS</t>
  </si>
  <si>
    <t xml:space="preserve">6335.29</t>
  </si>
  <si>
    <t xml:space="preserve">150 L/h nominal ±10% at25C/35000ppm; modular conventional HP pump; base price only: automatic flush/salinity/reject parity must be itemised; generator minimum4kW manufacturer target, not electrical demand or selection</t>
  </si>
  <si>
    <t xml:space="preserve">FUNCTION_PARITY_OPEN;220V_COMPATIBILITY_OPEN</t>
  </si>
  <si>
    <t xml:space="preserve">ZEN150 24V/230V Touch plus salinity/reject</t>
  </si>
  <si>
    <t xml:space="preserve">12820.2</t>
  </si>
  <si>
    <t xml:space="preserve">FROM_GROSS_EXPLICIT_20_PERCENT</t>
  </si>
  <si>
    <t xml:space="preserve">10683.50</t>
  </si>
  <si>
    <t xml:space="preserve">Observed FROM base price; net is FROM benchmark only, NOT complete Touch/salinity/reject price. Nominal150L/h. Manufacturer230V±15% includes220V. Basic has no salinity; Touch optional; 24V variant permitted. Modular unit dimensions not total installed envelope.</t>
  </si>
  <si>
    <t xml:space="preserve">FROM_PRICE_NOT_CONFIGURED;RFQ_REQUIRED</t>
  </si>
  <si>
    <t xml:space="preserve">NEW12 150C 24V</t>
  </si>
  <si>
    <t xml:space="preserve">Official150L/h/600W; flush/salinometer/unsafe-water discard included. Official63kg conflicts dealer65kg; dimensions dealer796x317x408 not official therefore blank. Dealer install/service kits included vs manufacturer optional: reconcile</t>
  </si>
  <si>
    <t xml:space="preserve">RFQ_REQUIRED;COMPACT_CANDIDATE</t>
  </si>
  <si>
    <t xml:space="preserve">OSC-16.062.24 / OEM identity reconcile</t>
  </si>
  <si>
    <t xml:space="preserve">1229.9</t>
  </si>
  <si>
    <t xml:space="preserve">EXPLICIT_HT</t>
  </si>
  <si>
    <t xml:space="preserve">1024.92</t>
  </si>
  <si>
    <t xml:space="preserve">24V20L accumulator; dealer50L/min max; source model mapping not proven. Common proposed test15L/min at2bar NOT verified. Do not add included tank again.</t>
  </si>
  <si>
    <t xml:space="preserve">WORKING_POINT_AND_OEM_ID_OPEN</t>
  </si>
  <si>
    <t xml:space="preserve">EcoInox1 GE011 24V20L</t>
  </si>
  <si>
    <t xml:space="preserve">1311.9</t>
  </si>
  <si>
    <t xml:space="preserve">1093.25</t>
  </si>
  <si>
    <t xml:space="preserve">45L/min max; common proposed15L/min at2bar needs curve. Includes20L tank/gauge/pressure switch; current OEM revision confirmation.</t>
  </si>
  <si>
    <t xml:space="preserve">WORKING_POINT_OPEN</t>
  </si>
  <si>
    <t xml:space="preserve">GH24-0.37-24L-OT RB18-ED</t>
  </si>
  <si>
    <t xml:space="preserve">Official24V/0.37kW; 1m3/h at30m published point; pressure switch1.5/2.5bar.24L tank differs20L competitors: standardise accumulator scope before comparison. Dimensions drawing orientation not mapped into LWH.</t>
  </si>
  <si>
    <t xml:space="preserve">RFQ_REQUIRED;WORKING_POINT_OPEN</t>
  </si>
  <si>
    <t xml:space="preserve">J-INOX/20X 230M</t>
  </si>
  <si>
    <t xml:space="preserve">Official230V singlephase variant exists. Proposedcommon15L/min at2bar not accepted from maxflow.20L stainless tank included. No price borrowed from24V sibling.</t>
  </si>
  <si>
    <t xml:space="preserve">RFQ_REQUIRED;220V_COMPATIBILITY_OPEN;WORKING_POINT_OPEN</t>
  </si>
  <si>
    <t xml:space="preserve">EcoInox2 GE017 230V20L</t>
  </si>
  <si>
    <t xml:space="preserve">1263</t>
  </si>
  <si>
    <t xml:space="preserve">1052.50</t>
  </si>
  <si>
    <t xml:space="preserve">Open page1052.50HT supersedes search992.50. Dealer max55L/min conflicts Kent45: curves required.0.45kW/20L; common15L/min at2bar not verified.</t>
  </si>
  <si>
    <t xml:space="preserve">220V_COMPATIBILITY_OPEN;WORKING_POINT_OPEN</t>
  </si>
  <si>
    <t xml:space="preserve">GH230mono-0.37-24L-JET M-ED</t>
  </si>
  <si>
    <t xml:space="preserve">Explicit230V singlephase; official1m3/h at40m, pressure switch1.5/2.5bar.24L accumulator vs20L needs standardisation; no equivalence claim.</t>
  </si>
  <si>
    <t xml:space="preserve">UC16H</t>
  </si>
  <si>
    <t xml:space="preserve">4544.35</t>
  </si>
  <si>
    <t xml:space="preserve">GROSS_EXPLICIT_ALV25.5</t>
  </si>
  <si>
    <t xml:space="preserve">25.5</t>
  </si>
  <si>
    <t xml:space="preserve">3621.00</t>
  </si>
  <si>
    <t xml:space="preserve"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</si>
  <si>
    <t xml:space="preserve">REFERENCE_SIZE_ONLY;VOLTAGE_REVISION_CHECK;SUPPLY_SCOPE_CONFLICT_RFQ</t>
  </si>
  <si>
    <t xml:space="preserve">CWS Aquacontrol161RC 230/1/50</t>
  </si>
  <si>
    <t xml:space="preserve">4155.3</t>
  </si>
  <si>
    <t xml:space="preserve">EXPLICIT_TAX_EXCLUDED</t>
  </si>
  <si>
    <t xml:space="preserve">4155.30</t>
  </si>
  <si>
    <t xml:space="preserve">16000BTU/h each; reversecycle. Price recovered live requests HTTP200 after web429; local source text retained. OEM dimensions require authenticated download; old dealerPDF not promoted.</t>
  </si>
  <si>
    <t xml:space="preserve">REFERENCE_SIZE_ONLY;220V_COMPATIBILITY_OPEN</t>
  </si>
  <si>
    <t xml:space="preserve">BlueCool C16M</t>
  </si>
  <si>
    <t xml:space="preserve">16000BTU/h each; officialcurrentdimensions. Older F-suffix dealerweight differs: revision match required.3pricepaths found no verified EU net exactSKU; no US price conversion.</t>
  </si>
  <si>
    <t xml:space="preserve">RFQ_REQUIRED;REFERENCE_SIZE_ONLY;220V_COMPATIBILITY_OPEN</t>
  </si>
  <si>
    <t xml:space="preserve">B3 40L1200W FLB34012S000A00</t>
  </si>
  <si>
    <t xml:space="preserve">737</t>
  </si>
  <si>
    <t xml:space="preserve">614.17</t>
  </si>
  <si>
    <t xml:space="preserve">40L1200W220V plus engine heat exchanger common illustrative class; not owner size. Supplier dimensions/mass in research only pending official drawing. Thermostatic mixing equalise separately.</t>
  </si>
  <si>
    <t xml:space="preserve">UNIT_BENCHMARK_ONLY;QTY_OPEN</t>
  </si>
  <si>
    <t xml:space="preserve">WC-HW-02</t>
  </si>
  <si>
    <t xml:space="preserve">Quick BX 40L1200W FLBX4012S000A00</t>
  </si>
  <si>
    <t xml:space="preserve">BX 40L1200W FLBX4012S000A00</t>
  </si>
  <si>
    <t xml:space="preserve">829</t>
  </si>
  <si>
    <t xml:space="preserve">690.83</t>
  </si>
  <si>
    <t xml:space="preserve">BXS 40L1200W FLBXS4012S00A00</t>
  </si>
  <si>
    <t xml:space="preserve">909</t>
  </si>
  <si>
    <t xml:space="preserve">757.50</t>
  </si>
  <si>
    <t xml:space="preserve">WC-AUX-01</t>
  </si>
  <si>
    <t xml:space="preserve">Frigomar NH150PS SWM0150230</t>
  </si>
  <si>
    <t xml:space="preserve">NH150PS SWM0150230</t>
  </si>
  <si>
    <t xml:space="preserve">795.9</t>
  </si>
  <si>
    <t xml:space="preserve">663.25</t>
  </si>
  <si>
    <t xml:space="preserve">230V50/60Hz magneticdrive; count and pump duty notfixed. No proof this model meets both seawater and chilledwater circuits; official detailed curve required.</t>
  </si>
  <si>
    <t xml:space="preserve">UNIT_BENCHMARK_ONLY;CURVE_AND_220V_OPEN</t>
  </si>
  <si>
    <t xml:space="preserve">WC-AUX-02</t>
  </si>
  <si>
    <t xml:space="preserve">Quick QB002 mixing kit</t>
  </si>
  <si>
    <t xml:space="preserve">QB002 mixing kit</t>
  </si>
  <si>
    <t xml:space="preserve">https://www.kent-marine.com/fr/produit/35262/chauffe-eau-cylindrique-40l-220v-1200w.html</t>
  </si>
  <si>
    <t xml:space="preserve">140.4</t>
  </si>
  <si>
    <t xml:space="preserve">117.00</t>
  </si>
  <si>
    <t xml:space="preserve">Observed linked accessory publicHT price; count unknown; confirm inclusion in selected calorifier supply.</t>
  </si>
  <si>
    <t xml:space="preserve">PUBLIC_LIST_UNIT_BENCHMARK</t>
  </si>
  <si>
    <t xml:space="preserve">WC-AUX-03</t>
  </si>
  <si>
    <t xml:space="preserve">Jabsco Pumpgard36400-0002 / substitution46400-0000</t>
  </si>
  <si>
    <t xml:space="preserve">Pumpgard36400-0002 / substitution46400-0000</t>
  </si>
  <si>
    <t xml:space="preserve">https://www.marine-impact.com/groupe-d-eau/313-filtre-en-ligne-pumpgard-o13-mm-jabsco.html</t>
  </si>
  <si>
    <t xml:space="preserve">33.5</t>
  </si>
  <si>
    <t xml:space="preserve">TAX_NOT_PROVEN</t>
  </si>
  <si>
    <t xml:space="preserve">Observedprice; no explicit taxbasis verified so net blank.13mm40mesh strainer not sanitary treatment and not dimensioned for proposedpressurestation.</t>
  </si>
  <si>
    <t xml:space="preserve">UNIT_BENCHMARK_GROSS_UNKNOWN;NET_WITHHELD</t>
  </si>
  <si>
    <t xml:space="preserve">A01</t>
  </si>
  <si>
    <t xml:space="preserve">Vetus HT1010</t>
  </si>
  <si>
    <t xml:space="preserve">HT1010</t>
  </si>
  <si>
    <t xml:space="preserve">2412.08</t>
  </si>
  <si>
    <t xml:space="preserve">2807.52</t>
  </si>
  <si>
    <t xml:space="preserve">70л; HT1013 включён. Цена бака с частью управления, не станции. 615×475×360мм у продавца — только голый бак без клапанов, не монтажный габарит.</t>
  </si>
  <si>
    <t xml:space="preserve">PARTIAL_HYDRAULIC_NOT_COMPLETE</t>
  </si>
  <si>
    <t xml:space="preserve">A02</t>
  </si>
  <si>
    <t xml:space="preserve">Vetus HT1016SD2</t>
  </si>
  <si>
    <t xml:space="preserve">HT1016SD2</t>
  </si>
  <si>
    <t xml:space="preserve">https://www.vetus-shop.com/vetus-power-hydraulics-c-21_210.html</t>
  </si>
  <si>
    <t xml:space="preserve">2716.67</t>
  </si>
  <si>
    <t xml:space="preserve">3162.04</t>
  </si>
  <si>
    <t xml:space="preserve">45см³/оборот; ориентация/SAE/привод и требуемый расход не выбраны. Не три уровня насосов разного размера.</t>
  </si>
  <si>
    <t xml:space="preserve">A03</t>
  </si>
  <si>
    <t xml:space="preserve">Vetus HT301132</t>
  </si>
  <si>
    <t xml:space="preserve">HT301132</t>
  </si>
  <si>
    <t xml:space="preserve">517.50</t>
  </si>
  <si>
    <t xml:space="preserve">602.34</t>
  </si>
  <si>
    <t xml:space="preserve">Шланг32мм; теплоотдача/забортный контур требуют проверки; не доказана необходимость именно этого размера.</t>
  </si>
  <si>
    <t xml:space="preserve">A04</t>
  </si>
  <si>
    <t xml:space="preserve">Vetus HT102312</t>
  </si>
  <si>
    <t xml:space="preserve">HT102312</t>
  </si>
  <si>
    <t xml:space="preserve">487.92</t>
  </si>
  <si>
    <t xml:space="preserve">567.91</t>
  </si>
  <si>
    <t xml:space="preserve">Один тип клапана; не весь блок гидролебёдок, количество потребителей открыто.</t>
  </si>
  <si>
    <t xml:space="preserve">A05</t>
  </si>
  <si>
    <t xml:space="preserve">Vetus HT1011</t>
  </si>
  <si>
    <t xml:space="preserve">HT1011</t>
  </si>
  <si>
    <t xml:space="preserve">715.83</t>
  </si>
  <si>
    <t xml:space="preserve">833.18</t>
  </si>
  <si>
    <t xml:space="preserve">Одноступенчатый load sensing; пригодность к общей системе открыта.</t>
  </si>
  <si>
    <t xml:space="preserve">A06</t>
  </si>
  <si>
    <t xml:space="preserve">Vetus HT1013</t>
  </si>
  <si>
    <t xml:space="preserve">HT1013</t>
  </si>
  <si>
    <t xml:space="preserve">300.83</t>
  </si>
  <si>
    <t xml:space="preserve">350.15</t>
  </si>
  <si>
    <t xml:space="preserve">Уже входит в HT1010; отдельная цена только для дополнительного потребителя, не прибавлять повторно.</t>
  </si>
  <si>
    <t xml:space="preserve">INCLUDED_COMPONENT_DO_NOT_ADD</t>
  </si>
  <si>
    <t xml:space="preserve">A07</t>
  </si>
  <si>
    <t xml:space="preserve">Sleipner Load-sensing system / bulkhead tank 40L</t>
  </si>
  <si>
    <t xml:space="preserve">Load-sensing system / bulkhead tank 40L</t>
  </si>
  <si>
    <t xml:space="preserve"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</si>
  <si>
    <t xml:space="preserve">RFQ_REQUIRED_TECH_OPEN</t>
  </si>
  <si>
    <t xml:space="preserve">A08</t>
  </si>
  <si>
    <t xml:space="preserve">Harken Hydro 2</t>
  </si>
  <si>
    <t xml:space="preserve">Hydro 2</t>
  </si>
  <si>
    <t xml:space="preserve">30л,2мотора24V4kW; стандартная помпа15л/мин140бар. Не доказана пригодность для подруливающих; не назначать резервное питание от6АКБ дорасчёта тока.</t>
  </si>
  <si>
    <t xml:space="preserve">RFQ_REQUIRED_THRUSTER_CAPABILITY_OPEN</t>
  </si>
  <si>
    <t xml:space="preserve">A09</t>
  </si>
  <si>
    <t xml:space="preserve">Parker Racor 75500MAXM30</t>
  </si>
  <si>
    <t xml:space="preserve">75500MAXM30</t>
  </si>
  <si>
    <t xml:space="preserve">2199.90</t>
  </si>
  <si>
    <t xml:space="preserve">GROSS_RATE_VERIFIED</t>
  </si>
  <si>
    <t xml:space="preserve">1848.66</t>
  </si>
  <si>
    <t xml:space="preserve"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</si>
  <si>
    <t xml:space="preserve">PRICE_VARIATION_RECONFIRM_TECH_OPEN</t>
  </si>
  <si>
    <t xml:space="preserve">FTR330/32</t>
  </si>
  <si>
    <t xml:space="preserve">81.67</t>
  </si>
  <si>
    <t xml:space="preserve">95.06</t>
  </si>
  <si>
    <t xml:space="preserve">Типоразмер32мм только ориентир; диаметр и положение относительно ватерлинии по выбранному агрегату.</t>
  </si>
  <si>
    <t xml:space="preserve">UNIT_BENCHMARK_TECH_OPEN</t>
  </si>
  <si>
    <t xml:space="preserve">A11</t>
  </si>
  <si>
    <t xml:space="preserve">Vetus FTR33032M</t>
  </si>
  <si>
    <t xml:space="preserve">FTR33032M</t>
  </si>
  <si>
    <t xml:space="preserve">164.46</t>
  </si>
  <si>
    <t xml:space="preserve">NET явно exclusiefBTW; усиленная версия с металлической крышкой. Сравнение с FTR330/32 требует одинаковых давления/установочного положения.</t>
  </si>
  <si>
    <t xml:space="preserve">A12</t>
  </si>
  <si>
    <t xml:space="preserve">Rule 2000 GPH / model12 /24V</t>
  </si>
  <si>
    <t xml:space="preserve">2000 GPH / model12 /24V</t>
  </si>
  <si>
    <t xml:space="preserve">https://www.mackengineering.co.uk/rule-2000-gph-bilge-pump-24v.html</t>
  </si>
  <si>
    <t xml:space="preserve">107.24</t>
  </si>
  <si>
    <t xml:space="preserve">124.82</t>
  </si>
  <si>
    <t xml:space="preserve">Габариты из официальной таблицы, у дилера155×105 отличаются; сверить ревизию. Не вся система осушения; поплавок/сигнализация отдельно.</t>
  </si>
  <si>
    <t xml:space="preserve">A13</t>
  </si>
  <si>
    <t xml:space="preserve">Gusher Urchin BP9005</t>
  </si>
  <si>
    <t xml:space="preserve">https://www.mackengineering.co.uk/bp9005-whale-gusher-urchin-hand-pump.html</t>
  </si>
  <si>
    <t xml:space="preserve">55.10</t>
  </si>
  <si>
    <t xml:space="preserve">64.13</t>
  </si>
  <si>
    <t xml:space="preserve">Ориентир цены ручного насоса; не назначенный главный аварийный насос67ft, расход/напор/доступ проверить.</t>
  </si>
  <si>
    <t xml:space="preserve">A14</t>
  </si>
  <si>
    <t xml:space="preserve">Rule 32ALA /24V</t>
  </si>
  <si>
    <t xml:space="preserve">32ALA /24V</t>
  </si>
  <si>
    <t xml:space="preserve">73.19</t>
  </si>
  <si>
    <t xml:space="preserve">85.19</t>
  </si>
  <si>
    <t xml:space="preserve">Цена связанного товара открытой карточки; состав сигнализации и число отсеков открыты.</t>
  </si>
  <si>
    <t xml:space="preserve">A15</t>
  </si>
  <si>
    <t xml:space="preserve">Jabsco 35770-0094 /24V</t>
  </si>
  <si>
    <t xml:space="preserve">35770-0094 /24V</t>
  </si>
  <si>
    <t xml:space="preserve">https://www.mackengineering.co.uk/35770-0094-24v-flexmount-blower.html</t>
  </si>
  <si>
    <t xml:space="preserve">224.42</t>
  </si>
  <si>
    <t xml:space="preserve">SEARCH_ONLY_NET_CLAIM</t>
  </si>
  <si>
    <t xml:space="preserve"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</si>
  <si>
    <t xml:space="preserve">PRICE_NOT_ADMITTED_AVAILABILITY_HOLD</t>
  </si>
  <si>
    <t xml:space="preserve">A16</t>
  </si>
  <si>
    <t xml:space="preserve">Marco UP3/OIL 16402013 /24V</t>
  </si>
  <si>
    <t xml:space="preserve">UP3/OIL 16402013 /24V</t>
  </si>
  <si>
    <t xml:space="preserve">https://www.mackengineering.co.uk/marco-up3-oil-pump-24v.html</t>
  </si>
  <si>
    <t xml:space="preserve">162.00</t>
  </si>
  <si>
    <t xml:space="preserve">188.56</t>
  </si>
  <si>
    <t xml:space="preserve">Только насос; коллектор3агрегатов,шланги,поддоны,свет и автоматика не включены.</t>
  </si>
  <si>
    <t xml:space="preserve">SENSOR320</t>
  </si>
  <si>
    <t xml:space="preserve">61.67</t>
  </si>
  <si>
    <t xml:space="preserve">71.78</t>
  </si>
  <si>
    <t xml:space="preserve">Длина320мм исследовательская; не утверждена глубина/число танков. Цена связанного товара, отдельный индикатор не включён.</t>
  </si>
  <si>
    <t xml:space="preserve">SENSORA</t>
  </si>
  <si>
    <t xml:space="preserve">161.25</t>
  </si>
  <si>
    <t xml:space="preserve">187.69</t>
  </si>
  <si>
    <t xml:space="preserve">Ультразвуковой аналоговый датчик; работа в конкретном танке и интерфейс подлежат проверке. Не цена танка.</t>
  </si>
  <si>
    <t xml:space="preserve">A19</t>
  </si>
  <si>
    <t xml:space="preserve">Jabsco 18590-2094 /24V</t>
  </si>
  <si>
    <t xml:space="preserve">18590-2094 /24V</t>
  </si>
  <si>
    <t xml:space="preserve">https://www.cactusnav.com/jabsco-macerator-pump-p-37922.html</t>
  </si>
  <si>
    <t xml:space="preserve">141.63</t>
  </si>
  <si>
    <t xml:space="preserve">164.85</t>
  </si>
  <si>
    <t xml:space="preserve">24V; только насос сточного танка. Пересечение с комплектом туалета проверять; число танков не назначено.</t>
  </si>
  <si>
    <t xml:space="preserve">A20</t>
  </si>
  <si>
    <t xml:space="preserve">Fireboy MA series 31.620.55</t>
  </si>
  <si>
    <t xml:space="preserve">MA series 31.620.55</t>
  </si>
  <si>
    <t xml:space="preserve">https://www.oltrevela.com/en/31-620-55-fireboy-ma-series-automatic-manual-fire-extinguisher-13-4-kg-for-engine-rooms-and-motor-compartments-up-to-51m-uscg-and-iso-rina-approved-fireboy-4</t>
  </si>
  <si>
    <t xml:space="preserve">1950.00</t>
  </si>
  <si>
    <t xml:space="preserve"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</si>
  <si>
    <t xml:space="preserve">PRICE_NOT_ADMITTED_VOLUME_AND_VARIANT_OPEN</t>
  </si>
  <si>
    <t xml:space="preserve">A21</t>
  </si>
  <si>
    <t xml:space="preserve">Webasto Thermo Pro90 Marine 24V /9029943C</t>
  </si>
  <si>
    <t xml:space="preserve">Thermo Pro90 Marine 24V /9029943C</t>
  </si>
  <si>
    <t xml:space="preserve">https://www.standkachel.nu/webasto-air-and-water-heaters-and/webasto-waterkachels-thermotop-spheros-dbw-valeo/webasto-marine-waterheaters-for-thermo-pro-90-24-volt/webasto-thermo-chiller--pro-90-marine-24-volt-</t>
  </si>
  <si>
    <t xml:space="preserve">2007.16</t>
  </si>
  <si>
    <t xml:space="preserve">NET_LABEL_CONFLICT</t>
  </si>
  <si>
    <t xml:space="preserve"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</si>
  <si>
    <t xml:space="preserve">OPTIONAL_PRICE_NOT_ADMITTED_TAX_CONFLICT</t>
  </si>
  <si>
    <t xml:space="preserve">A22</t>
  </si>
  <si>
    <t xml:space="preserve">Webasto Thermo Pro90 Marine 24V /4111185A</t>
  </si>
  <si>
    <t xml:space="preserve">Thermo Pro90 Marine 24V /4111185A</t>
  </si>
  <si>
    <t xml:space="preserve">https://www.butlertechnik.com/item/Webasto/Thermo-Pro-90-24v-Marine-Kit-With-Switch-91kW-4111185A/5G7</t>
  </si>
  <si>
    <t xml:space="preserve">1995.49</t>
  </si>
  <si>
    <t xml:space="preserve">2322.63</t>
  </si>
  <si>
    <t xml:space="preserve"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</si>
  <si>
    <t xml:space="preserve">OPTIONAL_UNIT_BENCHMARK_TECH_OPEN</t>
  </si>
  <si>
    <t xml:space="preserve">8LV320E-KMH50A + VC20</t>
  </si>
  <si>
    <t xml:space="preserve">58842</t>
  </si>
  <si>
    <t xml:space="preserve">incl BTW; rate not stated</t>
  </si>
  <si>
    <t xml:space="preserve"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</t>
  </si>
  <si>
    <t xml:space="preserve">CONDITIONAL_DUTY_PTO_START_VOLTAGE; NET_RFQ_REQUIRED</t>
  </si>
  <si>
    <t xml:space="preserve">YAN-E02</t>
  </si>
  <si>
    <t xml:space="preserve">ME-01</t>
  </si>
  <si>
    <t xml:space="preserve">Yanmar 6LPAM-STP2 bobtail (dealer); 6LPA-STP2 manufacturer</t>
  </si>
  <si>
    <t xml:space="preserve">6LPAM-STP2 bobtail (dealer); 6LPA-STP2 manufacturer</t>
  </si>
  <si>
    <t xml:space="preserve">https://useddieselenginecenter.nl/yanmar-6lpam-stp2-6-lpam-stp-2-bobtail</t>
  </si>
  <si>
    <t xml:space="preserve">21675</t>
  </si>
  <si>
    <t xml:space="preserve">excl BTW; NET explicitly listed</t>
  </si>
  <si>
    <t xml:space="preserve">21675.00</t>
  </si>
  <si>
    <t xml:space="preserve">engine</t>
  </si>
  <si>
    <t xml:space="preserve">New per dealer; 315 mhp / 232 kW at 3800 rpm at 25C fuel; 299 mhp / 220 kW at 40C per 2017 spec; priced engine only excluding gear/panel/harness; proposed 1 KMH50A RFQ; engine-only dry mass; package envelope 1220x666x739 drawing vs1190 length table conflict; package dry mass459 kg; 12V starter; RCD1 only evidenced</t>
  </si>
  <si>
    <t xml:space="preserve">CONDITIONAL_EU_NEWBUILD_CERT_DUTY_PTO_START_VOLTAGE; GEARBOX_NOT_PRICED</t>
  </si>
  <si>
    <t xml:space="preserve">YAN-E03</t>
  </si>
  <si>
    <t xml:space="preserve">Yanmar 6LY2M-WDT + YX-50S (proposed)</t>
  </si>
  <si>
    <t xml:space="preserve">6LY2M-WDT + YX-50S (proposed)</t>
  </si>
  <si>
    <t xml:space="preserve">Current official card330 mhp /243 kW at3200 rpm; 1 engine +1 proposedYX-50S; package dry mass535+108kg; envelope with gear/high-riser elbow; optional24V electrical system official but exact starter/configuration RFQ; IMO Tier2 shown not EU RCD approval; PTO capacity unverified</t>
  </si>
  <si>
    <t xml:space="preserve">RFQ_REQUIRED; CONDITIONAL_EU_NEWBUILD_CERT_DUTY_PTO</t>
  </si>
  <si>
    <t xml:space="preserve">PAN-G01</t>
  </si>
  <si>
    <t xml:space="preserve">Fischer Panda 12000x PMS JPC FP12000X</t>
  </si>
  <si>
    <t xml:space="preserve">12000x PMS JPC FP12000X</t>
  </si>
  <si>
    <t xml:space="preserve">16830.00</t>
  </si>
  <si>
    <t xml:space="preserve">EXPLICIT_GROSS_NET_PAIR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</si>
  <si>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JPC H565/192kg metadata conflicts withOEM. Fuel pump/looms/control panel/capsule advertised;exact control revision and install kit RFQ.</t>
  </si>
  <si>
    <t xml:space="preserve">MARKET_REFERENCE|START24V_OPEN|HOT_OUTPUT_OPEN|UK_IMPORT_OPEN</t>
  </si>
  <si>
    <t xml:space="preserve">12000x-230V PMS NautiRadar0028284</t>
  </si>
  <si>
    <t xml:space="preserve">17451.22</t>
  </si>
  <si>
    <t xml:space="preserve"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</t>
  </si>
  <si>
    <t xml:space="preserve">MARKET_REFERENCE|START24V_OPEN|HOT_OUTPUT_OPEN|SKU_REVISION_OPEN</t>
  </si>
  <si>
    <t xml:space="preserve">PAN-G03</t>
  </si>
  <si>
    <t xml:space="preserve">Fischer Panda 15000i-230V PMS NautiRadar0000182</t>
  </si>
  <si>
    <t xml:space="preserve">15000i-230V PMS NautiRadar0000182</t>
  </si>
  <si>
    <t xml:space="preserve">https://www.nautiradar.pt/en/products/fischer-panda/panda-15000i-230v-pms-12kw-230v-variable-speed-marine-generator</t>
  </si>
  <si>
    <t xml:space="preserve">20128.46</t>
  </si>
  <si>
    <t xml:space="preserve">Alternative model for same required useful output;not15kW.50Hz230V nominal12kW/15kVA;PMGi230V manual longterm12kW does not guarantee whole-set output at hot ambient;OEM20C engine reference.160kg capsule+16kg external inverter;dimensions capsule only;dealer162+16kg discrepancy. Inverter model/cooling/inclusion and24V starter RFQ.2gens retained;no automatic parallel operation.</t>
  </si>
  <si>
    <t xml:space="preserve">MARKET_REFERENCE|START24V_OPEN|HOT_OUTPUT_OPEN|INVERTER_SCOPE_OPEN</t>
  </si>
  <si>
    <t xml:space="preserve">SVB 47726; Rule 12</t>
  </si>
  <si>
    <t xml:space="preserve">SVB, Германия</t>
  </si>
  <si>
    <t xml:space="preserve">153.36</t>
  </si>
  <si>
    <t xml:space="preserve">excl</t>
  </si>
  <si>
    <t xml:space="preserve">Погружная осушительная помпа.</t>
  </si>
  <si>
    <t xml:space="preserve">Поплавок, независимая аварийная сигнализация, щит, проводка, шланги, арматура, монтаж.</t>
  </si>
  <si>
    <t xml:space="preserve">24 V; максимум 129 л/мин без подтверждения рабочего напора. Не доказана достаточность аварийного осушения VDS67.</t>
  </si>
  <si>
    <t xml:space="preserve">Открыта конкретная карточка 15.09.2026: цена EUR, Excl. VAT. Наличие и доставка перепроверяются при заказе.</t>
  </si>
  <si>
    <t xml:space="preserve">deliverables/M09/v001/01_support/auxiliary/offers.json</t>
  </si>
  <si>
    <t xml:space="preserve">SVB; WHBP9005</t>
  </si>
  <si>
    <t xml:space="preserve">89.87</t>
  </si>
  <si>
    <t xml:space="preserve">Ручная помпа указанного исполнения.</t>
  </si>
  <si>
    <t xml:space="preserve">Шланги, приёмники, арматура и монтаж.</t>
  </si>
  <si>
    <t xml:space="preserve">Ручная. Компактный ценовой ориентир; не утверждена как главная аварийная помпа яхты 67 ft.</t>
  </si>
  <si>
    <t xml:space="preserve">AX03</t>
  </si>
  <si>
    <t xml:space="preserve">Whale Gusher 30 / surface mounting</t>
  </si>
  <si>
    <t xml:space="preserve">WHBP3000</t>
  </si>
  <si>
    <t xml:space="preserve">https://www.svb24.com/en/whale-gusher-30-manual-bilge-pump-surface-mounting.html</t>
  </si>
  <si>
    <t xml:space="preserve">783.15</t>
  </si>
  <si>
    <t xml:space="preserve">Ручная помпа для поверхностного монтажа.</t>
  </si>
  <si>
    <t xml:space="preserve">Шланги, приёмники, арматура, монтаж и проверка доступа к рукоятке.</t>
  </si>
  <si>
    <t xml:space="preserve">Альтернатива ручной функции с другим исполнением; равная производительность с BP9005 не заявлена.</t>
  </si>
  <si>
    <t xml:space="preserve">SVB 29771; 5500102624</t>
  </si>
  <si>
    <t xml:space="preserve">189.87</t>
  </si>
  <si>
    <t xml:space="preserve">Вентилятор 24 V.</t>
  </si>
  <si>
    <t xml:space="preserve">Воздуховоды, решётки, шумоглушение, противопожарное перекрытие и останов, питание, монтаж.</t>
  </si>
  <si>
    <t xml:space="preserve">24 V; 1000 м³/ч — каталожный расход, не подтверждённый расход сети. Нужен баланс воздуха двигателя и двух генераторов.</t>
  </si>
  <si>
    <t xml:space="preserve">SVB 52173</t>
  </si>
  <si>
    <t xml:space="preserve">168.03</t>
  </si>
  <si>
    <t xml:space="preserve">Насос и две трубки 6/8 мм длиной 80 см.</t>
  </si>
  <si>
    <t xml:space="preserve">Стационарный коллектор двигателя/двух генераторов/редуктора, запорная арматура, длинные шланги, ёмкость отработки, защиты, монтаж.</t>
  </si>
  <si>
    <t xml:space="preserve">24 V вариант: именно 168.03, не стартовая цена 12 V 166.34. Масло предварительно прогреть по карточке; вязкость и точки отбора уточнить.</t>
  </si>
  <si>
    <t xml:space="preserve">SVB 13636; 18590-2094</t>
  </si>
  <si>
    <t xml:space="preserve">210.04</t>
  </si>
  <si>
    <t xml:space="preserve">Насос macerator.</t>
  </si>
  <si>
    <t xml:space="preserve">Санприборы, танки, трубопроводы, арматура, управление, монтаж.</t>
  </si>
  <si>
    <t xml:space="preserve">24 V. Проверить отсутствие повторного счёта насоса, включённого в сансистему; схема и допустимый сброс открыты.</t>
  </si>
  <si>
    <t xml:space="preserve">SVB 35958; 40A</t>
  </si>
  <si>
    <t xml:space="preserve">54.58</t>
  </si>
  <si>
    <t xml:space="preserve">Поплавковый выключатель с защитным кожухом.</t>
  </si>
  <si>
    <t xml:space="preserve">Помпа, независимый высокий уровень, щит, реле при необходимости, кабели и монтаж.</t>
  </si>
  <si>
    <t xml:space="preserve">24 V: коммутационный ток проверить по паспорту конкретной помпы; пусковой ток не равен рабочему. Не полная автоматика осушения.</t>
  </si>
  <si>
    <t xml:space="preserve">Открытая карточка 15.09.2026: EUR, Excl. VAT; вариант определён по напряжению/исполнению.</t>
  </si>
  <si>
    <t xml:space="preserve">SVB 47778; 34-72303-002</t>
  </si>
  <si>
    <t xml:space="preserve">97.44</t>
  </si>
  <si>
    <t xml:space="preserve">Датчик высокого уровня, звуковая/световая сигнализация и органы тестирования по карточке.</t>
  </si>
  <si>
    <t xml:space="preserve">Многозонная интеграция, независимое питание, проводка, помпы и монтаж.</t>
  </si>
  <si>
    <t xml:space="preserve">24 V вариант 97.44; 92.40 относится к 12 V. Сигнализацию не считать второй помпой или всей судовой автоматикой.</t>
  </si>
  <si>
    <t xml:space="preserve">AX09</t>
  </si>
  <si>
    <t xml:space="preserve">KUS Water/Fuel Sensor / 150 mm</t>
  </si>
  <si>
    <t xml:space="preserve">SVB 21554</t>
  </si>
  <si>
    <t xml:space="preserve">https://www.svb24.com/en/kus-water-fuel-sensor.html</t>
  </si>
  <si>
    <t xml:space="preserve">25.17</t>
  </si>
  <si>
    <t xml:space="preserve">Один резистивный датчик 0–190 Ом, длина 150 мм.</t>
  </si>
  <si>
    <t xml:space="preserve">Индикатор, интерфейс автоматики, дополнительные танки, калибровка, кабели и монтаж.</t>
  </si>
  <si>
    <t xml:space="preserve">Пассивный датчик: согласовать с входом 24 V системы. 150 мм только ценовой размер; глубина и среда каждого танка неизвестны. Не для всей системы контроля.</t>
  </si>
  <si>
    <t xml:space="preserve">AX10</t>
  </si>
  <si>
    <t xml:space="preserve">Fireboy MA / 13.4 kg / 15.6 m³</t>
  </si>
  <si>
    <t xml:space="preserve">Osculati 31.620.55</t>
  </si>
  <si>
    <t xml:space="preserve">Nautica Basile, Италия</t>
  </si>
  <si>
    <t xml:space="preserve">https://www.nauticabasile.it/eng/osculati/fixed-fireboy-fire-extinguishers-with-clean-agent-and-manualautomatic-activation-46870/31.620.55/</t>
  </si>
  <si>
    <t xml:space="preserve">2332.1</t>
  </si>
  <si>
    <t xml:space="preserve">incl</t>
  </si>
  <si>
    <t xml:space="preserve">Баллон указанного исполнения; состав крепления и индикации подтвердить в КП.</t>
  </si>
  <si>
    <t xml:space="preserve">Трос ручного пуска, shutdown-контроллер, проводка, исполнительные клапаны/заслонки, монтаж и приёмка.</t>
  </si>
  <si>
    <t xml:space="preserve">Ценовой ориентир прежнего M07 SKU, не подбор заряда: 15.6 м³ конкретного баллона, 51 м³ относится к серии. Геометрия и защищаемый объём МО открыты.</t>
  </si>
  <si>
    <t xml:space="preserve">Прямая карточка и строка модельного ряда открыты: 2332.10 EUR. Налоговое основание не найдено, NET не выведен. Условия https://www.nauticabasile.it/eng/pages/sales-conditions/ раздел L.8 подтверждают включение VAT, но не его численную ставку; NET остаётся null.</t>
  </si>
  <si>
    <t xml:space="preserve">Osculati 31.650.03</t>
  </si>
  <si>
    <t xml:space="preserve">586.4</t>
  </si>
  <si>
    <t xml:space="preserve">Контроллер аварийного останова, исполнение 8 цепей.</t>
  </si>
  <si>
    <t xml:space="preserve">Баллон, трос, силовые исполнительные устройства, проводка, монтаж и настройка.</t>
  </si>
  <si>
    <t xml:space="preserve">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</si>
  <si>
    <t xml:space="preserve">Открыта таблица моделей 15.09.2026: 31.650.03 = 586.40 EUR. НДС не установлен; NET null. Условия https://www.nauticabasile.it/eng/pages/sales-conditions/ раздел L.8 подтверждают включение VAT, но не его численную ставку; NET остаётся null.</t>
  </si>
  <si>
    <t xml:space="preserve">9029941C; SVB 42901</t>
  </si>
  <si>
    <t xml:space="preserve">2260.46</t>
  </si>
  <si>
    <t xml:space="preserve">Отопитель Marine указанного SKU с установочным набором; окончательный packing list согласовать.</t>
  </si>
  <si>
    <t xml:space="preserve">Распределение тепла по яхте, фанкойлы/радиаторы, длинные магистрали, интеграция ГВС/чиллеров, монтаж и ввод.</t>
  </si>
  <si>
    <t xml:space="preserve">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</si>
  <si>
    <t xml:space="preserve">AX13</t>
  </si>
  <si>
    <t xml:space="preserve">Webasto Thermo Pro 90 Marine Std / 24 V</t>
  </si>
  <si>
    <t xml:space="preserve">9029941C</t>
  </si>
  <si>
    <t xml:space="preserve">ImpEK / standheizung-ersatzteile.com, Германия</t>
  </si>
  <si>
    <t xml:space="preserve">https://standheizung-ersatzteile.com/thermo-pro-90-24v-marine-std</t>
  </si>
  <si>
    <t xml:space="preserve">2405.71</t>
  </si>
  <si>
    <t xml:space="preserve">2021.61</t>
  </si>
  <si>
    <t xml:space="preserve">Отопитель, насос U4840, дозирующий DP42, жгуты и монтажные элементы по карточке.</t>
  </si>
  <si>
    <t xml:space="preserve">Распределение тепла по яхте, управление помещениями, расширение трасс, установка и испытания.</t>
  </si>
  <si>
    <t xml:space="preserve">ОПЦИЯ. Тот же SKU, альтернатива продавца AX12, не второй отопитель; сопоставить состав поставки.</t>
  </si>
  <si>
    <t xml:space="preserve">Открытая карточка: 2405.71 EUR inkl. MwSt. (поиск 2349.30 устарел). FAQ https://standheizung-ersatzteile.com/shop/en/faq подтверждает 19%; NET рассчитан с округлением 0.01 EUR. Ставка поставки в Польшу уточняется отдельно.</t>
  </si>
  <si>
    <t xml:space="preserve">Osculati 31.610.31</t>
  </si>
  <si>
    <t xml:space="preserve">4251.1</t>
  </si>
  <si>
    <t xml:space="preserve">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</si>
  <si>
    <t xml:space="preserve">Открыты карточка и таблица продавца 15.09.2026: 4251.10 EUR; ставка VAT не указана. Включение VAT подтверждено https://www.nauticabasile.it/eng/pages/sales-conditions/ L.8; NET null.</t>
  </si>
  <si>
    <t xml:space="preserve">AX15</t>
  </si>
  <si>
    <t xml:space="preserve">Ocean Technologies blower / 24 V / 550 m³/h</t>
  </si>
  <si>
    <t xml:space="preserve">SVB 10846; 5500102224</t>
  </si>
  <si>
    <t xml:space="preserve">https://www.svb24.com/en/ocean-technologies-engine-compartment-blower-24-v-550-m3-hour-100-mm-hose-connection.html</t>
  </si>
  <si>
    <t xml:space="preserve">129.37</t>
  </si>
  <si>
    <t xml:space="preserve">24 V; 550 м³/ч каталожные. Альтернативный типоразмер AX04, не равноценный утверждённый расход вентиляции яхты. Рабочая точка и количество открыты.</t>
  </si>
  <si>
    <t xml:space="preserve">AX16</t>
  </si>
  <si>
    <t xml:space="preserve">Johnson TA3P10-19 Macerator / 24 V</t>
  </si>
  <si>
    <t xml:space="preserve">10-24453-05</t>
  </si>
  <si>
    <t xml:space="preserve">https://www.svb24.com/en/johnson-pump-ta3p10-19-macerator-pump-24v.html</t>
  </si>
  <si>
    <t xml:space="preserve">193.24</t>
  </si>
  <si>
    <t xml:space="preserve">PIN242121200</t>
  </si>
  <si>
    <t xml:space="preserve">Mon Camping Car (FR)</t>
  </si>
  <si>
    <t xml:space="preserve">274.5</t>
  </si>
  <si>
    <t xml:space="preserve">Один инвертор 24 VDC / 230 VAC.</t>
  </si>
  <si>
    <t xml:space="preserve">Кабели, защита, переключение, монтаж; не включает насос. CGV: обычная доставка FR/BE; Польша по отдельному согласованию, расходы неизвестны.</t>
  </si>
  <si>
    <t xml:space="preserve">Условный класс 1200 VA, пуск выбранного насоса не проверен. Отдельный канал не заменяет два основных инвертора.</t>
  </si>
  <si>
    <t xml:space="preserve">Прямая страница + GET200: 274.50 EUR. CGV §3-1: TVA française incluse, численная ставка не указана: https://www.mon-camping-car.com/conditions-g%C3%A9n%C3%A9rales-de-vente ; NET не вычислен.</t>
  </si>
  <si>
    <t xml:space="preserve">deliverables/M09/v001/01_support/electrical/offers.json</t>
  </si>
  <si>
    <t xml:space="preserve">VESMF125</t>
  </si>
  <si>
    <t xml:space="preserve">SVB</t>
  </si>
  <si>
    <t xml:space="preserve">Одна физическая стартерная батарея.</t>
  </si>
  <si>
    <t xml:space="preserve">Крепление, кабели, зарядка, доставка перевозчиком.</t>
  </si>
  <si>
    <t xml:space="preserve">Только условный 12 V кандидат. OEM двигателя должен подтвердить напряжение/CCA; не образует принятую 24 V схему. Паспорт VESMF125: 950 A EN.</t>
  </si>
  <si>
    <t xml:space="preserve">Прямая страница открыта 15.09.2026; цена 193.24 EUR; Excl. VAT / NET excluding German VAT.</t>
  </si>
  <si>
    <t xml:space="preserve">VESMF70</t>
  </si>
  <si>
    <t xml:space="preserve">111.34</t>
  </si>
  <si>
    <t xml:space="preserve">Две физические батареи, цена за одну.</t>
  </si>
  <si>
    <t xml:space="preserve">Крепления, кабели, зарядка, доставка.</t>
  </si>
  <si>
    <t xml:space="preserve">Условные 12 V / 640 A EN; соответствие двум выбранным генераторам открыто. Не добавлять сверх 6+2+1.</t>
  </si>
  <si>
    <t xml:space="preserve">Прямая страница открыта 15.09.2026; цена 111.34 EUR; Excl. VAT / NET excluding German VAT.</t>
  </si>
  <si>
    <t xml:space="preserve">EL-04</t>
  </si>
  <si>
    <t xml:space="preserve">Vetus SMF 85 Ah 12 V, альтернатива генераторной АКБ</t>
  </si>
  <si>
    <t xml:space="preserve">VESMF85</t>
  </si>
  <si>
    <t xml:space="preserve">134.41</t>
  </si>
  <si>
    <t xml:space="preserve">Две физические батареи, цена за одну; альтернатива EL-03.</t>
  </si>
  <si>
    <t xml:space="preserve">Условные 12 V / 680 A EN; не утверждён подбор по требованиям стартера. EL-03 и EL-04 не суммировать.</t>
  </si>
  <si>
    <t xml:space="preserve">Прямая страница открыта 15.09.2026; цена 134.41 EUR; Excl. VAT / NET excluding German VAT.</t>
  </si>
  <si>
    <t xml:space="preserve">EL-05</t>
  </si>
  <si>
    <t xml:space="preserve">Victron isolation transformer 3600 W 115/230 V</t>
  </si>
  <si>
    <t xml:space="preserve">ITR040362042</t>
  </si>
  <si>
    <t xml:space="preserve">Один разделительный трансформатор.</t>
  </si>
  <si>
    <t xml:space="preserve">Береговой кабель/ввод, RCD, коммутация источников, монтаж.</t>
  </si>
  <si>
    <t xml:space="preserve">3600 W только ценовой класс; береговая мощность и схема PE/нейтрали не назначены. Проверить отсутствие повторного учёта M02/M03.</t>
  </si>
  <si>
    <t xml:space="preserve">Прямая страница открыта 15.09.2026; цена 436.93 EUR; Excl. VAT / NET excluding German VAT.</t>
  </si>
  <si>
    <t xml:space="preserve">020002071 / SVB32967</t>
  </si>
  <si>
    <t xml:space="preserve">7 переключателей и тепловых автоматов, стандартно 10 A.</t>
  </si>
  <si>
    <t xml:space="preserve">Остальные цепи, силовые шины, кабели, общий шкаф и монтаж.</t>
  </si>
  <si>
    <t xml:space="preserve">12/24 V аппарат применим как кандидат для 24 V DC. Число цепей/номиналы по схеме; не весь DC щит яхты.</t>
  </si>
  <si>
    <t xml:space="preserve">Прямая страница открыта 15.09.2026; цена 214.24 EUR; Excl. VAT / NET excluding German VAT.</t>
  </si>
  <si>
    <t xml:space="preserve">010001130 / SVB24378</t>
  </si>
  <si>
    <t xml:space="preserve">Береговой блок 230 V: RCCB, главный выключатель, индикатор, розетка и две линии 10 A.</t>
  </si>
  <si>
    <t xml:space="preserve">Полное AC распределение, береговой ввод/шнур, переключение двух генераторов/инверторов.</t>
  </si>
  <si>
    <t xml:space="preserve">Частичный AC блок, не законченный главный щит; не дублировать его встроенные автоматы отдельными строками.</t>
  </si>
  <si>
    <t xml:space="preserve">Прямая страница открыта 15.09.2026; цена 331.89 EUR; Excl. VAT / NET excluding German VAT.</t>
  </si>
  <si>
    <t xml:space="preserve">SVB47060</t>
  </si>
  <si>
    <t xml:space="preserve">10.04</t>
  </si>
  <si>
    <t xml:space="preserve">Один держатель MEGA.</t>
  </si>
  <si>
    <t xml:space="preserve">Предохранитель, наконечники, кабели, коробка, монтаж.</t>
  </si>
  <si>
    <t xml:space="preserve">24 V кандидат; сечение, отключающая способность и ток выбранного предохранителя открыты.</t>
  </si>
  <si>
    <t xml:space="preserve">Прямая страница открыта 15.09.2026; цена 10.04 EUR; Excl. VAT / NET excluding German VAT.</t>
  </si>
  <si>
    <t xml:space="preserve">7702 / SVB20109</t>
  </si>
  <si>
    <t xml:space="preserve">Один дистанционный силовой выключатель с управлением 24 V.</t>
  </si>
  <si>
    <t xml:space="preserve">Полная схема резервного пуска, блокировка неисправной АКБ, кабели и пульт — состав проверить.</t>
  </si>
  <si>
    <t xml:space="preserve">24 V относится к управлению; не конвертирует 24 V в 12 V. Число аппаратов и ток/длительность пуска открыты. Ревизия OEM7702100 требует сопоставления SKU.</t>
  </si>
  <si>
    <t xml:space="preserve">Прямая страница открыта 15.09.2026; цена 239.45 EUR; Excl. VAT / NET excluding German VAT.</t>
  </si>
  <si>
    <t xml:space="preserve">EL-10</t>
  </si>
  <si>
    <t xml:space="preserve">Blue Sea universal solenoid switch 24 V</t>
  </si>
  <si>
    <t xml:space="preserve">7703</t>
  </si>
  <si>
    <t xml:space="preserve">Один контактор 24 V управления, альтернативный компонент.</t>
  </si>
  <si>
    <t xml:space="preserve">Защита, логика, силовые кабели, полная резервная система.</t>
  </si>
  <si>
    <t xml:space="preserve">Не считать функционально равным EL-09 без схемы и данных нагрузки; исключить соединение неисправной батареи. Не добавлять АКБ.</t>
  </si>
  <si>
    <t xml:space="preserve">Прямая страница открыта 15.09.2026; цена 226.85 EUR; Excl. VAT / NET excluding German VAT.</t>
  </si>
  <si>
    <t xml:space="preserve">SVB76457</t>
  </si>
  <si>
    <t xml:space="preserve">13.4</t>
  </si>
  <si>
    <t xml:space="preserve">Один береговой ввод, без кабеля и распределения.</t>
  </si>
  <si>
    <t xml:space="preserve">Кабели, держатель/сопряжённые детали, схема, монтаж и остальная система.</t>
  </si>
  <si>
    <t xml:space="preserve">16 A — условный ценовой класс; требуемая береговая мощность неизвестна.</t>
  </si>
  <si>
    <t xml:space="preserve">Прямая страница открыта 15.09.2026: 13.40 EUR Excl. VAT, shipping excluded.</t>
  </si>
  <si>
    <t xml:space="preserve">SVB47673</t>
  </si>
  <si>
    <t xml:space="preserve">15.92</t>
  </si>
  <si>
    <t xml:space="preserve">Упаковка из пяти предохранителей.</t>
  </si>
  <si>
    <t xml:space="preserve">60 A — только ценовой ориентир, не назначение защиты пусковой/инверторной линии; требуется расчёт тока и отключающей способности.</t>
  </si>
  <si>
    <t xml:space="preserve">Прямая страница открыта 15.09.2026: 15.92 EUR Excl. VAT, shipping excluded.</t>
  </si>
  <si>
    <t xml:space="preserve">Vetus-Shop.com (UK)</t>
  </si>
  <si>
    <t xml:space="preserve">2817.92</t>
  </si>
  <si>
    <t xml:space="preserve">Бак; возвратный фильтр; указатель температуры; коллектор до5функций; один клапанHT1013</t>
  </si>
  <si>
    <t xml:space="preserve">Насос/PTO, LS-регулятор, остальные клапаны, охладитель, рукава, масло</t>
  </si>
  <si>
    <t xml:space="preserve"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</si>
  <si>
    <t xml:space="preserve"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</si>
  <si>
    <t xml:space="preserve">deliverables/M09/v001/01_support/hydraulic/offers.json</t>
  </si>
  <si>
    <t xml:space="preserve">2026-09-14</t>
  </si>
  <si>
    <t xml:space="preserve">0.85598</t>
  </si>
  <si>
    <t xml:space="preserve">3173.75</t>
  </si>
  <si>
    <t xml:space="preserve">Насос</t>
  </si>
  <si>
    <t xml:space="preserve">PTO/переходник/ременной привод, опоры, рукава</t>
  </si>
  <si>
    <t xml:space="preserve">836.27</t>
  </si>
  <si>
    <t xml:space="preserve">Регулятор и электрическое соединение по карточке</t>
  </si>
  <si>
    <t xml:space="preserve">Трассы, проект управления</t>
  </si>
  <si>
    <t xml:space="preserve">604.57</t>
  </si>
  <si>
    <t xml:space="preserve">Охладитель32мм</t>
  </si>
  <si>
    <t xml:space="preserve">Насос охлаждения, фильтр, кингстон, трассы</t>
  </si>
  <si>
    <t xml:space="preserve">351.45</t>
  </si>
  <si>
    <t xml:space="preserve">Один клапан24В</t>
  </si>
  <si>
    <t xml:space="preserve">Внешние потребители/гидромоторы/рукава</t>
  </si>
  <si>
    <t xml:space="preserve">570.01</t>
  </si>
  <si>
    <t xml:space="preserve">Клапан управления</t>
  </si>
  <si>
    <t xml:space="preserve">Сама лебёдка/гидромотор/пульт/рукава</t>
  </si>
  <si>
    <t xml:space="preserve">VHT20</t>
  </si>
  <si>
    <t xml:space="preserve">129.17</t>
  </si>
  <si>
    <t xml:space="preserve">150.90</t>
  </si>
  <si>
    <t xml:space="preserve">20л масла</t>
  </si>
  <si>
    <t xml:space="preserve">Промывка, потери, заправочные работы</t>
  </si>
  <si>
    <t xml:space="preserve">FLBX4012S000A00 / QB401</t>
  </si>
  <si>
    <t xml:space="preserve">TYBOAT</t>
  </si>
  <si>
    <t xml:space="preserve">Бойлер40л,220V1200W, теплообменник, опоры</t>
  </si>
  <si>
    <t xml:space="preserve">Смесительный клапан, разводка, монтаж</t>
  </si>
  <si>
    <t xml:space="preserve">Повтор цены M07, не дополнительный бойлер. Объём40л иллюстративный; потребление/доступ OPEN.</t>
  </si>
  <si>
    <t xml:space="preserve">Открытая карточка:829EUR; отдельно690.83HT;QB401; поставка1–6рабочихдней.</t>
  </si>
  <si>
    <t xml:space="preserve">deliverables/M09/v001/01_support/mechanical/offers.json</t>
  </si>
  <si>
    <t xml:space="preserve">ALM-KNT-SWM0150230</t>
  </si>
  <si>
    <t xml:space="preserve">Comptoir Nautique</t>
  </si>
  <si>
    <t xml:space="preserve">Магнитный насос NH150PS230V50/60Hz</t>
  </si>
  <si>
    <t xml:space="preserve">Арматура, шланги, управление, монтаж</t>
  </si>
  <si>
    <t xml:space="preserve">Повтор M07. Назначение на контур забортной/охлаждённой воды, требуемая рабочая точка и ACдопуск OPEN; не два контура одним насосом.</t>
  </si>
  <si>
    <t xml:space="preserve">КарточкаSKU:795.90TTC и663.25HT; предзаказ, пополнение19.09.2026.</t>
  </si>
  <si>
    <t xml:space="preserve">M09-M-03</t>
  </si>
  <si>
    <t xml:space="preserve">Гидроаккумулятор пластиковый0.7л</t>
  </si>
  <si>
    <t xml:space="preserve">SVB33333</t>
  </si>
  <si>
    <t xml:space="preserve">https://www.svb24.com/en/pressure-accumulator-tank-plastic-0-7-litre-max-5-bar.html</t>
  </si>
  <si>
    <t xml:space="preserve">Бак0.7л,до5бар,подключение13мм</t>
  </si>
  <si>
    <t xml:space="preserve">Насос,шланги,монтаж</t>
  </si>
  <si>
    <t xml:space="preserve">Предварительная малая альтернатива функции сглаживания пульсаций; НЕ равнозначная замена ресивера20/24л. Проверить цикличность и напор. В рабочем сценарии EcoInox1/2 уже есть20лресиверы: EXTRA_NOT_AUTOMATIC, дополнительныйбакнеприбавлять.</t>
  </si>
  <si>
    <t xml:space="preserve">Карточка33333:25.17EUR; явноNET excluding German VAT;24штвналичии.</t>
  </si>
  <si>
    <t xml:space="preserve">Racor Shop / Car-In Automotive</t>
  </si>
  <si>
    <t xml:space="preserve">2199.9</t>
  </si>
  <si>
    <t xml:space="preserve">Два корпуса,4ходовойклапан,кронштейн,30мкмэлементы</t>
  </si>
  <si>
    <t xml:space="preserve">Трубопроводы,фитинги,монтаж,первичнаяпрокачка</t>
  </si>
  <si>
    <t xml:space="preserve">Повтор M07;2корпуса — один дуплексный узел. Расход одной активной ветви и OEMмикроны подтвердить;не умножать на3машиныавтоматически.</t>
  </si>
  <si>
    <t xml:space="preserve">ОткрытаяSKUкарточка2199.90EUR;Includes19%VAT19%DE;1вналичии.</t>
  </si>
  <si>
    <t xml:space="preserve">SVB30355</t>
  </si>
  <si>
    <t xml:space="preserve">147.86</t>
  </si>
  <si>
    <t xml:space="preserve">Водозабор3/4,шаровойкран3/4,штуцер19мм,фильтрVetus3303/4,4хомута20–32мм</t>
  </si>
  <si>
    <t xml:space="preserve">Шланги,изолирующаяадаптация,монтаж,выхлоп</t>
  </si>
  <si>
    <t xml:space="preserve">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</si>
  <si>
    <t xml:space="preserve">Открытая карточка30355:147.86EUR;NET excluding German VAT;10вналичии.</t>
  </si>
  <si>
    <t xml:space="preserve">ABMIX / SVB31752</t>
  </si>
  <si>
    <t xml:space="preserve">92.4</t>
  </si>
  <si>
    <t xml:space="preserve">Клапан1/2дюйма дляQuickNAUTIC/B3 и ATI</t>
  </si>
  <si>
    <t xml:space="preserve">Принадлежности на фото не включены; фитинги и монтаж</t>
  </si>
  <si>
    <t xml:space="preserve">Вариант кQuick; не добавлять кбойлеру с уже включённым смесителем.</t>
  </si>
  <si>
    <t xml:space="preserve">ОткрытаяABMIXкарточка92.40EUR NET;9вналичии.</t>
  </si>
  <si>
    <t xml:space="preserve">M09-M-07</t>
  </si>
  <si>
    <t xml:space="preserve">Isotemp Basic40 750W с термосмесителем</t>
  </si>
  <si>
    <t xml:space="preserve">002270</t>
  </si>
  <si>
    <t xml:space="preserve">Tienda del Barco</t>
  </si>
  <si>
    <t xml:space="preserve">https://tiendadelbarco.com/en/basic/4109-isotherm-water-heater-40l-basic40-750w-220v.html</t>
  </si>
  <si>
    <t xml:space="preserve">832.95</t>
  </si>
  <si>
    <t xml:space="preserve">Бойлер40л,нагрев750W,теплообменник,смесительныйклапан</t>
  </si>
  <si>
    <t xml:space="preserve">Разводка,монтаж</t>
  </si>
  <si>
    <t xml:space="preserve">АльтернативаQuick, НЕ плюсQuick.750Wменяетвремянагрева;230Vвописанииvs220Vзаголовок — проверитьACдопуск.</t>
  </si>
  <si>
    <t xml:space="preserve">Открытаякарточка002270:832.95EUR Taxexcluded; наличиепообращению.</t>
  </si>
  <si>
    <t xml:space="preserve">SVB24342 / EAN4260303252629</t>
  </si>
  <si>
    <t xml:space="preserve">10.88</t>
  </si>
  <si>
    <t xml:space="preserve">Одноразовый угольный фильтр1/4дюйма,7000лпаспортныйресурс</t>
  </si>
  <si>
    <t xml:space="preserve">Штуцеры,дезинфекция,контролькачества,монтаж</t>
  </si>
  <si>
    <t xml:space="preserve">200л/чмаксимум,8бар;для точки/заполнениябака.Необещаетмикробиологическибезопаснуюводу;не универсальныйполносудовойфильтр.</t>
  </si>
  <si>
    <t xml:space="preserve">Открытая24342карточка10.88EURNET;&gt;100вналичии.</t>
  </si>
  <si>
    <t xml:space="preserve">M09-M-09</t>
  </si>
  <si>
    <t xml:space="preserve">Угольный проточный фильтр альтернативный</t>
  </si>
  <si>
    <t xml:space="preserve">SVB24344</t>
  </si>
  <si>
    <t xml:space="preserve">https://www.svb24.com/en/inline-activated-carbon-filter_.html</t>
  </si>
  <si>
    <t xml:space="preserve">26.01</t>
  </si>
  <si>
    <t xml:space="preserve">Проточный угольный фильтр</t>
  </si>
  <si>
    <t xml:space="preserve">Монтаж,остальныеступениочистки</t>
  </si>
  <si>
    <t xml:space="preserve">Альтернатива24342послесверкиподключений/производительности;не вторая обязательная ступень.</t>
  </si>
  <si>
    <t xml:space="preserve">Открытаякарточка24344:26.01EURNET;текущийнеRRP.</t>
  </si>
  <si>
    <t xml:space="preserve">500MAM10</t>
  </si>
  <si>
    <t xml:space="preserve">594.6</t>
  </si>
  <si>
    <t xml:space="preserve">499.66</t>
  </si>
  <si>
    <t xml:space="preserve">Один морской фильтр-влагоотделитель</t>
  </si>
  <si>
    <t xml:space="preserve">Дуплексный переключающий узел,трубопроводы,монтаж</t>
  </si>
  <si>
    <t xml:space="preserve">Альтернативаодиночнойветви;НЕ равнозначна75500пообслуживаниюбезостановки.Длягенераторарасход/микроны/qtyподобратьотдельно.</t>
  </si>
  <si>
    <t xml:space="preserve">Открытая500MAM10карточка594.60EURIncludes19%VAT.</t>
  </si>
  <si>
    <t xml:space="preserve">Mediawinkel</t>
  </si>
  <si>
    <t xml:space="preserve">Фильтр забортной воды32мм, металлическаякрышка</t>
  </si>
  <si>
    <t xml:space="preserve">Кингстон,шланги,хомуты,монтаж</t>
  </si>
  <si>
    <t xml:space="preserve">ПовторM07;не добавлять ккомплекту уже содержащему фильтр.Подобратьрасходиустановочныйуровень.</t>
  </si>
  <si>
    <t xml:space="preserve">Открытаякарточка164.46EURExclBTW/199inclBTW;NETвзятнапрямую.</t>
  </si>
  <si>
    <t xml:space="preserve">59530-0000B /12695</t>
  </si>
  <si>
    <t xml:space="preserve">Flutech Marine</t>
  </si>
  <si>
    <t xml:space="preserve">484.83</t>
  </si>
  <si>
    <t xml:space="preserve">407.42</t>
  </si>
  <si>
    <t xml:space="preserve">Магнитныйнасос8–24V,штуцер3/4,до80C</t>
  </si>
  <si>
    <t xml:space="preserve">Клапаны,таймер/термоуправление,монтаж</t>
  </si>
  <si>
    <t xml:space="preserve">ПредварительноциркуляцияГВС.21л/минпри0.1бар,несамовсасывающий; допускматериаловкпитьевойГВСподтвердить,не автоматическоезамещениеHVACнасоса.</t>
  </si>
  <si>
    <t xml:space="preserve">ОткрытаяSKU12695:484.83EURincl19%VAT;немедленнодоступен.</t>
  </si>
  <si>
    <t xml:space="preserve">M09-M-13</t>
  </si>
  <si>
    <t xml:space="preserve">Jabsco Ecocirc бронза горячая вода8–24V</t>
  </si>
  <si>
    <t xml:space="preserve">59520-0000B /17355300</t>
  </si>
  <si>
    <t xml:space="preserve">Seashop Belgium</t>
  </si>
  <si>
    <t xml:space="preserve">https://www.seashop.com/en/jabsco-59520-0000b-circulation-pump-for-hot-water-8-24v</t>
  </si>
  <si>
    <t xml:space="preserve">387.2</t>
  </si>
  <si>
    <t xml:space="preserve">Насосгорячейводы8–24V</t>
  </si>
  <si>
    <t xml:space="preserve">Трубопроводы,арматура,монтаж</t>
  </si>
  <si>
    <t xml:space="preserve">Альтернатива59530; допускпитьевойГВСиуправлениеOPEN;10барвкарточкенесчитатьнапоромнасоса.</t>
  </si>
  <si>
    <t xml:space="preserve">Открытаякарточка387.20EURspecialprice;3–5дней;VATпоканеподтверждён. CGV https://www.seashop.com/en/general-sales-conditions clause5 подтверждаетвключённыйVAT,ставканеуказана;NETnull.</t>
  </si>
  <si>
    <t xml:space="preserve">M09-M-14</t>
  </si>
  <si>
    <t xml:space="preserve">Vetus waterlock90мм heavy duty</t>
  </si>
  <si>
    <t xml:space="preserve">NLP90HD /VT-010-100-722</t>
  </si>
  <si>
    <t xml:space="preserve">12seemeilen</t>
  </si>
  <si>
    <t xml:space="preserve">https://www.12seemeilen.de/vetus-wassersammler-drehbar-typ-nlp90.html</t>
  </si>
  <si>
    <t xml:space="preserve">398.9</t>
  </si>
  <si>
    <t xml:space="preserve">Водосборник выхлопа90ммсмонтажнымкреплением</t>
  </si>
  <si>
    <t xml:space="preserve">Шланг,антисифон,бортовойвыход,сигнализация,монтаж</t>
  </si>
  <si>
    <t xml:space="preserve">Иллюстративныйразмер,не выбордляYanmarилиPanda.ЗаголовокNLP90,фактическийHAN NLP90HD;объёмвозвратнойводы/противодавлениеOPEN.</t>
  </si>
  <si>
    <t xml:space="preserve">Открытаякарточка398.90EURinklMwSt;ставкаввидимомтекстенеуказана=&gt;NETnull;наличие1–2дня.</t>
  </si>
  <si>
    <t xml:space="preserve">M09-M-15</t>
  </si>
  <si>
    <t xml:space="preserve">Frigomar NH200PS</t>
  </si>
  <si>
    <t xml:space="preserve">SWM0200230 /FR747051</t>
  </si>
  <si>
    <t xml:space="preserve">Aquanautique</t>
  </si>
  <si>
    <t xml:space="preserve">https://www.aquanautique.com/fr/eau/pompes/pompe-eau-de-mer/frigomar-pompe-a-entrainement-magnetique-nh-200ps.html</t>
  </si>
  <si>
    <t xml:space="preserve">914</t>
  </si>
  <si>
    <t xml:space="preserve">761.67</t>
  </si>
  <si>
    <t xml:space="preserve">НасосзабортнойводыNH200PS180W220V50/60Hz</t>
  </si>
  <si>
    <t xml:space="preserve">Трубопроводы,управление,монтаж</t>
  </si>
  <si>
    <t xml:space="preserve">АльтернативаNH150по выбранной рабочей точке.Размер1дюйм;60л/минпри0.5барпокарточке;не приравнивать к замкнутому chilledwater. ПоискSKUбылSWM04230-230,открытаякарточкаSWM0200230 — братьпоследнийсобязательнымподтверждениемревизии.</t>
  </si>
  <si>
    <t xml:space="preserve">Открытаякарточка914TTC/761.67HT;непримененыдополнительныекупоны.</t>
  </si>
  <si>
    <t xml:space="preserve">M09-M-16</t>
  </si>
  <si>
    <t xml:space="preserve">Vetus Bullflex16 вал50мм</t>
  </si>
  <si>
    <t xml:space="preserve">BULFL1650</t>
  </si>
  <si>
    <t xml:space="preserve">Shop Marine</t>
  </si>
  <si>
    <t xml:space="preserve">https://www.shop-marine.com/accouplement-flexible-bullflex/accouplement-flexible-type-bullflex-16-diametre-205mm-arbre-50mm</t>
  </si>
  <si>
    <t xml:space="preserve">1069.2</t>
  </si>
  <si>
    <t xml:space="preserve">ЭластичнаямуфтаBullflex16</t>
  </si>
  <si>
    <t xml:space="preserve">Вал,упорныйподшипник,адаптацияфланца,шпилькиеслиотдельны,монтаж</t>
  </si>
  <si>
    <t xml:space="preserve">PRICE_REFERENCE_ONLY. OEMлимит12.6кВт/100обминвала (DIN6270B):при235кВт3800обминредукции2.43непроходит;покупкунепредлагатьбезпроверкиредукции/момента.НеоплачиваетвесьME03.</t>
  </si>
  <si>
    <t xml:space="preserve">Открытаякарточка1069.20EUR;CGVarticle5ценыTTC,ставканеуказана=&gt;NETnull;stockdispo.</t>
  </si>
  <si>
    <t xml:space="preserve">02-50M-314 /SVB67170</t>
  </si>
  <si>
    <t xml:space="preserve">647.02</t>
  </si>
  <si>
    <t xml:space="preserve">УплотнениеPSSдлявала50мм,дейдвуд83–86мм</t>
  </si>
  <si>
    <t xml:space="preserve">Вал,дейдвуд,подача/вентиляцияводы,монтаж</t>
  </si>
  <si>
    <t xml:space="preserve">Ценовойаналогдиаметра50мм,диаметрнеутверждён;геометриядейдвудаиусловияохлажденияOPEN.Одноуплотнениенаодинвалпредварительно.</t>
  </si>
  <si>
    <t xml:space="preserve">Открытаякарточка67170:647.02EURNET;SKU02-50M-314.</t>
  </si>
  <si>
    <t xml:space="preserve">M09-M-18</t>
  </si>
  <si>
    <t xml:space="preserve">Aquadrive упорныйузел B10/CV21</t>
  </si>
  <si>
    <t xml:space="preserve">6110510</t>
  </si>
  <si>
    <t xml:space="preserve">ATMB Marine</t>
  </si>
  <si>
    <t xml:space="preserve">https://www.atmbmarine.com/en/moduline-b10-aquadrive/617-stop-b10-cv21-for-shaft-o-35-to-50-mm.html</t>
  </si>
  <si>
    <t xml:space="preserve">891.5</t>
  </si>
  <si>
    <t xml:space="preserve">unknown</t>
  </si>
  <si>
    <t xml:space="preserve">УпорныйузелB10/CV21</t>
  </si>
  <si>
    <t xml:space="preserve">CVвал,адаптерредуктора,втулкаеслиотдельна,фундамент,монтаж</t>
  </si>
  <si>
    <t xml:space="preserve">PRICE_REFERENCE_ONLY,неполныйAquadrive.Для300–320hpподборнагрузкиOPEN;не складыватьавтоматическисBullflexкакобязательнуювторуюмуфту.</t>
  </si>
  <si>
    <t xml:space="preserve">Открытаякарточка6110510:891.50EUR;ставка/включениеVATнепоказаны;ondhand.</t>
  </si>
  <si>
    <t xml:space="preserve">M09-M-19</t>
  </si>
  <si>
    <t xml:space="preserve">Vetus Bullflex32 вал50мм</t>
  </si>
  <si>
    <t xml:space="preserve">BULFL3250</t>
  </si>
  <si>
    <t xml:space="preserve">MEC Leisure UK</t>
  </si>
  <si>
    <t xml:space="preserve">https://mecleisure.co.uk/products/flexible-coupling-type-bullflex-32-shaft-a-50-mm-bulfl3250</t>
  </si>
  <si>
    <t xml:space="preserve">2081.5</t>
  </si>
  <si>
    <t xml:space="preserve">Эластичная муфта Bullflex32</t>
  </si>
  <si>
    <t xml:space="preserve">Адаптация к KMH50A, вал, независимый упорный узел, монтаж, UKимпорт</t>
  </si>
  <si>
    <t xml:space="preserve">Предварительный более высокий класс момента вместо16; OEM2200Нм DIN6270B. Размер50мм и полная кривая момента/фланец OPEN. SOLD_OUT.</t>
  </si>
  <si>
    <t xml:space="preserve">Прямое открытие:2081.50GBP, Taxesincluded, Soldout. Ставка не подтверждена=&gt;NETnull.</t>
  </si>
  <si>
    <t xml:space="preserve">M09-M-20</t>
  </si>
  <si>
    <t xml:space="preserve">Vetus Bullflex32 вал50мм альтернативный источник</t>
  </si>
  <si>
    <t xml:space="preserve">Lancing Marine UK</t>
  </si>
  <si>
    <t xml:space="preserve">https://www.lancingmarine.com/product/vetus/Stern-Gear.aspx</t>
  </si>
  <si>
    <t xml:space="preserve">2147</t>
  </si>
  <si>
    <t xml:space="preserve">Муфта Bullflex32</t>
  </si>
  <si>
    <t xml:space="preserve">Крепёж BUL32SET перечислен отдельно; адаптер, вал, упорныйузел, монтаж, импорт</t>
  </si>
  <si>
    <t xml:space="preserve">Тот же предварительный класс32; прайс без даты и без подтверждения наличия, налоговая база OPEN.</t>
  </si>
  <si>
    <t xml:space="preserve">Прямое открытие таблицы:строкаBULFL3250 £2147.00; VATне найден;NETnull.</t>
  </si>
  <si>
    <t xml:space="preserve">Группа</t>
  </si>
  <si>
    <t xml:space="preserve">Затрата</t>
  </si>
  <si>
    <t xml:space="preserve">Почему не закрыта магазинной ценой</t>
  </si>
  <si>
    <t xml:space="preserve">OPEN-ME-03</t>
  </si>
  <si>
    <t xml:space="preserve">Муфта, опоры, упорный узел и элементы валопровода</t>
  </si>
  <si>
    <t xml:space="preserve">Добавлена цена одного PSS. Вал, муфта/упорный узел, опоры, крепёж и согласование трансмиссии остаются неоценёнными; недостаточный Bullflex16 не выбран.</t>
  </si>
  <si>
    <t xml:space="preserve">OPEN-ME-06</t>
  </si>
  <si>
    <t xml:space="preserve">Независимое инверторное питание AC насоса пресной воды</t>
  </si>
  <si>
    <t xml:space="preserve">Цена вспомогательного инвертора раскрыта отдельно. Переключение, защита и доказанная независимость водоснабжения остаются открытыми.</t>
  </si>
  <si>
    <t xml:space="preserve">OPEN-ME-10</t>
  </si>
  <si>
    <t xml:space="preserve">Распределение AC/DC, переключение источников, зарядная и защитная автоматика</t>
  </si>
  <si>
    <t xml:space="preserve">Часть DC/AC аппаратуры и берегового ввода оценена отдельно. Полные щиты, автоматика источников, номиналы/число защит, заряды и резервный пуск не оценены.</t>
  </si>
  <si>
    <t xml:space="preserve">OPEN-ME-17</t>
  </si>
  <si>
    <t xml:space="preserve">Гидроаккумуляторы, коллекторы, фильтры, клапаны и рециркуляция ГВС</t>
  </si>
  <si>
    <t xml:space="preserve">Смеситель, угольный фильтр и насос ГВС раскрыты отдельно. Коллекторы, клапаны, трубы/изоляция и сопряжения не оценены. Ресиверы 20 л внутри Gianneschi повторно не добавлять.</t>
  </si>
  <si>
    <t xml:space="preserve">OPEN-ME-26</t>
  </si>
  <si>
    <t xml:space="preserve">Резервное водяное отопление</t>
  </si>
  <si>
    <t xml:space="preserve">Один котёл показан опцией вне основного итога. Полный отопительный контур, управление и монтаж опции не оценены.</t>
  </si>
  <si>
    <t xml:space="preserve">GAP-01</t>
  </si>
  <si>
    <t xml:space="preserve">Рабочее проектирование и интеграция МО</t>
  </si>
  <si>
    <t xml:space="preserve">Чертежи фундаментов/трасс/систем; без общей архитектуры всей яхты</t>
  </si>
  <si>
    <t xml:space="preserve">GAP-02</t>
  </si>
  <si>
    <t xml:space="preserve">Внешние трубопроводы, кабели и монтажные материалы</t>
  </si>
  <si>
    <t xml:space="preserve">Только невключённые в поставку материалы: длины, диаметры, крепления и изоляция по проекту</t>
  </si>
  <si>
    <t xml:space="preserve">GAP-03</t>
  </si>
  <si>
    <t xml:space="preserve">Изготовление фундаментов и локальных усилений</t>
  </si>
  <si>
    <t xml:space="preserve">Внешние корпусные работы; не повтор заводских виброопор и корпусного бюджета</t>
  </si>
  <si>
    <t xml:space="preserve">GAP-04</t>
  </si>
  <si>
    <t xml:space="preserve">Монтаж и центровка оборудования</t>
  </si>
  <si>
    <t xml:space="preserve">Труд и оснастка; без уже включённого монтажа из будущих КП</t>
  </si>
  <si>
    <t xml:space="preserve">GAP-05</t>
  </si>
  <si>
    <t xml:space="preserve">Настройка, пусконаладка и испытания МО</t>
  </si>
  <si>
    <t xml:space="preserve">Системные/интеграционные испытания; не повтор заводских испытаний и общесудовой приёмки</t>
  </si>
  <si>
    <t xml:space="preserve">GAP-06</t>
  </si>
  <si>
    <t xml:space="preserve">Доставка и страхование до верфи</t>
  </si>
  <si>
    <t xml:space="preserve">Маршрут, местоотгрузки,масса/габариты; есливключеноКП — обоснованныйноль</t>
  </si>
  <si>
    <t xml:space="preserve">GAP-07</t>
  </si>
  <si>
    <t xml:space="preserve">Пошлина и таможенное оформление</t>
  </si>
  <si>
    <t xml:space="preserve">Применимость по маршруту и происхождению; не автоматическое начисление; VATбаза уточняется</t>
  </si>
  <si>
    <t xml:space="preserve">GAP-08</t>
  </si>
  <si>
    <t xml:space="preserve">Дополнительная установочная комплектность</t>
  </si>
  <si>
    <t xml:space="preserve">Недостающие соединители,контроллеры,сервисные принадлежности послеM06; оплачиватьодинразпоBOM</t>
  </si>
  <si>
    <t xml:space="preserve">OPEN-HYD</t>
  </si>
  <si>
    <t xml:space="preserve">Остаток гидросистемы и привода</t>
  </si>
  <si>
    <t xml:space="preserve">PTO/адаптация насоса, резерв при остановленном дизеле, клапаны, исполнительные механизмы, шланги, промывка и настройка не оценены. HT1016SD2 привязан к PRM, не доказано сопряжение с KMH50A.</t>
  </si>
  <si>
    <t xml:space="preserve">OPEN-FIRE</t>
  </si>
  <si>
    <t xml:space="preserve">Остаток пожарной системы</t>
  </si>
  <si>
    <t xml:space="preserve">Обнаружение, ручной пуск, приводы отсечек и закрытия вентиляции, проверка защищаемого объёма и схемы останова не оценены.</t>
  </si>
  <si>
    <t xml:space="preserve">OPEN-HVAC</t>
  </si>
  <si>
    <t xml:space="preserve">ME-15|ME-16</t>
  </si>
  <si>
    <t xml:space="preserve">Остаток климатической системы</t>
  </si>
  <si>
    <t xml:space="preserve">Фанкойлы/воздухораспределение, контуры, балансировка, изоляция и дренаж не оценены; точный состав двух модулей уточняется.</t>
  </si>
  <si>
    <t xml:space="preserve">OPEN-TANK</t>
  </si>
  <si>
    <t xml:space="preserve">ME-24|ME-25</t>
  </si>
  <si>
    <t xml:space="preserve">Танки, арматура и индикация — остаток</t>
  </si>
  <si>
    <t xml:space="preserve">Пять датчиков не являются ценой танков. Изготовление/испытания, индикаторы, люки, вентиляция и санитарные интерфейсы не оценены.</t>
  </si>
  <si>
    <t xml:space="preserve">OPEN-SERV</t>
  </si>
  <si>
    <t xml:space="preserve">ME-18|ME-19|ME-20|ME-22|ME-23</t>
  </si>
  <si>
    <t xml:space="preserve">Обвязка, выхлоп и сервисные сети — остаток</t>
  </si>
  <si>
    <t xml:space="preserve">Выхлоп трёх дизелей, антисифоны, запорная арматура, каналы вентиляции, масляный коллектор, трубы и сервисный свет не оценены. Исключить пересечение материалов с GAP-02 после BOM.</t>
  </si>
  <si>
    <t xml:space="preserve">OPEN-RO</t>
  </si>
  <si>
    <t xml:space="preserve">Доукомплектование опреснителя</t>
  </si>
  <si>
    <t xml:space="preserve">Базовая цена «от» не покрывает окончательные опции/контроль солёности/отвод и установленную систему.</t>
  </si>
  <si>
    <t xml:space="preserve">item_id</t>
  </si>
  <si>
    <t xml:space="preserve">group</t>
  </si>
  <si>
    <t xml:space="preserve">item</t>
  </si>
  <si>
    <t xml:space="preserve">quantity</t>
  </si>
  <si>
    <t xml:space="preserve">quantity_basis</t>
  </si>
  <si>
    <t xml:space="preserve">branch_8lv</t>
  </si>
  <si>
    <t xml:space="preserve">branch_6lpa</t>
  </si>
  <si>
    <t xml:space="preserve">supply_boundary</t>
  </si>
  <si>
    <t xml:space="preserve">interfaces</t>
  </si>
  <si>
    <t xml:space="preserve">price_ref</t>
  </si>
  <si>
    <t xml:space="preserve">technical_source</t>
  </si>
  <si>
    <t xml:space="preserve">required_evidence</t>
  </si>
  <si>
    <t xml:space="preserve">closure_owner</t>
  </si>
  <si>
    <t xml:space="preserve">status</t>
  </si>
  <si>
    <t xml:space="preserve">acceptance</t>
  </si>
  <si>
    <t xml:space="preserve">notes</t>
  </si>
  <si>
    <t xml:space="preserve">M01</t>
  </si>
  <si>
    <t xml:space="preserve">PK01</t>
  </si>
  <si>
    <t xml:space="preserve">Главный двигатель:8LV320 либо6LPA-STP2</t>
  </si>
  <si>
    <t xml:space="preserve">1</t>
  </si>
  <si>
    <t xml:space="preserve">Одна силовая установка; две альтернативы не суммируются</t>
  </si>
  <si>
    <t xml:space="preserve">INCLUDED_DEALER_STATEMENT</t>
  </si>
  <si>
    <t xml:space="preserve">8LV в пакете;6LPA bobtail</t>
  </si>
  <si>
    <t xml:space="preserve">Нагрузка/редуктор/пуск/фундаменты</t>
  </si>
  <si>
    <t xml:space="preserve">M03 YAN-E01 /YAN-E02</t>
  </si>
  <si>
    <t xml:space="preserve">M03/yanmar/research.md; OEM8LV2021spec and2019manual; M04/gearbox.md; OEM6LPA2021spec and partsfig48</t>
  </si>
  <si>
    <t xml:space="preserve">ТочныйSKU/серийная ревизия; допустимый длительный режим; документы применимостиЕС</t>
  </si>
  <si>
    <t xml:space="preserve">Поставщик двигателя + проектант</t>
  </si>
  <si>
    <t xml:space="preserve">OPEN</t>
  </si>
  <si>
    <t xml:space="preserve">Подтверждён требуемый полезный ходовой результат и допустимость поставки</t>
  </si>
  <si>
    <t xml:space="preserve">8LV320мhp не300continuous; оба исходно12V;6LPA RCD1 applicabilityOPEN</t>
  </si>
  <si>
    <t xml:space="preserve">M02</t>
  </si>
  <si>
    <t xml:space="preserve">Редуктор KMH50A либо KMH50A-LP</t>
  </si>
  <si>
    <t xml:space="preserve">Один из альтернативных редукторов</t>
  </si>
  <si>
    <t xml:space="preserve">SEPARATE</t>
  </si>
  <si>
    <t xml:space="preserve">8LV вместе с двигателем;LP отдельное предложение</t>
  </si>
  <si>
    <t xml:space="preserve">Отношение/фланцы/направление вращения/управление</t>
  </si>
  <si>
    <t xml:space="preserve">M03 YAN-E01; M05 GA01/GA02/GA03</t>
  </si>
  <si>
    <t xml:space="preserve">M04/gearbox.md; OEM6LPA2021spec and partsfig48</t>
  </si>
  <si>
    <t xml:space="preserve">BOM исполнения; расчёт отношения и винта; состав охлаждения/управления</t>
  </si>
  <si>
    <t xml:space="preserve">Поставщик + проектант пропульсии</t>
  </si>
  <si>
    <t xml:space="preserve">Редуктор согласован с двигателем и винтом</t>
  </si>
  <si>
    <t xml:space="preserve">LP ratio2.13 только кандидат; историческийGA03 не текущаяцена</t>
  </si>
  <si>
    <t xml:space="preserve">M03</t>
  </si>
  <si>
    <t xml:space="preserve">Торсионный демпфер</t>
  </si>
  <si>
    <t xml:space="preserve">Функционально1; отдельная закупка лишь если отсутствует в выбранном пакете</t>
  </si>
  <si>
    <t xml:space="preserve">Проверить включённость;119773-85520 только кандидат6LPA</t>
  </si>
  <si>
    <t xml:space="preserve">Маховик/входной вал/торсионные колебания</t>
  </si>
  <si>
    <t xml:space="preserve">M04 GB03</t>
  </si>
  <si>
    <t xml:space="preserve">Совместимость/замена артикула; включённость; торсионное согласование</t>
  </si>
  <si>
    <t xml:space="preserve">Поставщик силового комплекта</t>
  </si>
  <si>
    <t xml:space="preserve">Один согласованный демпфер без двойного счёта</t>
  </si>
  <si>
    <t xml:space="preserve">85520 заменяет85500; не передний демпфер коленвала</t>
  </si>
  <si>
    <t xml:space="preserve">M04</t>
  </si>
  <si>
    <t xml:space="preserve">Присоединительный корпус, фланцы, лапы и крепёж</t>
  </si>
  <si>
    <t xml:space="preserve">позиции BOM</t>
  </si>
  <si>
    <t xml:space="preserve">Количество после ведомости точного двигателя/редуктора</t>
  </si>
  <si>
    <t xml:space="preserve">Только стык двигателя с редуктором</t>
  </si>
  <si>
    <t xml:space="preserve">BorgWarner/SAE; болтовые соединения</t>
  </si>
  <si>
    <t xml:space="preserve">Монтажный чертёж и артикулы присоединения</t>
  </si>
  <si>
    <t xml:space="preserve">Поставщик комплекта</t>
  </si>
  <si>
    <t xml:space="preserve">Стык комплектен по монтажному BOM</t>
  </si>
  <si>
    <t xml:space="preserve">M05</t>
  </si>
  <si>
    <t xml:space="preserve">Гребной вал</t>
  </si>
  <si>
    <t xml:space="preserve">Предварительно одна валовая линия для одного двигателя; схема на согласовании</t>
  </si>
  <si>
    <t xml:space="preserve">Изготовление вала; без подшипников/уплотнения/винта</t>
  </si>
  <si>
    <t xml:space="preserve">Редуктор/дейдвуд/винт</t>
  </si>
  <si>
    <t xml:space="preserve">Проектная декомпозиция M06</t>
  </si>
  <si>
    <t xml:space="preserve">Материал,диаметр,длина,конусы/шпонки,расчёт и чертёж</t>
  </si>
  <si>
    <t xml:space="preserve">Проектант пропульсии + изготовитель</t>
  </si>
  <si>
    <t xml:space="preserve">Вал соответствует утверждённой схеме</t>
  </si>
  <si>
    <t xml:space="preserve">Число1 — рабочая схема, размерыOPEN</t>
  </si>
  <si>
    <t xml:space="preserve">M06</t>
  </si>
  <si>
    <t xml:space="preserve">Выходная муфта валопровода</t>
  </si>
  <si>
    <t xml:space="preserve">Один стык редуктора и вала по рабочей схеме</t>
  </si>
  <si>
    <t xml:space="preserve">Не входной демпферM03</t>
  </si>
  <si>
    <t xml:space="preserve">Выходной фланец/осевая нагрузка/допуск несоосности</t>
  </si>
  <si>
    <t xml:space="preserve">Чертёж фланца; допустимые нагрузки; включённость</t>
  </si>
  <si>
    <t xml:space="preserve">Проектант + поставщик</t>
  </si>
  <si>
    <t xml:space="preserve">Совместимый согласованный стык</t>
  </si>
  <si>
    <t xml:space="preserve">M07</t>
  </si>
  <si>
    <t xml:space="preserve">Дейдвудное уплотнение</t>
  </si>
  <si>
    <t xml:space="preserve">Один ввод вала по рабочей схеме</t>
  </si>
  <si>
    <t xml:space="preserve">Уплотнение и его локальные подключения</t>
  </si>
  <si>
    <t xml:space="preserve">Вал/корпус/охлаждение/аварийный доступ</t>
  </si>
  <si>
    <t xml:space="preserve">Диаметр; режим смазки/водоснабжения; сервисный доступ</t>
  </si>
  <si>
    <t xml:space="preserve">Герметичность и доступ по инструкции изделия</t>
  </si>
  <si>
    <t xml:space="preserve">M08</t>
  </si>
  <si>
    <t xml:space="preserve">Дейдвуд, подшипники и наружные опоры</t>
  </si>
  <si>
    <t xml:space="preserve">Количество и состояние исходного корпуса после обследования</t>
  </si>
  <si>
    <t xml:space="preserve">Не закупать уже существующее без проверки</t>
  </si>
  <si>
    <t xml:space="preserve">Вал/корпус/гальваническая развязка</t>
  </si>
  <si>
    <t xml:space="preserve">Обмеры исходного корпуса; схема опор; нагрузки</t>
  </si>
  <si>
    <t xml:space="preserve">Корпусный проектант + верфь</t>
  </si>
  <si>
    <t xml:space="preserve">Согласованы опоры и линия вала</t>
  </si>
  <si>
    <t xml:space="preserve">M09</t>
  </si>
  <si>
    <t xml:space="preserve">Гребной винт</t>
  </si>
  <si>
    <t xml:space="preserve">Один винт для рабочей одновальной схемы</t>
  </si>
  <si>
    <t xml:space="preserve">Тип/диаметр/шаг/лопасти не выбраны</t>
  </si>
  <si>
    <t xml:space="preserve">Вал/корпус/двигатель/редуктор</t>
  </si>
  <si>
    <t xml:space="preserve">Расчёт хода и кавитации; зазоры; сопротивление под парусом</t>
  </si>
  <si>
    <t xml:space="preserve">Проектант пропульсии</t>
  </si>
  <si>
    <t xml:space="preserve">Достижение согласованных режимов без перегрузки двигателя</t>
  </si>
  <si>
    <t xml:space="preserve">M10</t>
  </si>
  <si>
    <t xml:space="preserve">Отдельный упорный подшипник и гибкая передача</t>
  </si>
  <si>
    <t xml:space="preserve">условная позиция</t>
  </si>
  <si>
    <t xml:space="preserve">Только если выбрана схема с разгрузкой редуктора</t>
  </si>
  <si>
    <t xml:space="preserve">OPTIONAL</t>
  </si>
  <si>
    <t xml:space="preserve">Не обязательное дополнение к любой муфте</t>
  </si>
  <si>
    <t xml:space="preserve">Осевая нагрузка/корпус/центровка</t>
  </si>
  <si>
    <t xml:space="preserve">Решение по передаче упора и расчёт фундамента</t>
  </si>
  <si>
    <t xml:space="preserve">Проектант</t>
  </si>
  <si>
    <t xml:space="preserve">Схема утверждена или позиция исключена</t>
  </si>
  <si>
    <t xml:space="preserve">M11</t>
  </si>
  <si>
    <t xml:space="preserve">Эластичные опоры двигателя/редуктора</t>
  </si>
  <si>
    <t xml:space="preserve">Тип/количество поBOM; не назначать4 без поставки</t>
  </si>
  <si>
    <t xml:space="preserve">Abma заявляет опоры8LV; bobtail6LPA проверить</t>
  </si>
  <si>
    <t xml:space="preserve">Масса/центр тяжести/фундаменты</t>
  </si>
  <si>
    <t xml:space="preserve">M03 YAN-E01</t>
  </si>
  <si>
    <t xml:space="preserve">Артикулы/количество/допустимые нагрузки/регулировки</t>
  </si>
  <si>
    <t xml:space="preserve">Поставщик + верфь</t>
  </si>
  <si>
    <t xml:space="preserve">Опоры согласованы с нагрузкой и регулировкой</t>
  </si>
  <si>
    <t xml:space="preserve">M12</t>
  </si>
  <si>
    <t xml:space="preserve">Фундаменты и усиления корпуса</t>
  </si>
  <si>
    <t xml:space="preserve">объёмы работ</t>
  </si>
  <si>
    <t xml:space="preserve">После обследования и расчёта</t>
  </si>
  <si>
    <t xml:space="preserve">Изменения алюминиевого корпуса под главный двигатель</t>
  </si>
  <si>
    <t xml:space="preserve">Опоры/упор/коррозия/обслуживание</t>
  </si>
  <si>
    <t xml:space="preserve">Обмер,расчёт,чертежи,материалы/сварка</t>
  </si>
  <si>
    <t xml:space="preserve">Приняты геометрия и качество работ</t>
  </si>
  <si>
    <t xml:space="preserve">M13</t>
  </si>
  <si>
    <t xml:space="preserve">PK09</t>
  </si>
  <si>
    <t xml:space="preserve">Подача и возврат топлива главного двигателя</t>
  </si>
  <si>
    <t xml:space="preserve">позиции/м поBOM</t>
  </si>
  <si>
    <t xml:space="preserve">Трасса/арматура/длиныOPEN</t>
  </si>
  <si>
    <t xml:space="preserve">Внешний контур от границы танка до двигателя; безгенераторов</t>
  </si>
  <si>
    <t xml:space="preserve">Танк/насос/расход/обратное давление</t>
  </si>
  <si>
    <t xml:space="preserve">OEM manuals8LV/6LPA; M03research</t>
  </si>
  <si>
    <t xml:space="preserve">Схема; диаметры; материалы; запорная арматура; допустимые давления</t>
  </si>
  <si>
    <t xml:space="preserve">Системный проектант + верфь</t>
  </si>
  <si>
    <t xml:space="preserve">Герметичность и параметры подачи/возврата подтверждены</t>
  </si>
  <si>
    <t xml:space="preserve">M14</t>
  </si>
  <si>
    <t xml:space="preserve">Предварительная фильтрация/водоотделение топлива</t>
  </si>
  <si>
    <t xml:space="preserve">Число фильтров и необходимость резервирования по схеме</t>
  </si>
  <si>
    <t xml:space="preserve">Не путать со штатным фильтром на двигателе</t>
  </si>
  <si>
    <t xml:space="preserve">Топливоподача/обслуживание/сигнализация</t>
  </si>
  <si>
    <t xml:space="preserve">OEM engine specs; M03research</t>
  </si>
  <si>
    <t xml:space="preserve">Штатная комплектность; требуемая тонкость/расход/перепад</t>
  </si>
  <si>
    <t xml:space="preserve">Поставщик + системный проектант</t>
  </si>
  <si>
    <t xml:space="preserve">Фильтрация соответствует инструкции двигателя</t>
  </si>
  <si>
    <t xml:space="preserve">M15</t>
  </si>
  <si>
    <t xml:space="preserve">Интерфейс топливных танков</t>
  </si>
  <si>
    <t xml:space="preserve">Ёмкость/число танков здесь не назначаются</t>
  </si>
  <si>
    <t xml:space="preserve">Отбор/возврат/отсечка/очистка; сами танки отдельный корпусной/системный пакет</t>
  </si>
  <si>
    <t xml:space="preserve">Общие танки яхты и отдельные потребители</t>
  </si>
  <si>
    <t xml:space="preserve">Согласованные штуцеры/уровни/режимы и границы пакетов</t>
  </si>
  <si>
    <t xml:space="preserve">Системный проектант</t>
  </si>
  <si>
    <t xml:space="preserve">Утверждены интерфейсы без дублирования танков</t>
  </si>
  <si>
    <t xml:space="preserve">M16</t>
  </si>
  <si>
    <t xml:space="preserve">Забортное охлаждение главного двигателя</t>
  </si>
  <si>
    <t xml:space="preserve">Число вводов и длины после схемы</t>
  </si>
  <si>
    <t xml:space="preserve">Ввод/кингстон/фильтр/шланги/антисифон по применимости; безгенераторов</t>
  </si>
  <si>
    <t xml:space="preserve">Корпус/насос/теплообменники/выхлоп</t>
  </si>
  <si>
    <t xml:space="preserve">OEM manuals8LV/6LPA</t>
  </si>
  <si>
    <t xml:space="preserve">Расход/сопротивление/уровни при крене; развязка металлов</t>
  </si>
  <si>
    <t xml:space="preserve">Согласован расход; исключено обратное затопление по проекту</t>
  </si>
  <si>
    <t xml:space="preserve">M17</t>
  </si>
  <si>
    <t xml:space="preserve">PK01|PK09</t>
  </si>
  <si>
    <t xml:space="preserve">Штатный замкнутый контур охлаждения двигателя</t>
  </si>
  <si>
    <t xml:space="preserve">Проверить все штатные и выносные элементы</t>
  </si>
  <si>
    <t xml:space="preserve">Встроенный насос/теплообменник и расширение; проверитьBOM двигателя</t>
  </si>
  <si>
    <t xml:space="preserve">Высоты/развоздушивание/жидкость</t>
  </si>
  <si>
    <t xml:space="preserve">OEM8LV2021 and6LPA2021spec</t>
  </si>
  <si>
    <t xml:space="preserve">BOM; выносной бак/линии если нужны; инструкция заполнения</t>
  </si>
  <si>
    <t xml:space="preserve">Поставщик</t>
  </si>
  <si>
    <t xml:space="preserve">Полный согласованный контур без вторичной покупки штатных узлов</t>
  </si>
  <si>
    <t xml:space="preserve">M18</t>
  </si>
  <si>
    <t xml:space="preserve">Маслоохладитель редуктора с подключением</t>
  </si>
  <si>
    <t xml:space="preserve">функциональный узел</t>
  </si>
  <si>
    <t xml:space="preserve">Один контур однойкоробки; состав деталейOPEN; закупка по включённости</t>
  </si>
  <si>
    <t xml:space="preserve">GB04 только теплообменник, не готовый узел</t>
  </si>
  <si>
    <t xml:space="preserve">Редуктор/водяной контур/кронштейны/масляные шланги</t>
  </si>
  <si>
    <t xml:space="preserve">M04 GB04</t>
  </si>
  <si>
    <t xml:space="preserve">Серийныйвариант; полныйBOM; включённость в пакет</t>
  </si>
  <si>
    <t xml:space="preserve">Поставщик редуктора</t>
  </si>
  <si>
    <t xml:space="preserve">Проверены давление/температура и отсутствие течей</t>
  </si>
  <si>
    <t xml:space="preserve">M19</t>
  </si>
  <si>
    <t xml:space="preserve">Смесительное выпускное колено</t>
  </si>
  <si>
    <t xml:space="preserve">Один выпуск; тип L/high-riser после отметок</t>
  </si>
  <si>
    <t xml:space="preserve">Сверить комплектность выбранногоSKU; альтернативные колена не складывать</t>
  </si>
  <si>
    <t xml:space="preserve">Двигатель/забортнаявода/выхлоп</t>
  </si>
  <si>
    <t xml:space="preserve">Тип/материал/высоты/включённость</t>
  </si>
  <si>
    <t xml:space="preserve">Колено соответствует монтажной схеме</t>
  </si>
  <si>
    <t xml:space="preserve">M20</t>
  </si>
  <si>
    <t xml:space="preserve">Внешний выпуск главного двигателя</t>
  </si>
  <si>
    <t xml:space="preserve">Трасса,водянойзамок/глушитель/петли/выпуск порасчёту</t>
  </si>
  <si>
    <t xml:space="preserve">От колена до выхода за борт; без выпусков генераторов</t>
  </si>
  <si>
    <t xml:space="preserve">Противодавление/затопление/шум/температура</t>
  </si>
  <si>
    <t xml:space="preserve">Чертёж/длины/сечения/расчёт противодавления и водяногообъёма</t>
  </si>
  <si>
    <t xml:space="preserve">Противодавление/защита от воды соответствуют OEM</t>
  </si>
  <si>
    <t xml:space="preserve">M21</t>
  </si>
  <si>
    <t xml:space="preserve">Воздух двигателя и интерфейс вентиляции МО</t>
  </si>
  <si>
    <t xml:space="preserve">расчёт/позиции BOM</t>
  </si>
  <si>
    <t xml:space="preserve">Расходы/сечения/число вентиляторовOPEN</t>
  </si>
  <si>
    <t xml:space="preserve">Требования главного двигателя к общей вентиляции; общий пакетМО не дублируется</t>
  </si>
  <si>
    <t xml:space="preserve">Генераторы/теплоприток/входы/выходы/шум</t>
  </si>
  <si>
    <t xml:space="preserve">Теплобаланс/расход воздуха/потери и общий ответственный PK09</t>
  </si>
  <si>
    <t xml:space="preserve">Общая система обеспечивает согласованную среду для двигателя</t>
  </si>
  <si>
    <t xml:space="preserve">M22</t>
  </si>
  <si>
    <t xml:space="preserve">PK01|PK12</t>
  </si>
  <si>
    <t xml:space="preserve">Механический PTO и присоединение гидронасоса</t>
  </si>
  <si>
    <t xml:space="preserve">условные позиции</t>
  </si>
  <si>
    <t xml:space="preserve">Не назначен; одно утверждённое решение после баланса</t>
  </si>
  <si>
    <t xml:space="preserve">Только механическое присоединение; насос/гидросеть уэлектрогидроагента</t>
  </si>
  <si>
    <t xml:space="preserve">Обороты/момент/винт/крепление/сцепление</t>
  </si>
  <si>
    <t xml:space="preserve">OEM8LVspec optionalbeltPTO; M04notes</t>
  </si>
  <si>
    <t xml:space="preserve">Допустимый отбор пооборотам/режиму; одновременнаянагрузка</t>
  </si>
  <si>
    <t xml:space="preserve">Поставщик двигателя + гидропроектант</t>
  </si>
  <si>
    <t xml:space="preserve">Есть письменное согласование выбранного отбора</t>
  </si>
  <si>
    <t xml:space="preserve">РеменныйPTO не подтверждает мощность всех гидропотребителей</t>
  </si>
  <si>
    <t xml:space="preserve">M23</t>
  </si>
  <si>
    <t xml:space="preserve">PK10</t>
  </si>
  <si>
    <t xml:space="preserve">Интерфейс пожарной защиты и аварийных отсечек</t>
  </si>
  <si>
    <t xml:space="preserve">Число устройств определяет общий проектМО</t>
  </si>
  <si>
    <t xml:space="preserve">Только требования этой установки; общий пожарный пакет отдельно</t>
  </si>
  <si>
    <t xml:space="preserve">Топливо/вентиляция/дистанционныйостанов/электрика</t>
  </si>
  <si>
    <t xml:space="preserve">Согласованные интерфейсы остановки и защиты; требования применимости</t>
  </si>
  <si>
    <t xml:space="preserve">Системный проектант + поставщик</t>
  </si>
  <si>
    <t xml:space="preserve">Защита и остановка проверены совместно без дублей устройств</t>
  </si>
  <si>
    <t xml:space="preserve">M24</t>
  </si>
  <si>
    <t xml:space="preserve">Заправочные жидкости, слив/замена масла и поддоны</t>
  </si>
  <si>
    <t xml:space="preserve">л/шт поBOM</t>
  </si>
  <si>
    <t xml:space="preserve">ОбъёмыOPEN; комплекта1 не назначено</t>
  </si>
  <si>
    <t xml:space="preserve">Abmaжидкости заявлены; внешний слив/поддоны не заявлены</t>
  </si>
  <si>
    <t xml:space="preserve">Двигатель/редуктор/сбор отходов/доступ</t>
  </si>
  <si>
    <t xml:space="preserve">Первые заправки/BOM; точкислива; объёмподдонов; процедурасервиса</t>
  </si>
  <si>
    <t xml:space="preserve">Жидкости и безопасное обслуживание обеспечены без двойного счёта</t>
  </si>
  <si>
    <t xml:space="preserve">M25</t>
  </si>
  <si>
    <t xml:space="preserve">Сервисные зоны и путь демонтажа</t>
  </si>
  <si>
    <t xml:space="preserve">чертежи/обмер</t>
  </si>
  <si>
    <t xml:space="preserve">Размеры и объёмыOPEN</t>
  </si>
  <si>
    <t xml:space="preserve">Монтажныйобъём главнойустановки, не наружныйгабарит</t>
  </si>
  <si>
    <t xml:space="preserve">Фильтры/ремни/колено/редуктор/люки/подъём</t>
  </si>
  <si>
    <t xml:space="preserve">M03yanmarresearch; OEM installationGA required</t>
  </si>
  <si>
    <t xml:space="preserve">GA сдоступами,масса/ЦТ,обмерМО и путьвыноса</t>
  </si>
  <si>
    <t xml:space="preserve">Компоновщик + поставщик + верфь</t>
  </si>
  <si>
    <t xml:space="preserve">Проверена доступность; помещаемость не выводится изэскиза</t>
  </si>
  <si>
    <t xml:space="preserve">8LV1340x880x766 толькосправочныйгабарит;6LPAконфликтстарыхразмеровOPEN</t>
  </si>
  <si>
    <t xml:space="preserve">M26</t>
  </si>
  <si>
    <t xml:space="preserve">Монтаж и центровка силовой линии</t>
  </si>
  <si>
    <t xml:space="preserve">После чертежей; часы/операцииOPEN</t>
  </si>
  <si>
    <t xml:space="preserve">Установка,крепление,подключение,центровка; без изготовленияM12</t>
  </si>
  <si>
    <t xml:space="preserve">Все механическиестыки/спускнаводу</t>
  </si>
  <si>
    <t xml:space="preserve">Технология/допуски/проверка после спуска</t>
  </si>
  <si>
    <t xml:space="preserve">Верфь + сервис OEM</t>
  </si>
  <si>
    <t xml:space="preserve">Подписанный монтажный ицентровочный протокол</t>
  </si>
  <si>
    <t xml:space="preserve">M27</t>
  </si>
  <si>
    <t xml:space="preserve">Первые пуски,швартовные иходовые проверки</t>
  </si>
  <si>
    <t xml:space="preserve">операции испытаний</t>
  </si>
  <si>
    <t xml:space="preserve">План и длительностьOPEN</t>
  </si>
  <si>
    <t xml:space="preserve">Испытания главнойустановки; общий судовойплан уroot</t>
  </si>
  <si>
    <t xml:space="preserve">Нагрузка/температуры/давления/вибрации/течи/останов</t>
  </si>
  <si>
    <t xml:space="preserve">OEM manuals8LV/6LPA; M03duty notes</t>
  </si>
  <si>
    <t xml:space="preserve">Согласованный план/критерии и гарантийный ввод</t>
  </si>
  <si>
    <t xml:space="preserve">Верфь + OEMсервис + проектант</t>
  </si>
  <si>
    <t xml:space="preserve">Закрыты критерии согласованного плана и замечания</t>
  </si>
  <si>
    <t xml:space="preserve">M28</t>
  </si>
  <si>
    <t xml:space="preserve">Документация,обучение и стартовый ЗИП</t>
  </si>
  <si>
    <t xml:space="preserve">документы/позиции BOM</t>
  </si>
  <si>
    <t xml:space="preserve">Состав документов и расходниковOPEN</t>
  </si>
  <si>
    <t xml:space="preserve">Главнаяустановка; штатные поставки учитывать</t>
  </si>
  <si>
    <t xml:space="preserve">Гарантия/серийныеномера/регламент/применимостьЕС</t>
  </si>
  <si>
    <t xml:space="preserve">M03/M04/M05 evidence</t>
  </si>
  <si>
    <t xml:space="preserve">As-built/BOM/руководства/сертификаты/гарантия/переченьЗИП</t>
  </si>
  <si>
    <t xml:space="preserve">Документы переданы; персонал ознакомлен; ЗИП согласован</t>
  </si>
  <si>
    <t xml:space="preserve">EH01</t>
  </si>
  <si>
    <t xml:space="preserve">EXISTING_MAIN_COMPONENT_REFS</t>
  </si>
  <si>
    <t xml:space="preserve">Ссылка на ранее заданные аккумуляторы; не новая закупочная строка</t>
  </si>
  <si>
    <t xml:space="preserve">reference only</t>
  </si>
  <si>
    <t xml:space="preserve">Уже задано 6+2+1=9; quantity пусто для исключения повторного суммирования</t>
  </si>
  <si>
    <t xml:space="preserve">N_A</t>
  </si>
  <si>
    <t xml:space="preserve">M01 ME-07:1 пусковая; ME-08:6 сервисных; ME-27:2 генераторных</t>
  </si>
  <si>
    <t xml:space="preserve">Батареи / двигатели / заряд / резервный пуск</t>
  </si>
  <si>
    <t xml:space="preserve">M01 ME-07|ME-08|ME-27</t>
  </si>
  <si>
    <t xml:space="preserve">deliverables/M01/v001/01_support/owner-requirements.md D018</t>
  </si>
  <si>
    <t xml:space="preserve">Паспорта: напряжение каждой АКБ, химия, Ah, CCA и стандарт CCA, BMS и допустимый пусковой ток</t>
  </si>
  <si>
    <t xml:space="preserve">Владелец исходных данных + электропроектировщик</t>
  </si>
  <si>
    <t xml:space="preserve">В ведомости остаётся 9 физических АКБ; заполнены паспортные характеристики всех 9</t>
  </si>
  <si>
    <t xml:space="preserve">115 ампер не преобразовано в 115 Ah; ссылка не означает наличие купленных АКБ</t>
  </si>
  <si>
    <t xml:space="preserve">EH02</t>
  </si>
  <si>
    <t xml:space="preserve">START</t>
  </si>
  <si>
    <t xml:space="preserve">Исполнение пуска 24 В для точного двигателя</t>
  </si>
  <si>
    <t xml:space="preserve">functional scope</t>
  </si>
  <si>
    <t xml:space="preserve">Количество аппаратов определяется согласованной схемой</t>
  </si>
  <si>
    <t xml:space="preserve">Поставщик двигателя: стартер, соленоид, реле, генератор, ECU/приборы/датчики по совместимой схеме</t>
  </si>
  <si>
    <t xml:space="preserve">24 VDC / штатная электрика двигателя</t>
  </si>
  <si>
    <t xml:space="preserve">M03 YAN-E01|YAN-E02</t>
  </si>
  <si>
    <t xml:space="preserve">https://www.yanmar.com/marine/wp-content/uploads/2020/03/DS_8LV320-350-370_A4_2021_1018_HR.pdf?download=1 | https://www.yanmar.com/marine/wp-content/uploads/2020/05/Yanmar-Datasheet_6LPA-STP2.pdf?download=1</t>
  </si>
  <si>
    <t xml:space="preserve">Есть ли одобренное OEM исполнение 24 В? Дайте SKU, схему, ограничения и гарантийное подтверждение; при отсутствии прямо укажите</t>
  </si>
  <si>
    <t xml:space="preserve">Yanmar / поставщик двигателя</t>
  </si>
  <si>
    <t xml:space="preserve">Документирована реализуемая архитектура с требованием 24 В; изменения согласованы до закрытия</t>
  </si>
  <si>
    <t xml:space="preserve">Паспорта показывают штатно 12 В; отсутствие найденной опции не доказательство невозможности. Ветка 12 В не принята</t>
  </si>
  <si>
    <t xml:space="preserve">EH03</t>
  </si>
  <si>
    <t xml:space="preserve">Матрица резервного пуска от каждого исправного донора</t>
  </si>
  <si>
    <t xml:space="preserve">Системное решение, не один контактор</t>
  </si>
  <si>
    <t xml:space="preserve">Каждая из 9 АКБ / пусковые цели / работоспособность основной нагрузки</t>
  </si>
  <si>
    <t xml:space="preserve">M01 ME-28</t>
  </si>
  <si>
    <t xml:space="preserve">Для каждого донора: допустимая цель, напряжение, доступный ток/энергия, условия SOC/температуры, BMS, способ преобразования если нужен</t>
  </si>
  <si>
    <t xml:space="preserve">Электропроектировщик + OEM двигателей</t>
  </si>
  <si>
    <t xml:space="preserve">Каждый требуемый сценарий подтверждён расчётом и программой испытаний; ограничения явно приняты</t>
  </si>
  <si>
    <t xml:space="preserve">Не обещать запуск от любой одиночной АКБ до проверки; не добавлять АКБ и не назначать последовательную схему</t>
  </si>
  <si>
    <t xml:space="preserve">EH04</t>
  </si>
  <si>
    <t xml:space="preserve">Дистанционное отсоединение отказавшей батареи и коммутация донора</t>
  </si>
  <si>
    <t xml:space="preserve">Контакторы/изоляторы/блокировки как один функциональный узел; число по схеме</t>
  </si>
  <si>
    <t xml:space="preserve">Отказ КЗ / разряд / BMS trip / залипание контакта</t>
  </si>
  <si>
    <t xml:space="preserve">Однолинейная схема и последовательность: обнаружение, изоляция повреждённой ветви, подтверждение положения, разрешение донора</t>
  </si>
  <si>
    <t xml:space="preserve">Электропроектировщик + сборщик щита</t>
  </si>
  <si>
    <t xml:space="preserve">Отказавшая АКБ не подключается обратно через резерв; исключено недопустимое соединение источников</t>
  </si>
  <si>
    <t xml:space="preserve">Прямая короткая перемычка между неизвестными напряжениями не решение; предусмотреть местное аварийное действие</t>
  </si>
  <si>
    <t xml:space="preserve">EH05</t>
  </si>
  <si>
    <t xml:space="preserve">Питание и индикация дистанционного резервного управления</t>
  </si>
  <si>
    <t xml:space="preserve">Цепи управления/сигнализации, источник независим от отказавшей пусковой ветви</t>
  </si>
  <si>
    <t xml:space="preserve">Пост управления / контакторы / обратная связь</t>
  </si>
  <si>
    <t xml:space="preserve">Откуда питается управление при обесточенной пусковой АКБ? Схема, индикация реальных положений и ручное восстановление</t>
  </si>
  <si>
    <t xml:space="preserve">Электропроектировщик</t>
  </si>
  <si>
    <t xml:space="preserve">Дистанционный перевод доступен при заданном отказе; потеря питания не создаёт опасное соединение</t>
  </si>
  <si>
    <t xml:space="preserve">EH06</t>
  </si>
  <si>
    <t xml:space="preserve">Пусковые кабели, защита и отключающая способность</t>
  </si>
  <si>
    <t xml:space="preserve">Внешняя силовая проводка, наконечники, защита и прокладка</t>
  </si>
  <si>
    <t xml:space="preserve">Стартер / контакторы / батареи / общий возврат</t>
  </si>
  <si>
    <t xml:space="preserve">Длина трасс, ток пуска/КЗ, падение напряжения, длительность пуска, нагрев, DC ratings защиты/контактов; обоснование исключений защиты пусковой цепи</t>
  </si>
  <si>
    <t xml:space="preserve">Электропроектировщик + электромонтажник</t>
  </si>
  <si>
    <t xml:space="preserve">Расчёт и спецификация покрывают штатный и резервный пуск, ток КЗ и среду МО</t>
  </si>
  <si>
    <t xml:space="preserve">Не назначать сечение или номинал по мощности стартера без пускового тока</t>
  </si>
  <si>
    <t xml:space="preserve">EH07</t>
  </si>
  <si>
    <t xml:space="preserve">POWER</t>
  </si>
  <si>
    <t xml:space="preserve">Заряд и разделение источников</t>
  </si>
  <si>
    <t xml:space="preserve">Штатный генератор двигателя отделён от судового распределения и зарядных устройств</t>
  </si>
  <si>
    <t xml:space="preserve">Сервис / 2 генераторные / главная пусковая / инверторы-зарядники</t>
  </si>
  <si>
    <t xml:space="preserve">M01 ME-05|ME-10|ME-28; M03 YAN-E01|YAN-E02</t>
  </si>
  <si>
    <t xml:space="preserve">deliverables/M01/v001/01_support/owner-requirements.md D018 | https://www.yanmar.com/marine/wp-content/uploads/2020/03/DS_8LV320-350-370_A4_2021_1018_HR.pdf?download=1 | https://www.yanmar.com/marine/wp-content/uploads/2020/05/Yanmar-Datasheet_6LPA-STP2.pdf?download=1</t>
  </si>
  <si>
    <t xml:space="preserve">Матрица зарядных режимов химии/BMS, напряжения, токи, изоляция обратных токов, действия при отказе/размыкании нагрузки</t>
  </si>
  <si>
    <t xml:space="preserve">Электропроектировщик + OEM</t>
  </si>
  <si>
    <t xml:space="preserve">Ни одна АКБ не заряжается несовместимым режимом; резервная коммутация согласована с работающими зарядниками</t>
  </si>
  <si>
    <t xml:space="preserve">Не добавлять отдельный преобразователь до выбора архитектуры; 12-вольтовый генератор не принят как судовая сеть</t>
  </si>
  <si>
    <t xml:space="preserve">EH08</t>
  </si>
  <si>
    <t xml:space="preserve">Распределение 24 VDC / 220 VAC и возврат токов</t>
  </si>
  <si>
    <t xml:space="preserve">Судовые щиты/кабели/защита; число шкафов пока не задано</t>
  </si>
  <si>
    <t xml:space="preserve">Берег / 2 генератора / инверторы / алюминиевый корпус</t>
  </si>
  <si>
    <t xml:space="preserve">M01 ME-04|ME-05|ME-09|ME-10</t>
  </si>
  <si>
    <t xml:space="preserve">Однолинейная схема: напряжение/частота, переключение источников, защита утечки, PE/DC return, уравнивание потенциалов и коррозионная защита</t>
  </si>
  <si>
    <t xml:space="preserve">Электропроектировщик + верфь</t>
  </si>
  <si>
    <t xml:space="preserve">Подтверждены 24 В DC и 220 В AC для потребителей; исключены непредусмотренная параллель источников и токовый возврат через корпус</t>
  </si>
  <si>
    <t xml:space="preserve">50 Гц — прежняя проектная цель, не новое подтверждение владельца; 230 В паспортов согласовать с 220 В требованием</t>
  </si>
  <si>
    <t xml:space="preserve">EH09</t>
  </si>
  <si>
    <t xml:space="preserve">CONTROL</t>
  </si>
  <si>
    <t xml:space="preserve">Приборная панель и моторный жгут</t>
  </si>
  <si>
    <t xml:space="preserve">8LV заявлен VC20/панель/проводка; 6LPA выбрать одну B/C/D и верный жгут</t>
  </si>
  <si>
    <t xml:space="preserve">Двигатель / пост / сигнализация / напряжение</t>
  </si>
  <si>
    <t xml:space="preserve">M03 YAN-E01; M04 A01|A02|A03|A06</t>
  </si>
  <si>
    <t xml:space="preserve">deliverables/M04/v001/01_support/ancillaries.md</t>
  </si>
  <si>
    <t xml:space="preserve">Упаковочная спецификация, SKU панели и моторного/удлинительного жгута, длины, разъёмы и рабочее напряжение</t>
  </si>
  <si>
    <t xml:space="preserve">Поставщик двигателя</t>
  </si>
  <si>
    <t xml:space="preserve">Состав подтверждён по точному серийному исполнению; встроенные датчики/детали панели не задвоены</t>
  </si>
  <si>
    <t xml:space="preserve">Для STP2 77760 против старого 77720; длина 6 м условна</t>
  </si>
  <si>
    <t xml:space="preserve">EH10</t>
  </si>
  <si>
    <t xml:space="preserve">Газ/реверс, нейтраль и разрешение пуска</t>
  </si>
  <si>
    <t xml:space="preserve">8LV проверить состав VC20; 6LPA механический пост, тросы, кронштейны и нейтральная блокировка</t>
  </si>
  <si>
    <t xml:space="preserve">Редуктор / двигатель / PTO / посты</t>
  </si>
  <si>
    <t xml:space="preserve">M04 A07; M03 YAN-E01</t>
  </si>
  <si>
    <t xml:space="preserve">deliverables/M04/v001/00_yanmar-completeness.md</t>
  </si>
  <si>
    <t xml:space="preserve">Схема управления и комплектность каждого поста; нейтральный датчик, ход тросов/актуаторов, отказ питания</t>
  </si>
  <si>
    <t xml:space="preserve">Поставщик управления + верфь</t>
  </si>
  <si>
    <t xml:space="preserve">Пуск при включённой передаче заблокирован; команды PTO/газа/реверса согласованы</t>
  </si>
  <si>
    <t xml:space="preserve">Панель приборов не заменяет управление движением; число постов открыто</t>
  </si>
  <si>
    <t xml:space="preserve">EH11</t>
  </si>
  <si>
    <t xml:space="preserve">HYDRAULIC</t>
  </si>
  <si>
    <t xml:space="preserve">Профиль гидравлических потребителей</t>
  </si>
  <si>
    <t xml:space="preserve">Подруливающие устройства и все лебёдки; это обязательный тип привода</t>
  </si>
  <si>
    <t xml:space="preserve">Каждый потребитель / насосы / распределители</t>
  </si>
  <si>
    <t xml:space="preserve">M01 ME-29</t>
  </si>
  <si>
    <t xml:space="preserve">По каждому потребителю: давление, расход, длительность, пусковой переход, направление; таблица одновременных режимов</t>
  </si>
  <si>
    <t xml:space="preserve">Гидропроектировщик + поставщики потребителей</t>
  </si>
  <si>
    <t xml:space="preserve">Все подрульки и лебёдки включены в нагрузочную матрицу; основные режимы согласованы</t>
  </si>
  <si>
    <t xml:space="preserve">Не добавлять электрические приводы вместо обязательной гидравлики</t>
  </si>
  <si>
    <t xml:space="preserve">EH12</t>
  </si>
  <si>
    <t xml:space="preserve">Допустимый PTO и сопряжение насоса</t>
  </si>
  <si>
    <t xml:space="preserve">8LV опциональный передний ременный PTO; 6LPA подтверждённого привода нет</t>
  </si>
  <si>
    <t xml:space="preserve">Коленвал / ремни или муфта / насос / редуктор</t>
  </si>
  <si>
    <t xml:space="preserve">https://www.yanmar.com/marine/product/engines/8lv320/</t>
  </si>
  <si>
    <t xml:space="preserve">Кривые допустимой мощности/момента PTO по оборотам, боковые нагрузки, комплект привода, передача и ограничения гарантий</t>
  </si>
  <si>
    <t xml:space="preserve">Yanmar + поставщик гидросистемы</t>
  </si>
  <si>
    <t xml:space="preserve">OEM подтвердил точный привод и насос во всём требуемом диапазоне</t>
  </si>
  <si>
    <t xml:space="preserve">Гидравлическое включение KMH50A не является внешним гидравлическим PTO</t>
  </si>
  <si>
    <t xml:space="preserve">EH13</t>
  </si>
  <si>
    <t xml:space="preserve">Основной насос и управление расходом</t>
  </si>
  <si>
    <t xml:space="preserve">Насосный функциональный пакет; число насосов и секций открыто</t>
  </si>
  <si>
    <t xml:space="preserve">PTO / электрический или иной согласованный источник / распределение</t>
  </si>
  <si>
    <t xml:space="preserve">Рабочие точки p-Q, КПД, обороты, управление расходом, разгрузка, допустимость сухого пуска и кавитационный запас</t>
  </si>
  <si>
    <t xml:space="preserve">Гидропроектировщик</t>
  </si>
  <si>
    <t xml:space="preserve">Потребители обеспечены в согласованных режимах без превышения PTO/привода</t>
  </si>
  <si>
    <t xml:space="preserve">Оборудование не выбирать только по максимальному давлению</t>
  </si>
  <si>
    <t xml:space="preserve">EH14</t>
  </si>
  <si>
    <t xml:space="preserve">Совместный баланс ходовой мощности и гидравлики</t>
  </si>
  <si>
    <t xml:space="preserve">Расчёт режимов всей силовой установки</t>
  </si>
  <si>
    <t xml:space="preserve">Двигатель / винт / насос / генерация электроэнергии</t>
  </si>
  <si>
    <t xml:space="preserve">Баланс по оборотам и продолжительности: ход+подрульки+лебёдки; ограничения включения и минимальные обороты</t>
  </si>
  <si>
    <t xml:space="preserve">Судовой проектировщик + OEM + гидропроектировщик</t>
  </si>
  <si>
    <t xml:space="preserve">Нет превышения длительного рейтинга двигателя и привода; доступная тяга показана</t>
  </si>
  <si>
    <t xml:space="preserve">Паспортная пиковая мощность двигателя не равна непрерывной мощности PTO</t>
  </si>
  <si>
    <t xml:space="preserve">EH15</t>
  </si>
  <si>
    <t xml:space="preserve">Резерв работоспособности при отказе основного насоса/двигателя</t>
  </si>
  <si>
    <t xml:space="preserve">Функция резерва; отдельный второй насос не назначен</t>
  </si>
  <si>
    <t xml:space="preserve">Донор энергии / аварийные режимы / необходимые потребители</t>
  </si>
  <si>
    <t xml:space="preserve">Сценарии отказа и минимально необходимые операции; варианты независимого привода, переключение и энергобаланс</t>
  </si>
  <si>
    <t xml:space="preserve">Гидропроектировщик + судовой проектировщик</t>
  </si>
  <si>
    <t xml:space="preserve">Согласованы обеспечиваемые аварийные функции и испытание переключения</t>
  </si>
  <si>
    <t xml:space="preserve">Резервный пуск двигателя и резерв гидравлики — разные задачи; насос пресной воды ME-06 сюда не относится</t>
  </si>
  <si>
    <t xml:space="preserve">EH16</t>
  </si>
  <si>
    <t xml:space="preserve">Бак, фильтрация, охладитель и обвязка</t>
  </si>
  <si>
    <t xml:space="preserve">Полный вспомогательный гидропакет; объёмы и число аппаратов по расчёту</t>
  </si>
  <si>
    <t xml:space="preserve">Воздух/вода охлаждения / корпус / МО / гидроприводы</t>
  </si>
  <si>
    <t xml:space="preserve">Тепловой баланс, температура масла, резервуар/деаэрация, фильтрация, датчики загрязнения/уровня, трубопроводы и обслуживание</t>
  </si>
  <si>
    <t xml:space="preserve">Гидропроектировщик + верфь</t>
  </si>
  <si>
    <t xml:space="preserve">Температура и чистота масла обеспечены в худшем согласованном цикле; комплектность/доступ показаны</t>
  </si>
  <si>
    <t xml:space="preserve">Охладитель масла редуктора M04 не подменяет охладитель внешней гидросистемы</t>
  </si>
  <si>
    <t xml:space="preserve">EH17</t>
  </si>
  <si>
    <t xml:space="preserve">Защитные функции и условный аккумулятор давления</t>
  </si>
  <si>
    <t xml:space="preserve">Предохранение от превышения давления/неуправляемого движения; аккумулятор только если требуется расчётом</t>
  </si>
  <si>
    <t xml:space="preserve">Клапаны / удержание нагрузок / аварийный останов / сброс энергии</t>
  </si>
  <si>
    <t xml:space="preserve">Схема предохранительных/удерживающих клапанов, ручной сброс, аварийный останов; для аккумулятора обоснование, объём и изоляция</t>
  </si>
  <si>
    <t xml:space="preserve">Гидропроектировщик + поставщики лебёдок/подрулек</t>
  </si>
  <si>
    <t xml:space="preserve">Нагрузки безопасно удерживаются при потере давления; остаточная энергия контролируема</t>
  </si>
  <si>
    <t xml:space="preserve">Аккумулятор давления не назначен обязательным и не является электрической АКБ</t>
  </si>
  <si>
    <t xml:space="preserve">EH18</t>
  </si>
  <si>
    <t xml:space="preserve">VERIFICATION</t>
  </si>
  <si>
    <t xml:space="preserve">Совместные приёмочные испытания пуска и гидравлики</t>
  </si>
  <si>
    <t xml:space="preserve">Программа FAT/SAT и комплект исполнительных схем</t>
  </si>
  <si>
    <t xml:space="preserve">Электрика / двигатель / PTO / гидравлика / оператор</t>
  </si>
  <si>
    <t xml:space="preserve">M01 ME-28|ME-29</t>
  </si>
  <si>
    <t xml:space="preserve">Протоколы штатного и резервного пуска, изоляции отказа, потери управления, совместной нагрузки и температурного цикла</t>
  </si>
  <si>
    <t xml:space="preserve">Верфь + системные поставщики + независимая приёмка</t>
  </si>
  <si>
    <t xml:space="preserve">Результаты сопоставлены с числовыми критериями утверждённого проекта; замечания закрыты</t>
  </si>
  <si>
    <t xml:space="preserve">Это будущие критерии приёмки, не заявление уже выполненных испытаний</t>
  </si>
  <si>
    <t xml:space="preserve">G01</t>
  </si>
  <si>
    <t xml:space="preserve">GENERATOR_INTERFACE</t>
  </si>
  <si>
    <t xml:space="preserve">Два дизель-генератора как интерфейс силовой установки</t>
  </si>
  <si>
    <t xml:space="preserve">2</t>
  </si>
  <si>
    <t xml:space="preserve">M01:2 генератора; две модели рассматриваются альтернативно, не суммируются</t>
  </si>
  <si>
    <t xml:space="preserve">PK02: агрегаты/капсулы/заводская комплектация; внешние ветви G02, электрическая коммутация EH</t>
  </si>
  <si>
    <t xml:space="preserve">Нагрузки AC/заряд/пуск/тепло/гидравлический резерв</t>
  </si>
  <si>
    <t xml:space="preserve">M03 PAN-G02|PAN-G03; комплектность не закрыта</t>
  </si>
  <si>
    <t xml:space="preserve">deliverables/M03/v001/01_support/panda/candidates.csv</t>
  </si>
  <si>
    <t xml:space="preserve">Два точных SKU; полезная мощность при температуре МО;24Впуск; 220Всовместимость; BOM/GA</t>
  </si>
  <si>
    <t xml:space="preserve">Fischer Panda + электропроектировщик</t>
  </si>
  <si>
    <t xml:space="preserve">Два агрегата подтверждены по одному согласованному требованию к полезному выходу; выбранная модель/режим документированы</t>
  </si>
  <si>
    <t xml:space="preserve">Не назначены параллель и номинальная сумма мощностей; генераторы не посчитаны повторно в главном двигателе</t>
  </si>
  <si>
    <t xml:space="preserve">G02</t>
  </si>
  <si>
    <t xml:space="preserve">Внешние топливные, забортные и выхлопные ветви двух генераторов</t>
  </si>
  <si>
    <t xml:space="preserve">по схеме</t>
  </si>
  <si>
    <t xml:space="preserve">Два обслуживаемых агрегата; количества клапанов/фильтров/проходов и длины пока неизвестны</t>
  </si>
  <si>
    <t xml:space="preserve">PK09: вне заводского пакета; главному двигателю соответствуют механические строки</t>
  </si>
  <si>
    <t xml:space="preserve">G01 / корпус / водолиния / крен / вентиляция / отсечки</t>
  </si>
  <si>
    <t xml:space="preserve">M03 PK09; поставку и монтаж закрыть отдельно</t>
  </si>
  <si>
    <t xml:space="preserve">deliverables/M03/v001/01_support/packages.csv</t>
  </si>
  <si>
    <t xml:space="preserve">Схема каждой ветви, OEMпределы, отказ/обратныйпереток/сифон, BOMтруб/арматуры; функции общей и индивидуальной отсечки</t>
  </si>
  <si>
    <t xml:space="preserve">Механик + OEM + верфь</t>
  </si>
  <si>
    <t xml:space="preserve">Отказ/ремонт одного генератора не лишает второй предусмотренной работоспособности; испытания каждой ветви</t>
  </si>
  <si>
    <t xml:space="preserve">Общий топливный танк не объявлен независимостью систем; общие причины отказа анализируются; вентиляция общая учитывается единожды</t>
  </si>
  <si>
    <t xml:space="preserve">G03</t>
  </si>
  <si>
    <t xml:space="preserve">Крепление, монтаж и пусконаладка генераторов</t>
  </si>
  <si>
    <t xml:space="preserve">работы по двум агрегатам</t>
  </si>
  <si>
    <t xml:space="preserve">Нормочасы, крепёж, центровка/проверка вибрации и испытания по монтажному проекту</t>
  </si>
  <si>
    <t xml:space="preserve">PK02: собственный монтаж/локальные испытания; общие электросистемные испытания EH отдельно</t>
  </si>
  <si>
    <t xml:space="preserve">G01 / фундаменты / шум / изоляция / сервис / программа приёмки</t>
  </si>
  <si>
    <t xml:space="preserve">M03 PK02; цена работ OPEN</t>
  </si>
  <si>
    <t xml:space="preserve">Расчёт креплений, рабочая и сервисная масса, маршрут заноса/извлечения; протокол по одному и двум агрегатам</t>
  </si>
  <si>
    <t xml:space="preserve">Верфь + сервис Fischer Panda</t>
  </si>
  <si>
    <t xml:space="preserve">Оформлены крепления и доступ; подтверждена работа в согласованных режимах; гарантийный ввод</t>
  </si>
  <si>
    <t xml:space="preserve">Заводские опоры не покупать второй раз при включении в G01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</si>
</sst>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u val="single"/>
      <sz val="11"/>
      <color rgb="FF12688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34351"/>
        <bgColor rgb="FF003366"/>
      </patternFill>
    </fill>
    <fill>
      <patternFill patternType="solid">
        <fgColor rgb="FFF1F5F7"/>
        <bgColor rgb="FFFFFFFF"/>
      </patternFill>
    </fill>
    <fill>
      <patternFill patternType="solid">
        <fgColor rgb="FFE1ECEF"/>
        <bgColor rgb="FFF1F5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34351"/>
          <bgColor rgb="FF000000"/>
        </patternFill>
      </fill>
    </dxf>
    <dxf>
      <fill>
        <patternFill patternType="solid">
          <fgColor rgb="FFF1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ECEF"/>
          <bgColor rgb="FF000000"/>
        </patternFill>
      </fill>
    </dxf>
    <dxf>
      <fill>
        <patternFill patternType="solid">
          <fgColor rgb="FF12688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882"/>
      <rgbColor rgb="FFC0C0C0"/>
      <rgbColor rgb="FF808080"/>
      <rgbColor rgb="FF9999FF"/>
      <rgbColor rgb="FF993366"/>
      <rgbColor rgb="FFF1F5F7"/>
      <rgbColor rgb="FFE1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43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2" Type="http://schemas.openxmlformats.org/officeDocument/2006/relationships/hyperlink" Target="https://www.abma-sneek.nl/yanmar/engines-gears-drives/powerboat-engines?prod_id=650436" TargetMode="External"/><Relationship Id="rId3" Type="http://schemas.openxmlformats.org/officeDocument/2006/relationships/hyperlink" Target="https://www.etruck.fi/shop-1" TargetMode="External"/><Relationship Id="rId4" Type="http://schemas.openxmlformats.org/officeDocument/2006/relationships/hyperlink" Target="https://www.manelservice.com/it/gruppi-elettrogeni-marini/3925-vte-paguro-12000-v-ap12023050m0.html" TargetMode="External"/><Relationship Id="rId5" Type="http://schemas.openxmlformats.org/officeDocument/2006/relationships/hyperlink" Target="https://www.nautiradar.pt/en/products/fischer-panda/panda-12000x-230v-pms-12kva-fixed-engine-speed-marine-generator" TargetMode="External"/><Relationship Id="rId6" Type="http://schemas.openxmlformats.org/officeDocument/2006/relationships/hyperlink" Target="https://www.jpcdirect.com/product/kohler-12-kilowatt-generator/" TargetMode="External"/><Relationship Id="rId7" Type="http://schemas.openxmlformats.org/officeDocument/2006/relationships/hyperlink" Target="https://www.svb.de/de/victron-wechselrichter-ladegeraet-multiplus-ii-24-v-3000-va-70-a.html" TargetMode="External"/><Relationship Id="rId8" Type="http://schemas.openxmlformats.org/officeDocument/2006/relationships/hyperlink" Target="https://www.svb24.com/en/p/victron-isolation-transformer-3600-w-115-230-v.html" TargetMode="External"/><Relationship Id="rId9" Type="http://schemas.openxmlformats.org/officeDocument/2006/relationships/hyperlink" Target="https://www.svb.de/de/victron-wechselrichter-ladegeraet-multiplus-ii-gx-24-v-3000-va-70-a.html" TargetMode="External"/><Relationship Id="rId10" Type="http://schemas.openxmlformats.org/officeDocument/2006/relationships/hyperlink" Target="https://www.svb24.com/en/mastervolt-mass-gi-3-5-isolation-transformer-16-a-3-5-kw.html" TargetMode="External"/><Relationship Id="rId11" Type="http://schemas.openxmlformats.org/officeDocument/2006/relationships/hyperlink" Target="https://www.svb.de/de/mastervolt-wechselrichter-ladegeraet-combimaster-24-v-3000-va-60-a.html?question_sort=oldest" TargetMode="External"/><Relationship Id="rId12" Type="http://schemas.openxmlformats.org/officeDocument/2006/relationships/hyperlink" Target="https://www.svb24.com/en/mastervolt-mass-gi-3-5-isolation-transformer-16-a-3-5-kw.html" TargetMode="External"/><Relationship Id="rId13" Type="http://schemas.openxmlformats.org/officeDocument/2006/relationships/hyperlink" Target="https://online-batterien.de/a/exide-er550-dual-versorgungsbatterie-starterbatterie-12v-115ah-550wh/400440" TargetMode="External"/><Relationship Id="rId14" Type="http://schemas.openxmlformats.org/officeDocument/2006/relationships/hyperlink" Target="https://www.svb24.com/en/vetus-boat-battery-60-ah-to-230-ah.html" TargetMode="External"/><Relationship Id="rId15" Type="http://schemas.openxmlformats.org/officeDocument/2006/relationships/hyperlink" Target="https://www.svb24.com/en/vetus-boat-battery-60-ah-to-230-ah.html" TargetMode="External"/><Relationship Id="rId16" Type="http://schemas.openxmlformats.org/officeDocument/2006/relationships/hyperlink" Target="https://www.svb24.com/en/blue-sea-hd-remote-battery-switch-24v.html" TargetMode="External"/><Relationship Id="rId17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18" Type="http://schemas.openxmlformats.org/officeDocument/2006/relationships/hyperlink" Target="https://www.svb24.com/en/vetus-boat-battery-60-ah-to-230-ah.html" TargetMode="External"/><Relationship Id="rId19" Type="http://schemas.openxmlformats.org/officeDocument/2006/relationships/hyperlink" Target="https://www.svb24.com/en/vetus-boat-battery-60-ah-to-230-ah.html" TargetMode="External"/><Relationship Id="rId20" Type="http://schemas.openxmlformats.org/officeDocument/2006/relationships/hyperlink" Target="https://www.svb24.com/en/blue-sea-hd-remote-battery-switch-24v.html" TargetMode="External"/><Relationship Id="rId21" Type="http://schemas.openxmlformats.org/officeDocument/2006/relationships/hyperlink" Target="https://ab-marineservice.com/product/12v-115ah-agm-telecom-batt-m8/" TargetMode="External"/><Relationship Id="rId22" Type="http://schemas.openxmlformats.org/officeDocument/2006/relationships/hyperlink" Target="https://www.svb24.com/en/vetus-boat-battery-60-ah-to-230-ah.html" TargetMode="External"/><Relationship Id="rId23" Type="http://schemas.openxmlformats.org/officeDocument/2006/relationships/hyperlink" Target="https://www.svb24.com/en/vetus-boat-battery-60-ah-to-230-ah.html" TargetMode="External"/><Relationship Id="rId24" Type="http://schemas.openxmlformats.org/officeDocument/2006/relationships/hyperlink" Target="https://www.svb24.com/en/blue-sea-hd-remote-battery-switch-24v.html" TargetMode="External"/><Relationship Id="rId25" Type="http://schemas.openxmlformats.org/officeDocument/2006/relationships/hyperlink" Target="https://www.comptoirnautique.com/groupe-d-eau-a-pressostat/53022-cem-elettromeccanica-autoclave-cem-vase-expansion-inox-20l-24v-50-l-min.html" TargetMode="External"/><Relationship Id="rId26" Type="http://schemas.openxmlformats.org/officeDocument/2006/relationships/hyperlink" Target="https://cempumps.com/wp-content/uploads/2024/10/Autoclavi_20L-20X.pdf" TargetMode="External"/><Relationship Id="rId27" Type="http://schemas.openxmlformats.org/officeDocument/2006/relationships/hyperlink" Target="https://www.comptoirnautique.com/groupe-d-eau-hydrophore/22947-gianneschi-groupe-d-eau-ecoinox-1-avec-reservoir-20l-24v-45lmin-7024.html" TargetMode="External"/><Relationship Id="rId28" Type="http://schemas.openxmlformats.org/officeDocument/2006/relationships/hyperlink" Target="https://www.tyboat.com/achat/P-57388-gianneschi-groupe-d-eau-ecoinox2-3-5-bars-0-45-kw-55-litres-minute-reservoir-20-litres-230-volts.html" TargetMode="External"/><Relationship Id="rId29" Type="http://schemas.openxmlformats.org/officeDocument/2006/relationships/hyperlink" Target="https://www.enag.fr/english/wp-content/uploads/sites/5/2022/11/FC-GH-EN-C.pdf" TargetMode="External"/><Relationship Id="rId30" Type="http://schemas.openxmlformats.org/officeDocument/2006/relationships/hyperlink" Target="https://www.enag.fr/english/wp-content/uploads/sites/5/2022/11/FC-GH-EN-C.pdf" TargetMode="External"/><Relationship Id="rId31" Type="http://schemas.openxmlformats.org/officeDocument/2006/relationships/hyperlink" Target="https://www.aquatec-watermaker.de/wassermacher-produkt-ac150-ac240.html" TargetMode="External"/><Relationship Id="rId32" Type="http://schemas.openxmlformats.org/officeDocument/2006/relationships/hyperlink" Target="https://mar-nautic.com/schenker-watermaker-zen-150" TargetMode="External"/><Relationship Id="rId33" Type="http://schemas.openxmlformats.org/officeDocument/2006/relationships/hyperlink" Target="https://www.manelservice.com/en/marine-desalination-systems/17102-osmosea-new12-150c-nautical-watermaker-150-lth.html" TargetMode="External"/><Relationship Id="rId34" Type="http://schemas.openxmlformats.org/officeDocument/2006/relationships/hyperlink" Target="https://www.tyboat.com/achat/P-8889-quick-chauffe-eau-cylindrique-b3-40-litres-220-volts-1200-watts.html" TargetMode="External"/><Relationship Id="rId35" Type="http://schemas.openxmlformats.org/officeDocument/2006/relationships/hyperlink" Target="https://www.tyboat.com/achat/P-8880-quick-chauffe-eau-cylindrique-bx-40-litres-220-volts-1200-watts.html" TargetMode="External"/><Relationship Id="rId36" Type="http://schemas.openxmlformats.org/officeDocument/2006/relationships/hyperlink" Target="https://www.tyboat.com/achat/P-18237-quick-chauffe-eau-cube-inox-bxs-40-litres-220-volts-1200-watts.html" TargetMode="External"/><Relationship Id="rId37" Type="http://schemas.openxmlformats.org/officeDocument/2006/relationships/hyperlink" Target="https://www.esconet.fi/shop/uc16h-thermowell-uc16h-ilmastointilaite-chiller-230v-16000btu-27518" TargetMode="External"/><Relationship Id="rId38" Type="http://schemas.openxmlformats.org/officeDocument/2006/relationships/hyperlink" Target="https://www.comptoirnautique.com/climatisation-bateau/91819-frigomar-pompes-a-entrainement-magnetique.html" TargetMode="External"/><Relationship Id="rId39" Type="http://schemas.openxmlformats.org/officeDocument/2006/relationships/hyperlink" Target="https://mdislandsupply.com/en/climma/879-cws-aquacontrol-161-rc-230150-climma.html" TargetMode="External"/><Relationship Id="rId40" Type="http://schemas.openxmlformats.org/officeDocument/2006/relationships/hyperlink" Target="https://www.comptoirnautique.com/climatisation-bateau/91819-frigomar-pompes-a-entrainement-magnetique.html" TargetMode="External"/><Relationship Id="rId41" Type="http://schemas.openxmlformats.org/officeDocument/2006/relationships/hyperlink" Target="https://www.nauticsale.com/en/airconditioning/bluecool-chiller-systems/bluecool-c-series-chillers/" TargetMode="External"/><Relationship Id="rId42" Type="http://schemas.openxmlformats.org/officeDocument/2006/relationships/hyperlink" Target="https://www.comptoirnautique.com/climatisation-bateau/91819-frigomar-pompes-a-entrainement-magnetique.html" TargetMode="External"/><Relationship Id="rId43" Type="http://schemas.openxmlformats.org/officeDocument/2006/relationships/hyperlink" Target="https://racorshop.de/product/racor-75500maxm30-turbine-filter-marine/" TargetMode="External"/><Relationship Id="rId44" Type="http://schemas.openxmlformats.org/officeDocument/2006/relationships/hyperlink" Target="https://www.vetus-shop.com/vetus-raw-water-strainer-type-330-and21632mm-p-1026.html" TargetMode="External"/><Relationship Id="rId45" Type="http://schemas.openxmlformats.org/officeDocument/2006/relationships/hyperlink" Target="https://www.svb24.com/en/ocean-technologies-engine-compartment-blower-24-v-1000-m3-hour-150-mm-flex-mount.html" TargetMode="External"/><Relationship Id="rId46" Type="http://schemas.openxmlformats.org/officeDocument/2006/relationships/hyperlink" Target="https://www.svb24.com/en/marco-up3-electric-oil-change-pump.html" TargetMode="External"/><Relationship Id="rId47" Type="http://schemas.openxmlformats.org/officeDocument/2006/relationships/hyperlink" Target="https://racorshop.de/product/racor-75500maxm30-turbine-filter-marine/" TargetMode="External"/><Relationship Id="rId48" Type="http://schemas.openxmlformats.org/officeDocument/2006/relationships/hyperlink" Target="https://www.mediawinkel.eu/nl/heavy-duty-waterfilter-32-mm.html" TargetMode="External"/><Relationship Id="rId49" Type="http://schemas.openxmlformats.org/officeDocument/2006/relationships/hyperlink" Target="https://www.svb24.com/en/ocean-technologies-engine-compartment-blower-24-v-1000-m3-hour-150-mm-flex-mount.html" TargetMode="External"/><Relationship Id="rId50" Type="http://schemas.openxmlformats.org/officeDocument/2006/relationships/hyperlink" Target="https://www.svb24.com/en/marco-up3-electric-oil-change-pump.html" TargetMode="External"/><Relationship Id="rId51" Type="http://schemas.openxmlformats.org/officeDocument/2006/relationships/hyperlink" Target="https://racorshop.de/product/racor-75500maxm30-turbine-filter-marine/" TargetMode="External"/><Relationship Id="rId52" Type="http://schemas.openxmlformats.org/officeDocument/2006/relationships/hyperlink" Target="https://www.mediawinkel.eu/nl/heavy-duty-waterfilter-32-mm.html" TargetMode="External"/><Relationship Id="rId53" Type="http://schemas.openxmlformats.org/officeDocument/2006/relationships/hyperlink" Target="https://www.svb24.com/en/ocean-technologies-engine-compartment-blower-24-v-1000-m3-hour-150-mm-flex-mount.html" TargetMode="External"/><Relationship Id="rId54" Type="http://schemas.openxmlformats.org/officeDocument/2006/relationships/hyperlink" Target="https://www.svb24.com/en/marco-up3-electric-oil-change-pump.html" TargetMode="External"/><Relationship Id="rId55" Type="http://schemas.openxmlformats.org/officeDocument/2006/relationships/hyperlink" Target="https://www.svb24.com/en/rule-heavy-duty-bilge-pump-2000-24v.html" TargetMode="External"/><Relationship Id="rId56" Type="http://schemas.openxmlformats.org/officeDocument/2006/relationships/hyperlink" Target="https://www.svb24.com/en/whale-gusher-urchin-manual-bilge-pump-type-bp-9005.html" TargetMode="External"/><Relationship Id="rId57" Type="http://schemas.openxmlformats.org/officeDocument/2006/relationships/hyperlink" Target="https://www.svb24.com/en/johnson-pump-bilge-alert-high-water-alarm-with-ultima-switch.html" TargetMode="External"/><Relationship Id="rId58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59" Type="http://schemas.openxmlformats.org/officeDocument/2006/relationships/hyperlink" Target="https://www.svb24.com/en/rule-heavy-duty-bilge-pump-2000-24v.html" TargetMode="External"/><Relationship Id="rId60" Type="http://schemas.openxmlformats.org/officeDocument/2006/relationships/hyperlink" Target="https://www.svb24.com/en/whale-gusher-urchin-manual-bilge-pump-type-bp-9005.html" TargetMode="External"/><Relationship Id="rId61" Type="http://schemas.openxmlformats.org/officeDocument/2006/relationships/hyperlink" Target="https://www.svb24.com/en/johnson-pump-bilge-alert-high-water-alarm-with-ultima-switch.html" TargetMode="External"/><Relationship Id="rId62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63" Type="http://schemas.openxmlformats.org/officeDocument/2006/relationships/hyperlink" Target="https://www.svb24.com/en/rule-heavy-duty-bilge-pump-2000-24v.html" TargetMode="External"/><Relationship Id="rId64" Type="http://schemas.openxmlformats.org/officeDocument/2006/relationships/hyperlink" Target="https://www.svb24.com/en/whale-gusher-urchin-manual-bilge-pump-type-bp-9005.html" TargetMode="External"/><Relationship Id="rId65" Type="http://schemas.openxmlformats.org/officeDocument/2006/relationships/hyperlink" Target="https://www.svb24.com/en/johnson-pump-bilge-alert-high-water-alarm-with-ultima-switch.html" TargetMode="External"/><Relationship Id="rId66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67" Type="http://schemas.openxmlformats.org/officeDocument/2006/relationships/hyperlink" Target="https://www.vetus-shop.com/vetus-fuel-tank-quickfit-diesel-40-litre-8mm-p-1786.html" TargetMode="External"/><Relationship Id="rId68" Type="http://schemas.openxmlformats.org/officeDocument/2006/relationships/hyperlink" Target="https://www.svb24.com/en/jabsco-type-12gpm-waste-water-pump-24v.html" TargetMode="External"/><Relationship Id="rId69" Type="http://schemas.openxmlformats.org/officeDocument/2006/relationships/hyperlink" Target="https://www.vetus-shop.com/vetus-fuel-tank-quickfit-diesel-40-litre-8mm-p-1786.html" TargetMode="External"/><Relationship Id="rId70" Type="http://schemas.openxmlformats.org/officeDocument/2006/relationships/hyperlink" Target="https://www.svb24.com/en/jabsco-type-12gpm-waste-water-pump-24v.html" TargetMode="External"/><Relationship Id="rId71" Type="http://schemas.openxmlformats.org/officeDocument/2006/relationships/hyperlink" Target="https://www.vetus-shop.com/vetus-fuel-tank-quickfit-diesel-40-litre-8mm-p-1786.html" TargetMode="External"/><Relationship Id="rId72" Type="http://schemas.openxmlformats.org/officeDocument/2006/relationships/hyperlink" Target="https://www.svb24.com/en/jabsco-type-12gpm-waste-water-pump-24v.html" TargetMode="External"/><Relationship Id="rId73" Type="http://schemas.openxmlformats.org/officeDocument/2006/relationships/hyperlink" Target="https://www.svb24.com/en/pss-shaft-seal-for-50-mm-shaft.html" TargetMode="External"/><Relationship Id="rId74" Type="http://schemas.openxmlformats.org/officeDocument/2006/relationships/hyperlink" Target="https://www.svb24.com/en/pss-shaft-seal-for-50-mm-shaft.html" TargetMode="External"/><Relationship Id="rId75" Type="http://schemas.openxmlformats.org/officeDocument/2006/relationships/hyperlink" Target="https://www.svb24.com/en/pss-shaft-seal-for-50-mm-shaft.html" TargetMode="External"/><Relationship Id="rId76" Type="http://schemas.openxmlformats.org/officeDocument/2006/relationships/hyperlink" Target="https://www.mon-camping-car.com/convertisseur-24v-230v-phoenix-1200va-ve-direct-pur-sinus-victron.html" TargetMode="External"/><Relationship Id="rId77" Type="http://schemas.openxmlformats.org/officeDocument/2006/relationships/hyperlink" Target="https://www.mon-camping-car.com/convertisseur-24v-230v-phoenix-1200va-ve-direct-pur-sinus-victron.html" TargetMode="External"/><Relationship Id="rId78" Type="http://schemas.openxmlformats.org/officeDocument/2006/relationships/hyperlink" Target="https://www.mon-camping-car.com/convertisseur-24v-230v-phoenix-1200va-ve-direct-pur-sinus-victron.html" TargetMode="External"/><Relationship Id="rId79" Type="http://schemas.openxmlformats.org/officeDocument/2006/relationships/hyperlink" Target="https://www.svb24.com/en/philippi-stv207-power-distribution-panel-configurable.html" TargetMode="External"/><Relationship Id="rId80" Type="http://schemas.openxmlformats.org/officeDocument/2006/relationships/hyperlink" Target="https://www.svb24.com/en/philippi-stv207-power-distribution-panel-configurable.html" TargetMode="External"/><Relationship Id="rId81" Type="http://schemas.openxmlformats.org/officeDocument/2006/relationships/hyperlink" Target="https://www.svb24.com/en/philippi-stv207-power-distribution-panel-configurable.html" TargetMode="External"/><Relationship Id="rId82" Type="http://schemas.openxmlformats.org/officeDocument/2006/relationships/hyperlink" Target="https://www.svb24.com/en/philippi-lae-113-shore-connection-unit.html" TargetMode="External"/><Relationship Id="rId83" Type="http://schemas.openxmlformats.org/officeDocument/2006/relationships/hyperlink" Target="https://www.svb24.com/en/philippi-lae-113-shore-connection-unit.html" TargetMode="External"/><Relationship Id="rId84" Type="http://schemas.openxmlformats.org/officeDocument/2006/relationships/hyperlink" Target="https://www.svb24.com/en/philippi-lae-113-shore-connection-unit.html" TargetMode="External"/><Relationship Id="rId85" Type="http://schemas.openxmlformats.org/officeDocument/2006/relationships/hyperlink" Target="https://www.svb24.com/en/cee-shore-power-inlet-16-a-230-v-male.html" TargetMode="External"/><Relationship Id="rId86" Type="http://schemas.openxmlformats.org/officeDocument/2006/relationships/hyperlink" Target="https://www.svb24.com/en/cee-shore-power-inlet-16-a-230-v-male.html" TargetMode="External"/><Relationship Id="rId87" Type="http://schemas.openxmlformats.org/officeDocument/2006/relationships/hyperlink" Target="https://www.svb24.com/en/cee-shore-power-inlet-16-a-230-v-male.html" TargetMode="External"/><Relationship Id="rId88" Type="http://schemas.openxmlformats.org/officeDocument/2006/relationships/hyperlink" Target="https://www.svb24.com/en/mega-fuse-holder-in-line.html" TargetMode="External"/><Relationship Id="rId89" Type="http://schemas.openxmlformats.org/officeDocument/2006/relationships/hyperlink" Target="https://www.svb24.com/en/mega-fuse-holder-in-line.html" TargetMode="External"/><Relationship Id="rId90" Type="http://schemas.openxmlformats.org/officeDocument/2006/relationships/hyperlink" Target="https://www.svb24.com/en/mega-fuse-holder-in-line.html" TargetMode="External"/><Relationship Id="rId91" Type="http://schemas.openxmlformats.org/officeDocument/2006/relationships/hyperlink" Target="https://www.svb24.com/en/mega-fuses-pack-of-5.html" TargetMode="External"/><Relationship Id="rId92" Type="http://schemas.openxmlformats.org/officeDocument/2006/relationships/hyperlink" Target="https://www.svb24.com/en/mega-fuses-pack-of-5.html" TargetMode="External"/><Relationship Id="rId93" Type="http://schemas.openxmlformats.org/officeDocument/2006/relationships/hyperlink" Target="https://www.svb24.com/en/mega-fuses-pack-of-5.html" TargetMode="External"/><Relationship Id="rId94" Type="http://schemas.openxmlformats.org/officeDocument/2006/relationships/hyperlink" Target="https://www.svb24.com/en/p/thermostat-mixing-valve.html" TargetMode="External"/><Relationship Id="rId95" Type="http://schemas.openxmlformats.org/officeDocument/2006/relationships/hyperlink" Target="https://www.svb24.com/en/p/thermostat-mixing-valve.html" TargetMode="External"/><Relationship Id="rId96" Type="http://schemas.openxmlformats.org/officeDocument/2006/relationships/hyperlink" Target="https://www.svb24.com/en/p/thermostat-mixing-valve.html" TargetMode="External"/><Relationship Id="rId97" Type="http://schemas.openxmlformats.org/officeDocument/2006/relationships/hyperlink" Target="https://www.svb24.com/product/510125?filter=4" TargetMode="External"/><Relationship Id="rId98" Type="http://schemas.openxmlformats.org/officeDocument/2006/relationships/hyperlink" Target="https://www.svb24.com/product/510125?filter=4" TargetMode="External"/><Relationship Id="rId99" Type="http://schemas.openxmlformats.org/officeDocument/2006/relationships/hyperlink" Target="https://www.svb24.com/product/510125?filter=4" TargetMode="External"/><Relationship Id="rId100" Type="http://schemas.openxmlformats.org/officeDocument/2006/relationships/hyperlink" Target="https://flutech-marine.com/en/jabsco/jabsco-59530-0000b/" TargetMode="External"/><Relationship Id="rId101" Type="http://schemas.openxmlformats.org/officeDocument/2006/relationships/hyperlink" Target="https://flutech-marine.com/en/jabsco/jabsco-59530-0000b/" TargetMode="External"/><Relationship Id="rId102" Type="http://schemas.openxmlformats.org/officeDocument/2006/relationships/hyperlink" Target="https://flutech-marine.com/en/jabsco/jabsco-59530-0000b/" TargetMode="External"/><Relationship Id="rId103" Type="http://schemas.openxmlformats.org/officeDocument/2006/relationships/hyperlink" Target="https://racorshop.de/product/racor-500mam10-turbine-filter-marine/" TargetMode="External"/><Relationship Id="rId104" Type="http://schemas.openxmlformats.org/officeDocument/2006/relationships/hyperlink" Target="https://racorshop.de/product/racor-500mam10-turbine-filter-marine/" TargetMode="External"/><Relationship Id="rId105" Type="http://schemas.openxmlformats.org/officeDocument/2006/relationships/hyperlink" Target="https://racorshop.de/product/racor-500mam10-turbine-filter-marine/" TargetMode="External"/><Relationship Id="rId106" Type="http://schemas.openxmlformats.org/officeDocument/2006/relationships/hyperlink" Target="https://www.svb24.com/en/seawater-connection-kit-19-mm.html" TargetMode="External"/><Relationship Id="rId107" Type="http://schemas.openxmlformats.org/officeDocument/2006/relationships/hyperlink" Target="https://www.svb24.com/en/seawater-connection-kit-19-mm.html" TargetMode="External"/><Relationship Id="rId108" Type="http://schemas.openxmlformats.org/officeDocument/2006/relationships/hyperlink" Target="https://www.svb24.com/en/seawater-connection-kit-19-mm.html" TargetMode="External"/><Relationship Id="rId109" Type="http://schemas.openxmlformats.org/officeDocument/2006/relationships/hyperlink" Target="https://www.svb24.com/en/rule-rule-a-matic-plus-automatic-float-switch.html" TargetMode="External"/><Relationship Id="rId110" Type="http://schemas.openxmlformats.org/officeDocument/2006/relationships/hyperlink" Target="https://www.svb24.com/en/rule-rule-a-matic-plus-automatic-float-switch.html" TargetMode="External"/><Relationship Id="rId111" Type="http://schemas.openxmlformats.org/officeDocument/2006/relationships/hyperlink" Target="https://www.svb24.com/en/rule-rule-a-matic-plus-automatic-float-switch.html" TargetMode="External"/><Relationship Id="rId112" Type="http://schemas.openxmlformats.org/officeDocument/2006/relationships/hyperlink" Target="https://www.nauticabasile.it/eng/osculati/fireboy-esc-series-automatic-engine-shutdown-systems-46872/?listRef=related" TargetMode="External"/><Relationship Id="rId113" Type="http://schemas.openxmlformats.org/officeDocument/2006/relationships/hyperlink" Target="https://www.nauticabasile.it/eng/osculati/fireboy-esc-series-automatic-engine-shutdown-systems-46872/?listRef=related" TargetMode="External"/><Relationship Id="rId114" Type="http://schemas.openxmlformats.org/officeDocument/2006/relationships/hyperlink" Target="https://www.nauticabasile.it/eng/osculati/fireboy-esc-series-automatic-engine-shutdown-systems-46872/?listRef=related" TargetMode="External"/><Relationship Id="rId115" Type="http://schemas.openxmlformats.org/officeDocument/2006/relationships/hyperlink" Target="https://www.svb24.com/en/webasto-thermo-pro-90-marine-diesel-water-heater-24-v-9-1-kw.html" TargetMode="External"/><Relationship Id="rId116" Type="http://schemas.openxmlformats.org/officeDocument/2006/relationships/hyperlink" Target="https://www.svb24.com/en/webasto-thermo-pro-90-marine-diesel-water-heater-24-v-9-1-kw.html" TargetMode="External"/><Relationship Id="rId117" Type="http://schemas.openxmlformats.org/officeDocument/2006/relationships/hyperlink" Target="https://www.svb24.com/en/webasto-thermo-pro-90-marine-diesel-water-heater-24-v-9-1-kw.html" TargetMode="External"/><Relationship Id="rId118" Type="http://schemas.openxmlformats.org/officeDocument/2006/relationships/hyperlink" Target="https://www.vetus-shop.com/aluminium-hydraulic-tank-70-incl-ht1013-p-2024.html" TargetMode="External"/><Relationship Id="rId119" Type="http://schemas.openxmlformats.org/officeDocument/2006/relationships/hyperlink" Target="https://www.vetus-shop.com/aluminium-hydraulic-tank-70-incl-ht1013-p-2024.html" TargetMode="External"/><Relationship Id="rId120" Type="http://schemas.openxmlformats.org/officeDocument/2006/relationships/hyperlink" Target="https://www.vetus-shop.com/aluminium-hydraulic-tank-70-incl-ht1013-p-2024.html" TargetMode="External"/><Relationship Id="rId121" Type="http://schemas.openxmlformats.org/officeDocument/2006/relationships/hyperlink" Target="https://www.vetus-shop.com/variably-adjustable-piston-pump-45cc-left-handed-saeb-flang-p-2033.html" TargetMode="External"/><Relationship Id="rId122" Type="http://schemas.openxmlformats.org/officeDocument/2006/relationships/hyperlink" Target="https://www.vetus-shop.com/variably-adjustable-piston-pump-45cc-left-handed-saeb-flang-p-2033.html" TargetMode="External"/><Relationship Id="rId123" Type="http://schemas.openxmlformats.org/officeDocument/2006/relationships/hyperlink" Target="https://www.vetus-shop.com/variably-adjustable-piston-pump-45cc-left-handed-saeb-flang-p-2033.html" TargetMode="External"/><Relationship Id="rId124" Type="http://schemas.openxmlformats.org/officeDocument/2006/relationships/hyperlink" Target="https://www.vetus-shop.com/single-step-load-sensing-device-incl-electrical-connection-p-2026.html" TargetMode="External"/><Relationship Id="rId125" Type="http://schemas.openxmlformats.org/officeDocument/2006/relationships/hyperlink" Target="https://www.vetus-shop.com/single-step-load-sensing-device-incl-electrical-connection-p-2026.html" TargetMode="External"/><Relationship Id="rId126" Type="http://schemas.openxmlformats.org/officeDocument/2006/relationships/hyperlink" Target="https://www.vetus-shop.com/single-step-load-sensing-device-incl-electrical-connection-p-2026.html" TargetMode="External"/><Relationship Id="rId127" Type="http://schemas.openxmlformats.org/officeDocument/2006/relationships/hyperlink" Target="https://www.vetus-shop.com/hydraulic-oil-cooler-for-hose-id-and216-32-mm-p-2050.html" TargetMode="External"/><Relationship Id="rId128" Type="http://schemas.openxmlformats.org/officeDocument/2006/relationships/hyperlink" Target="https://www.vetus-shop.com/hydraulic-oil-cooler-for-hose-id-and216-32-mm-p-2050.html" TargetMode="External"/><Relationship Id="rId129" Type="http://schemas.openxmlformats.org/officeDocument/2006/relationships/hyperlink" Target="https://www.vetus-shop.com/hydraulic-oil-cooler-for-hose-id-and216-32-mm-p-2050.html" TargetMode="External"/><Relationship Id="rId130" Type="http://schemas.openxmlformats.org/officeDocument/2006/relationships/hyperlink" Target="https://www.vetus-shop.com/aluminium-hydraulic-tank-70-incl-ht1013-p-2024.html" TargetMode="External"/><Relationship Id="rId131" Type="http://schemas.openxmlformats.org/officeDocument/2006/relationships/hyperlink" Target="https://www.vetus-shop.com/aluminium-hydraulic-tank-70-incl-ht1013-p-2024.html" TargetMode="External"/><Relationship Id="rId132" Type="http://schemas.openxmlformats.org/officeDocument/2006/relationships/hyperlink" Target="https://www.vetus-shop.com/aluminium-hydraulic-tank-70-incl-ht1013-p-2024.html" TargetMode="External"/><Relationship Id="rId133" Type="http://schemas.openxmlformats.org/officeDocument/2006/relationships/hyperlink" Target="https://www.vetus-shop.com/dual-step-solenoid-control-unit-24v-for-anchor-windlass-p-2043.html" TargetMode="External"/><Relationship Id="rId134" Type="http://schemas.openxmlformats.org/officeDocument/2006/relationships/hyperlink" Target="https://www.vetus-shop.com/dual-step-solenoid-control-unit-24v-for-anchor-windlass-p-2043.html" TargetMode="External"/><Relationship Id="rId135" Type="http://schemas.openxmlformats.org/officeDocument/2006/relationships/hyperlink" Target="https://www.vetus-shop.com/dual-step-solenoid-control-unit-24v-for-anchor-windlass-p-2043.html" TargetMode="External"/><Relationship Id="rId136" Type="http://schemas.openxmlformats.org/officeDocument/2006/relationships/hyperlink" Target="https://www.vetus-shop.com/aluminium-hydraulic-tank-70-incl-ht1013-p-2024.html" TargetMode="External"/><Relationship Id="rId137" Type="http://schemas.openxmlformats.org/officeDocument/2006/relationships/hyperlink" Target="https://www.vetus-shop.com/aluminium-hydraulic-tank-70-incl-ht1013-p-2024.html" TargetMode="External"/><Relationship Id="rId138" Type="http://schemas.openxmlformats.org/officeDocument/2006/relationships/hyperlink" Target="https://www.vetus-shop.com/aluminium-hydraulic-tank-70-incl-ht1013-p-2024.html" TargetMode="External"/><Relationship Id="rId139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2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3" Type="http://schemas.openxmlformats.org/officeDocument/2006/relationships/hyperlink" Target="https://www.dbmoteurs.fr/sites/default/files/Volvo-Penta-tarifs-prix-achat-moteurs-2023-DB-Moteurs-motorisation-marine-bateau-plaisance.pdf" TargetMode="External"/><Relationship Id="rId4" Type="http://schemas.openxmlformats.org/officeDocument/2006/relationships/hyperlink" Target="https://www.etruck.fi/shop-1" TargetMode="External"/><Relationship Id="rId5" Type="http://schemas.openxmlformats.org/officeDocument/2006/relationships/hyperlink" Target="https://www.jpcdirect.com/product/fischer-panda-12000x-generator/" TargetMode="External"/><Relationship Id="rId6" Type="http://schemas.openxmlformats.org/officeDocument/2006/relationships/hyperlink" Target="https://www.jpcdirect.com/product/kohler-12-kilowatt-generator/" TargetMode="External"/><Relationship Id="rId7" Type="http://schemas.openxmlformats.org/officeDocument/2006/relationships/hyperlink" Target="https://www.manelservice.com/it/gruppi-elettrogeni-marini/3925-vte-paguro-12000-v-ap12023050m0.html" TargetMode="External"/><Relationship Id="rId8" Type="http://schemas.openxmlformats.org/officeDocument/2006/relationships/hyperlink" Target="https://mmarineonline.com/products/kohler-marine-diesel-generator-24v-12efkozd-ss-50hz-with-sound-shield" TargetMode="External"/><Relationship Id="rId9" Type="http://schemas.openxmlformats.org/officeDocument/2006/relationships/hyperlink" Target="https://www.svb.de/de/victron-wechselrichter-ladegeraet-multiplus-ii-24-v-3000-va-70-a.html" TargetMode="External"/><Relationship Id="rId10" Type="http://schemas.openxmlformats.org/officeDocument/2006/relationships/hyperlink" Target="https://www.svb.de/de/victron-wechselrichter-ladegeraet-multiplus-ii-gx-24-v-3000-va-70-a.html" TargetMode="External"/><Relationship Id="rId11" Type="http://schemas.openxmlformats.org/officeDocument/2006/relationships/hyperlink" Target="https://www.svb.de/de/mastervolt-wechselrichter-ladegeraet-combimaster-24-v-3000-va-60-a.html?question_sort=oldest" TargetMode="External"/><Relationship Id="rId12" Type="http://schemas.openxmlformats.org/officeDocument/2006/relationships/hyperlink" Target="https://www.svb24.com/en/p/victron-isolation-transformer-3600-w-115-230-v.html" TargetMode="External"/><Relationship Id="rId13" Type="http://schemas.openxmlformats.org/officeDocument/2006/relationships/hyperlink" Target="https://www.svb24.com/en/mastervolt-mass-gi-3-5-isolation-transformer-16-a-3-5-kw.html" TargetMode="External"/><Relationship Id="rId14" Type="http://schemas.openxmlformats.org/officeDocument/2006/relationships/hyperlink" Target="https://www.hansenautic.de/36377/wp-gi-compact-galvanic-isolation-transformator-230v-16a-120v-32a/" TargetMode="External"/><Relationship Id="rId15" Type="http://schemas.openxmlformats.org/officeDocument/2006/relationships/hyperlink" Target="https://online-batterien.de/a/exide-er550-dual-versorgungsbatterie-starterbatterie-12v-115ah-550wh/400440" TargetMode="External"/><Relationship Id="rId16" Type="http://schemas.openxmlformats.org/officeDocument/2006/relationships/hyperlink" Target="https://www.nothnagel-marine.de/product_info.php?info=p3857_aquamot---power-battery--dc-battery-als12115-12v-115ah-agm-deep-cycle-battery.html&amp;language=en" TargetMode="External"/><Relationship Id="rId17" Type="http://schemas.openxmlformats.org/officeDocument/2006/relationships/hyperlink" Target="https://ab-marineservice.com/product/12v-115ah-agm-telecom-batt-m8/" TargetMode="External"/><Relationship Id="rId18" Type="http://schemas.openxmlformats.org/officeDocument/2006/relationships/hyperlink" Target="https://www.dynastart.nl/lyn060102000-lynx-distributor-m8" TargetMode="External"/><Relationship Id="rId19" Type="http://schemas.openxmlformats.org/officeDocument/2006/relationships/hyperlink" Target="https://www.svb24.com/en/philippi-stv207-power-distribution-panel-configurable.html" TargetMode="External"/><Relationship Id="rId20" Type="http://schemas.openxmlformats.org/officeDocument/2006/relationships/hyperlink" Target="https://www.svb24.com/en/philippi-lae-113-shore-connection-unit.html" TargetMode="External"/><Relationship Id="rId21" Type="http://schemas.openxmlformats.org/officeDocument/2006/relationships/hyperlink" Target="https://www.svb24.com/en/blue-sea-hd-remote-battery-switch-24v.html" TargetMode="External"/><Relationship Id="rId22" Type="http://schemas.openxmlformats.org/officeDocument/2006/relationships/hyperlink" Target="https://www.svb24.com/en/blue-sea-universal-solenoid-switch-24-v.html" TargetMode="External"/><Relationship Id="rId23" Type="http://schemas.openxmlformats.org/officeDocument/2006/relationships/hyperlink" Target="https://www.aquatec-watermaker.de/wassermacher-produkt-ac150-ac240.html" TargetMode="External"/><Relationship Id="rId24" Type="http://schemas.openxmlformats.org/officeDocument/2006/relationships/hyperlink" Target="https://mar-nautic.com/schenker-watermaker-zen-150" TargetMode="External"/><Relationship Id="rId25" Type="http://schemas.openxmlformats.org/officeDocument/2006/relationships/hyperlink" Target="https://www.manelservice.com/en/marine-desalination-systems/17102-osmosea-new12-150c-nautical-watermaker-150-lth.html" TargetMode="External"/><Relationship Id="rId26" Type="http://schemas.openxmlformats.org/officeDocument/2006/relationships/hyperlink" Target="https://www.comptoirnautique.com/groupe-d-eau-a-pressostat/53022-cem-elettromeccanica-autoclave-cem-vase-expansion-inox-20l-24v-50-l-min.html" TargetMode="External"/><Relationship Id="rId27" Type="http://schemas.openxmlformats.org/officeDocument/2006/relationships/hyperlink" Target="https://www.comptoirnautique.com/groupe-d-eau-hydrophore/22947-gianneschi-groupe-d-eau-ecoinox-1-avec-reservoir-20l-24v-45lmin-7024.html" TargetMode="External"/><Relationship Id="rId28" Type="http://schemas.openxmlformats.org/officeDocument/2006/relationships/hyperlink" Target="https://www.enag.fr/english/wp-content/uploads/sites/5/2022/11/FC-GH-EN-C.pdf" TargetMode="External"/><Relationship Id="rId29" Type="http://schemas.openxmlformats.org/officeDocument/2006/relationships/hyperlink" Target="https://cempumps.com/wp-content/uploads/2024/10/Autoclavi_20L-20X.pdf" TargetMode="External"/><Relationship Id="rId30" Type="http://schemas.openxmlformats.org/officeDocument/2006/relationships/hyperlink" Target="https://www.tyboat.com/achat/P-57388-gianneschi-groupe-d-eau-ecoinox2-3-5-bars-0-45-kw-55-litres-minute-reservoir-20-litres-230-volts.html" TargetMode="External"/><Relationship Id="rId31" Type="http://schemas.openxmlformats.org/officeDocument/2006/relationships/hyperlink" Target="https://www.enag.fr/english/wp-content/uploads/sites/5/2022/11/FC-GH-EN-C.pdf" TargetMode="External"/><Relationship Id="rId32" Type="http://schemas.openxmlformats.org/officeDocument/2006/relationships/hyperlink" Target="https://www.esconet.fi/shop/uc16h-thermowell-uc16h-ilmastointilaite-chiller-230v-16000btu-27518" TargetMode="External"/><Relationship Id="rId33" Type="http://schemas.openxmlformats.org/officeDocument/2006/relationships/hyperlink" Target="https://mdislandsupply.com/en/climma/879-cws-aquacontrol-161-rc-230150-climma.html" TargetMode="External"/><Relationship Id="rId34" Type="http://schemas.openxmlformats.org/officeDocument/2006/relationships/hyperlink" Target="https://www.nauticsale.com/en/airconditioning/bluecool-chiller-systems/bluecool-c-series-chillers/" TargetMode="External"/><Relationship Id="rId35" Type="http://schemas.openxmlformats.org/officeDocument/2006/relationships/hyperlink" Target="https://www.tyboat.com/achat/P-8889-quick-chauffe-eau-cylindrique-b3-40-litres-220-volts-1200-watts.html" TargetMode="External"/><Relationship Id="rId36" Type="http://schemas.openxmlformats.org/officeDocument/2006/relationships/hyperlink" Target="https://www.tyboat.com/achat/P-8880-quick-chauffe-eau-cylindrique-bx-40-litres-220-volts-1200-watts.html" TargetMode="External"/><Relationship Id="rId37" Type="http://schemas.openxmlformats.org/officeDocument/2006/relationships/hyperlink" Target="https://www.tyboat.com/achat/P-18237-quick-chauffe-eau-cube-inox-bxs-40-litres-220-volts-1200-watts.html" TargetMode="External"/><Relationship Id="rId38" Type="http://schemas.openxmlformats.org/officeDocument/2006/relationships/hyperlink" Target="https://www.comptoirnautique.com/climatisation-bateau/91819-frigomar-pompes-a-entrainement-magnetique.html" TargetMode="External"/><Relationship Id="rId39" Type="http://schemas.openxmlformats.org/officeDocument/2006/relationships/hyperlink" Target="https://www.kent-marine.com/fr/produit/35262/chauffe-eau-cylindrique-40l-220v-1200w.html" TargetMode="External"/><Relationship Id="rId40" Type="http://schemas.openxmlformats.org/officeDocument/2006/relationships/hyperlink" Target="https://www.marine-impact.com/groupe-d-eau/313-filtre-en-ligne-pumpgard-o13-mm-jabsco.html" TargetMode="External"/><Relationship Id="rId41" Type="http://schemas.openxmlformats.org/officeDocument/2006/relationships/hyperlink" Target="https://www.vetus-shop.com/aluminium-hydraulic-tank-70-incl-ht1013-p-2024.html" TargetMode="External"/><Relationship Id="rId42" Type="http://schemas.openxmlformats.org/officeDocument/2006/relationships/hyperlink" Target="https://www.vetus-shop.com/vetus-power-hydraulics-c-21_210.html" TargetMode="External"/><Relationship Id="rId43" Type="http://schemas.openxmlformats.org/officeDocument/2006/relationships/hyperlink" Target="https://www.vetus-shop.com/aluminium-hydraulic-tank-70-incl-ht1013-p-2024.html" TargetMode="External"/><Relationship Id="rId44" Type="http://schemas.openxmlformats.org/officeDocument/2006/relationships/hyperlink" Target="https://www.vetus-shop.com/aluminium-hydraulic-tank-70-incl-ht1013-p-2024.html" TargetMode="External"/><Relationship Id="rId45" Type="http://schemas.openxmlformats.org/officeDocument/2006/relationships/hyperlink" Target="https://www.vetus-shop.com/vetus-power-hydraulics-c-21_210.html" TargetMode="External"/><Relationship Id="rId46" Type="http://schemas.openxmlformats.org/officeDocument/2006/relationships/hyperlink" Target="https://www.vetus-shop.com/aluminium-hydraulic-tank-70-incl-ht1013-p-2024.html" TargetMode="External"/><Relationship Id="rId47" Type="http://schemas.openxmlformats.org/officeDocument/2006/relationships/hyperlink" Target="https://racorshop.de/product/racor-75500maxm30-turbine-filter-marine/" TargetMode="External"/><Relationship Id="rId48" Type="http://schemas.openxmlformats.org/officeDocument/2006/relationships/hyperlink" Target="https://www.vetus-shop.com/vetus-raw-water-strainer-type-330-and21632mm-p-1026.html" TargetMode="External"/><Relationship Id="rId49" Type="http://schemas.openxmlformats.org/officeDocument/2006/relationships/hyperlink" Target="https://www.mediawinkel.eu/nl/heavy-duty-waterfilter-32-mm.html" TargetMode="External"/><Relationship Id="rId50" Type="http://schemas.openxmlformats.org/officeDocument/2006/relationships/hyperlink" Target="https://www.mackengineering.co.uk/rule-2000-gph-bilge-pump-24v.html" TargetMode="External"/><Relationship Id="rId51" Type="http://schemas.openxmlformats.org/officeDocument/2006/relationships/hyperlink" Target="https://www.mackengineering.co.uk/bp9005-whale-gusher-urchin-hand-pump.html" TargetMode="External"/><Relationship Id="rId52" Type="http://schemas.openxmlformats.org/officeDocument/2006/relationships/hyperlink" Target="https://www.mackengineering.co.uk/rule-2000-gph-bilge-pump-24v.html" TargetMode="External"/><Relationship Id="rId53" Type="http://schemas.openxmlformats.org/officeDocument/2006/relationships/hyperlink" Target="https://www.mackengineering.co.uk/35770-0094-24v-flexmount-blower.html" TargetMode="External"/><Relationship Id="rId54" Type="http://schemas.openxmlformats.org/officeDocument/2006/relationships/hyperlink" Target="https://www.mackengineering.co.uk/marco-up3-oil-pump-24v.html" TargetMode="External"/><Relationship Id="rId55" Type="http://schemas.openxmlformats.org/officeDocument/2006/relationships/hyperlink" Target="https://www.vetus-shop.com/vetus-fuel-tank-quickfit-diesel-40-litre-8mm-p-1786.html" TargetMode="External"/><Relationship Id="rId56" Type="http://schemas.openxmlformats.org/officeDocument/2006/relationships/hyperlink" Target="https://www.vetus-shop.com/vetus-fuel-tank-quickfit-diesel-40-litre-8mm-p-1786.html" TargetMode="External"/><Relationship Id="rId57" Type="http://schemas.openxmlformats.org/officeDocument/2006/relationships/hyperlink" Target="https://www.cactusnav.com/jabsco-macerator-pump-p-37922.html" TargetMode="External"/><Relationship Id="rId58"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/><Relationship Id="rId59"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/><Relationship Id="rId60" Type="http://schemas.openxmlformats.org/officeDocument/2006/relationships/hyperlink" Target="https://www.butlertechnik.com/item/Webasto/Thermo-Pro-90-24v-Marine-Kit-With-Switch-91kW-4111185A/5G7" TargetMode="External"/><Relationship Id="rId61" Type="http://schemas.openxmlformats.org/officeDocument/2006/relationships/hyperlink" Target="https://www.abma-sneek.nl/yanmar/engines-gears-drives/powerboat-engines?prod_id=650436" TargetMode="External"/><Relationship Id="rId62" Type="http://schemas.openxmlformats.org/officeDocument/2006/relationships/hyperlink" Target="https://useddieselenginecenter.nl/yanmar-6lpam-stp2-6-lpam-stp-2-bobtail" TargetMode="External"/><Relationship Id="rId63" Type="http://schemas.openxmlformats.org/officeDocument/2006/relationships/hyperlink" Target="https://www.jpcdirect.com/product/fischer-panda-12000x-generator/" TargetMode="External"/><Relationship Id="rId64" Type="http://schemas.openxmlformats.org/officeDocument/2006/relationships/hyperlink" Target="https://www.nautiradar.pt/en/products/fischer-panda/panda-12000x-230v-pms-12kva-fixed-engine-speed-marine-generator" TargetMode="External"/><Relationship Id="rId65" Type="http://schemas.openxmlformats.org/officeDocument/2006/relationships/hyperlink" Target="https://www.nautiradar.pt/en/products/fischer-panda/panda-15000i-230v-pms-12kw-230v-variable-speed-marine-generator" TargetMode="External"/><Relationship Id="rId66" Type="http://schemas.openxmlformats.org/officeDocument/2006/relationships/hyperlink" Target="https://www.svb24.com/en/rule-heavy-duty-bilge-pump-2000-24v.html" TargetMode="External"/><Relationship Id="rId67" Type="http://schemas.openxmlformats.org/officeDocument/2006/relationships/hyperlink" Target="https://www.svb24.com/en/whale-gusher-urchin-manual-bilge-pump-type-bp-9005.html" TargetMode="External"/><Relationship Id="rId68" Type="http://schemas.openxmlformats.org/officeDocument/2006/relationships/hyperlink" Target="https://www.svb24.com/en/whale-gusher-30-manual-bilge-pump-surface-mounting.html" TargetMode="External"/><Relationship Id="rId69" Type="http://schemas.openxmlformats.org/officeDocument/2006/relationships/hyperlink" Target="https://www.svb24.com/en/ocean-technologies-engine-compartment-blower-24-v-1000-m3-hour-150-mm-flex-mount.html" TargetMode="External"/><Relationship Id="rId70" Type="http://schemas.openxmlformats.org/officeDocument/2006/relationships/hyperlink" Target="https://www.svb24.com/en/marco-up3-electric-oil-change-pump.html" TargetMode="External"/><Relationship Id="rId71" Type="http://schemas.openxmlformats.org/officeDocument/2006/relationships/hyperlink" Target="https://www.svb24.com/en/jabsco-type-12gpm-waste-water-pump-24v.html" TargetMode="External"/><Relationship Id="rId72" Type="http://schemas.openxmlformats.org/officeDocument/2006/relationships/hyperlink" Target="https://www.svb24.com/en/rule-rule-a-matic-plus-automatic-float-switch.html" TargetMode="External"/><Relationship Id="rId73" Type="http://schemas.openxmlformats.org/officeDocument/2006/relationships/hyperlink" Target="https://www.svb24.com/en/johnson-pump-bilge-alert-high-water-alarm-with-ultima-switch.html" TargetMode="External"/><Relationship Id="rId74" Type="http://schemas.openxmlformats.org/officeDocument/2006/relationships/hyperlink" Target="https://www.svb24.com/en/kus-water-fuel-sensor.html" TargetMode="External"/><Relationship Id="rId75" Type="http://schemas.openxmlformats.org/officeDocument/2006/relationships/hyperlink" Target="https://www.nauticabasile.it/eng/osculati/fixed-fireboy-fire-extinguishers-with-clean-agent-and-manualautomatic-activation-46870/31.620.55/" TargetMode="External"/><Relationship Id="rId76" Type="http://schemas.openxmlformats.org/officeDocument/2006/relationships/hyperlink" Target="https://www.nauticabasile.it/eng/osculati/fireboy-esc-series-automatic-engine-shutdown-systems-46872/?listRef=related" TargetMode="External"/><Relationship Id="rId77" Type="http://schemas.openxmlformats.org/officeDocument/2006/relationships/hyperlink" Target="https://www.svb24.com/en/webasto-thermo-pro-90-marine-diesel-water-heater-24-v-9-1-kw.html" TargetMode="External"/><Relationship Id="rId78" Type="http://schemas.openxmlformats.org/officeDocument/2006/relationships/hyperlink" Target="https://standheizung-ersatzteile.com/thermo-pro-90-24v-marine-std" TargetMode="External"/><Relationship Id="rId79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80" Type="http://schemas.openxmlformats.org/officeDocument/2006/relationships/hyperlink" Target="https://www.svb24.com/en/ocean-technologies-engine-compartment-blower-24-v-550-m3-hour-100-mm-hose-connection.html" TargetMode="External"/><Relationship Id="rId81" Type="http://schemas.openxmlformats.org/officeDocument/2006/relationships/hyperlink" Target="https://www.svb24.com/en/johnson-pump-ta3p10-19-macerator-pump-24v.html" TargetMode="External"/><Relationship Id="rId82" Type="http://schemas.openxmlformats.org/officeDocument/2006/relationships/hyperlink" Target="https://www.mon-camping-car.com/convertisseur-24v-230v-phoenix-1200va-ve-direct-pur-sinus-victron.html" TargetMode="External"/><Relationship Id="rId83" Type="http://schemas.openxmlformats.org/officeDocument/2006/relationships/hyperlink" Target="https://www.svb24.com/en/vetus-boat-battery-60-ah-to-230-ah.html" TargetMode="External"/><Relationship Id="rId84" Type="http://schemas.openxmlformats.org/officeDocument/2006/relationships/hyperlink" Target="https://www.svb24.com/en/vetus-boat-battery-60-ah-to-230-ah.html" TargetMode="External"/><Relationship Id="rId85" Type="http://schemas.openxmlformats.org/officeDocument/2006/relationships/hyperlink" Target="https://www.svb24.com/en/vetus-boat-battery-60-ah-to-230-ah.html" TargetMode="External"/><Relationship Id="rId86" Type="http://schemas.openxmlformats.org/officeDocument/2006/relationships/hyperlink" Target="https://www.svb24.com/en/p/victron-isolation-transformer-3600-w-115-230-v.html" TargetMode="External"/><Relationship Id="rId87" Type="http://schemas.openxmlformats.org/officeDocument/2006/relationships/hyperlink" Target="https://www.svb24.com/en/philippi-stv207-power-distribution-panel-configurable.html" TargetMode="External"/><Relationship Id="rId88" Type="http://schemas.openxmlformats.org/officeDocument/2006/relationships/hyperlink" Target="https://www.svb24.com/en/philippi-lae-113-shore-connection-unit.html" TargetMode="External"/><Relationship Id="rId89" Type="http://schemas.openxmlformats.org/officeDocument/2006/relationships/hyperlink" Target="https://www.svb24.com/en/mega-fuse-holder-in-line.html" TargetMode="External"/><Relationship Id="rId90" Type="http://schemas.openxmlformats.org/officeDocument/2006/relationships/hyperlink" Target="https://www.svb24.com/en/blue-sea-hd-remote-battery-switch-24v.html" TargetMode="External"/><Relationship Id="rId91" Type="http://schemas.openxmlformats.org/officeDocument/2006/relationships/hyperlink" Target="https://www.svb24.com/en/blue-sea-universal-solenoid-switch-24-v.html" TargetMode="External"/><Relationship Id="rId92" Type="http://schemas.openxmlformats.org/officeDocument/2006/relationships/hyperlink" Target="https://www.svb24.com/en/cee-shore-power-inlet-16-a-230-v-male.html" TargetMode="External"/><Relationship Id="rId93" Type="http://schemas.openxmlformats.org/officeDocument/2006/relationships/hyperlink" Target="https://www.svb24.com/en/mega-fuses-pack-of-5.html" TargetMode="External"/><Relationship Id="rId94" Type="http://schemas.openxmlformats.org/officeDocument/2006/relationships/hyperlink" Target="https://www.vetus-shop.com/aluminium-hydraulic-tank-70-incl-ht1013-p-2024.html" TargetMode="External"/><Relationship Id="rId95" Type="http://schemas.openxmlformats.org/officeDocument/2006/relationships/hyperlink" Target="https://www.vetus-shop.com/variably-adjustable-piston-pump-45cc-left-handed-saeb-flang-p-2033.html" TargetMode="External"/><Relationship Id="rId96" Type="http://schemas.openxmlformats.org/officeDocument/2006/relationships/hyperlink" Target="https://www.vetus-shop.com/single-step-load-sensing-device-incl-electrical-connection-p-2026.html" TargetMode="External"/><Relationship Id="rId97" Type="http://schemas.openxmlformats.org/officeDocument/2006/relationships/hyperlink" Target="https://www.vetus-shop.com/hydraulic-oil-cooler-for-hose-id-and216-32-mm-p-2050.html" TargetMode="External"/><Relationship Id="rId98" Type="http://schemas.openxmlformats.org/officeDocument/2006/relationships/hyperlink" Target="https://www.vetus-shop.com/aluminium-hydraulic-tank-70-incl-ht1013-p-2024.html" TargetMode="External"/><Relationship Id="rId99" Type="http://schemas.openxmlformats.org/officeDocument/2006/relationships/hyperlink" Target="https://www.vetus-shop.com/dual-step-solenoid-control-unit-24v-for-anchor-windlass-p-2043.html" TargetMode="External"/><Relationship Id="rId100" Type="http://schemas.openxmlformats.org/officeDocument/2006/relationships/hyperlink" Target="https://www.vetus-shop.com/aluminium-hydraulic-tank-70-incl-ht1013-p-2024.html" TargetMode="External"/><Relationship Id="rId101" Type="http://schemas.openxmlformats.org/officeDocument/2006/relationships/hyperlink" Target="https://www.tyboat.com/achat/P-8880-quick-chauffe-eau-cylindrique-bx-40-litres-220-volts-1200-watts.html" TargetMode="External"/><Relationship Id="rId102" Type="http://schemas.openxmlformats.org/officeDocument/2006/relationships/hyperlink" Target="https://www.comptoirnautique.com/climatisation-bateau/91819-frigomar-pompes-a-entrainement-magnetique.html" TargetMode="External"/><Relationship Id="rId103" Type="http://schemas.openxmlformats.org/officeDocument/2006/relationships/hyperlink" Target="https://www.svb24.com/en/pressure-accumulator-tank-plastic-0-7-litre-max-5-bar.html" TargetMode="External"/><Relationship Id="rId104" Type="http://schemas.openxmlformats.org/officeDocument/2006/relationships/hyperlink" Target="https://racorshop.de/product/racor-75500maxm30-turbine-filter-marine/" TargetMode="External"/><Relationship Id="rId105" Type="http://schemas.openxmlformats.org/officeDocument/2006/relationships/hyperlink" Target="https://www.svb24.com/en/seawater-connection-kit-19-mm.html" TargetMode="External"/><Relationship Id="rId106" Type="http://schemas.openxmlformats.org/officeDocument/2006/relationships/hyperlink" Target="https://www.svb24.com/en/p/thermostat-mixing-valve.html" TargetMode="External"/><Relationship Id="rId107" Type="http://schemas.openxmlformats.org/officeDocument/2006/relationships/hyperlink" Target="https://tiendadelbarco.com/en/basic/4109-isotherm-water-heater-40l-basic40-750w-220v.html" TargetMode="External"/><Relationship Id="rId108" Type="http://schemas.openxmlformats.org/officeDocument/2006/relationships/hyperlink" Target="https://www.svb24.com/product/510125?filter=4" TargetMode="External"/><Relationship Id="rId109" Type="http://schemas.openxmlformats.org/officeDocument/2006/relationships/hyperlink" Target="https://www.svb24.com/en/inline-activated-carbon-filter_.html" TargetMode="External"/><Relationship Id="rId110" Type="http://schemas.openxmlformats.org/officeDocument/2006/relationships/hyperlink" Target="https://racorshop.de/product/racor-500mam10-turbine-filter-marine/" TargetMode="External"/><Relationship Id="rId111" Type="http://schemas.openxmlformats.org/officeDocument/2006/relationships/hyperlink" Target="https://www.mediawinkel.eu/nl/heavy-duty-waterfilter-32-mm.html" TargetMode="External"/><Relationship Id="rId112" Type="http://schemas.openxmlformats.org/officeDocument/2006/relationships/hyperlink" Target="https://flutech-marine.com/en/jabsco/jabsco-59530-0000b/" TargetMode="External"/><Relationship Id="rId113" Type="http://schemas.openxmlformats.org/officeDocument/2006/relationships/hyperlink" Target="https://www.seashop.com/en/jabsco-59520-0000b-circulation-pump-for-hot-water-8-24v" TargetMode="External"/><Relationship Id="rId114" Type="http://schemas.openxmlformats.org/officeDocument/2006/relationships/hyperlink" Target="https://www.12seemeilen.de/vetus-wassersammler-drehbar-typ-nlp90.html" TargetMode="External"/><Relationship Id="rId115" Type="http://schemas.openxmlformats.org/officeDocument/2006/relationships/hyperlink" Target="https://www.aquanautique.com/fr/eau/pompes/pompe-eau-de-mer/frigomar-pompe-a-entrainement-magnetique-nh-200ps.html" TargetMode="External"/><Relationship Id="rId116" Type="http://schemas.openxmlformats.org/officeDocument/2006/relationships/hyperlink" Target="https://www.shop-marine.com/accouplement-flexible-bullflex/accouplement-flexible-type-bullflex-16-diametre-205mm-arbre-50mm" TargetMode="External"/><Relationship Id="rId117" Type="http://schemas.openxmlformats.org/officeDocument/2006/relationships/hyperlink" Target="https://www.svb24.com/en/pss-shaft-seal-for-50-mm-shaft.html" TargetMode="External"/><Relationship Id="rId118" Type="http://schemas.openxmlformats.org/officeDocument/2006/relationships/hyperlink" Target="https://www.atmbmarine.com/en/moduline-b10-aquadrive/617-stop-b10-cv21-for-shaft-o-35-to-50-mm.html" TargetMode="External"/><Relationship Id="rId119" Type="http://schemas.openxmlformats.org/officeDocument/2006/relationships/hyperlink" Target="https://mecleisure.co.uk/products/flexible-coupling-type-bullflex-32-shaft-a-50-mm-bulfl3250" TargetMode="External"/><Relationship Id="rId120" Type="http://schemas.openxmlformats.org/officeDocument/2006/relationships/hyperlink" Target="https://www.lancingmarine.com/product/vetus/Stern-Gear.aspx" TargetMode="External"/><Relationship Id="rId12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svb24.com/en/rule-heavy-duty-bilge-pump-2000-24v.html" TargetMode="External"/><Relationship Id="rId2" Type="http://schemas.openxmlformats.org/officeDocument/2006/relationships/hyperlink" Target="https://www.svb24.com/en/whale-gusher-urchin-manual-bilge-pump-type-bp-9005.html" TargetMode="External"/><Relationship Id="rId3" Type="http://schemas.openxmlformats.org/officeDocument/2006/relationships/hyperlink" Target="https://www.svb24.com/en/whale-gusher-30-manual-bilge-pump-surface-mounting.html" TargetMode="External"/><Relationship Id="rId4" Type="http://schemas.openxmlformats.org/officeDocument/2006/relationships/hyperlink" Target="https://www.svb24.com/en/ocean-technologies-engine-compartment-blower-24-v-1000-m3-hour-150-mm-flex-mount.html" TargetMode="External"/><Relationship Id="rId5" Type="http://schemas.openxmlformats.org/officeDocument/2006/relationships/hyperlink" Target="https://www.svb24.com/en/marco-up3-electric-oil-change-pump.html" TargetMode="External"/><Relationship Id="rId6" Type="http://schemas.openxmlformats.org/officeDocument/2006/relationships/hyperlink" Target="https://www.svb24.com/en/jabsco-type-12gpm-waste-water-pump-24v.html" TargetMode="External"/><Relationship Id="rId7" Type="http://schemas.openxmlformats.org/officeDocument/2006/relationships/hyperlink" Target="https://www.svb24.com/en/rule-rule-a-matic-plus-automatic-float-switch.html" TargetMode="External"/><Relationship Id="rId8" Type="http://schemas.openxmlformats.org/officeDocument/2006/relationships/hyperlink" Target="https://www.svb24.com/en/johnson-pump-bilge-alert-high-water-alarm-with-ultima-switch.html" TargetMode="External"/><Relationship Id="rId9" Type="http://schemas.openxmlformats.org/officeDocument/2006/relationships/hyperlink" Target="https://www.svb24.com/en/kus-water-fuel-sensor.html" TargetMode="External"/><Relationship Id="rId10" Type="http://schemas.openxmlformats.org/officeDocument/2006/relationships/hyperlink" Target="https://www.nauticabasile.it/eng/osculati/fixed-fireboy-fire-extinguishers-with-clean-agent-and-manualautomatic-activation-46870/31.620.55/" TargetMode="External"/><Relationship Id="rId11" Type="http://schemas.openxmlformats.org/officeDocument/2006/relationships/hyperlink" Target="https://www.nauticabasile.it/eng/osculati/fireboy-esc-series-automatic-engine-shutdown-systems-46872/?listRef=related" TargetMode="External"/><Relationship Id="rId12" Type="http://schemas.openxmlformats.org/officeDocument/2006/relationships/hyperlink" Target="https://www.svb24.com/en/webasto-thermo-pro-90-marine-diesel-water-heater-24-v-9-1-kw.html" TargetMode="External"/><Relationship Id="rId13" Type="http://schemas.openxmlformats.org/officeDocument/2006/relationships/hyperlink" Target="https://standheizung-ersatzteile.com/thermo-pro-90-24v-marine-std" TargetMode="External"/><Relationship Id="rId14" Type="http://schemas.openxmlformats.org/officeDocument/2006/relationships/hyperlink" Target="https://www.nauticabasile.it/eng/osculati/fixed-fireboy-fire-extinguishers-with-clean-agent-and-manualautomatic-activation-46870/31.610.31/" TargetMode="External"/><Relationship Id="rId15" Type="http://schemas.openxmlformats.org/officeDocument/2006/relationships/hyperlink" Target="https://www.svb24.com/en/ocean-technologies-engine-compartment-blower-24-v-550-m3-hour-100-mm-hose-connection.html" TargetMode="External"/><Relationship Id="rId16" Type="http://schemas.openxmlformats.org/officeDocument/2006/relationships/hyperlink" Target="https://www.svb24.com/en/johnson-pump-ta3p10-19-macerator-pump-24v.html" TargetMode="External"/><Relationship Id="rId17" Type="http://schemas.openxmlformats.org/officeDocument/2006/relationships/hyperlink" Target="https://www.mon-camping-car.com/convertisseur-24v-230v-phoenix-1200va-ve-direct-pur-sinus-victron.html" TargetMode="External"/><Relationship Id="rId18" Type="http://schemas.openxmlformats.org/officeDocument/2006/relationships/hyperlink" Target="https://www.svb24.com/en/vetus-boat-battery-60-ah-to-230-ah.html" TargetMode="External"/><Relationship Id="rId19" Type="http://schemas.openxmlformats.org/officeDocument/2006/relationships/hyperlink" Target="https://www.svb24.com/en/vetus-boat-battery-60-ah-to-230-ah.html" TargetMode="External"/><Relationship Id="rId20" Type="http://schemas.openxmlformats.org/officeDocument/2006/relationships/hyperlink" Target="https://www.svb24.com/en/vetus-boat-battery-60-ah-to-230-ah.html" TargetMode="External"/><Relationship Id="rId21" Type="http://schemas.openxmlformats.org/officeDocument/2006/relationships/hyperlink" Target="https://www.svb24.com/en/p/victron-isolation-transformer-3600-w-115-230-v.html" TargetMode="External"/><Relationship Id="rId22" Type="http://schemas.openxmlformats.org/officeDocument/2006/relationships/hyperlink" Target="https://www.svb24.com/en/philippi-stv207-power-distribution-panel-configurable.html" TargetMode="External"/><Relationship Id="rId23" Type="http://schemas.openxmlformats.org/officeDocument/2006/relationships/hyperlink" Target="https://www.svb24.com/en/philippi-lae-113-shore-connection-unit.html" TargetMode="External"/><Relationship Id="rId24" Type="http://schemas.openxmlformats.org/officeDocument/2006/relationships/hyperlink" Target="https://www.svb24.com/en/mega-fuse-holder-in-line.html" TargetMode="External"/><Relationship Id="rId25" Type="http://schemas.openxmlformats.org/officeDocument/2006/relationships/hyperlink" Target="https://www.svb24.com/en/blue-sea-hd-remote-battery-switch-24v.html" TargetMode="External"/><Relationship Id="rId26" Type="http://schemas.openxmlformats.org/officeDocument/2006/relationships/hyperlink" Target="https://www.svb24.com/en/blue-sea-universal-solenoid-switch-24-v.html" TargetMode="External"/><Relationship Id="rId27" Type="http://schemas.openxmlformats.org/officeDocument/2006/relationships/hyperlink" Target="https://www.svb24.com/en/cee-shore-power-inlet-16-a-230-v-male.html" TargetMode="External"/><Relationship Id="rId28" Type="http://schemas.openxmlformats.org/officeDocument/2006/relationships/hyperlink" Target="https://www.svb24.com/en/mega-fuses-pack-of-5.html" TargetMode="External"/><Relationship Id="rId29" Type="http://schemas.openxmlformats.org/officeDocument/2006/relationships/hyperlink" Target="https://www.vetus-shop.com/aluminium-hydraulic-tank-70-incl-ht1013-p-2024.html" TargetMode="External"/><Relationship Id="rId30" Type="http://schemas.openxmlformats.org/officeDocument/2006/relationships/hyperlink" Target="https://www.vetus-shop.com/variably-adjustable-piston-pump-45cc-left-handed-saeb-flang-p-2033.html" TargetMode="External"/><Relationship Id="rId31" Type="http://schemas.openxmlformats.org/officeDocument/2006/relationships/hyperlink" Target="https://www.vetus-shop.com/single-step-load-sensing-device-incl-electrical-connection-p-2026.html" TargetMode="External"/><Relationship Id="rId32" Type="http://schemas.openxmlformats.org/officeDocument/2006/relationships/hyperlink" Target="https://www.vetus-shop.com/hydraulic-oil-cooler-for-hose-id-and216-32-mm-p-2050.html" TargetMode="External"/><Relationship Id="rId33" Type="http://schemas.openxmlformats.org/officeDocument/2006/relationships/hyperlink" Target="https://www.vetus-shop.com/aluminium-hydraulic-tank-70-incl-ht1013-p-2024.html" TargetMode="External"/><Relationship Id="rId34" Type="http://schemas.openxmlformats.org/officeDocument/2006/relationships/hyperlink" Target="https://www.vetus-shop.com/dual-step-solenoid-control-unit-24v-for-anchor-windlass-p-2043.html" TargetMode="External"/><Relationship Id="rId35" Type="http://schemas.openxmlformats.org/officeDocument/2006/relationships/hyperlink" Target="https://www.vetus-shop.com/aluminium-hydraulic-tank-70-incl-ht1013-p-2024.html" TargetMode="External"/><Relationship Id="rId36" Type="http://schemas.openxmlformats.org/officeDocument/2006/relationships/hyperlink" Target="https://www.tyboat.com/achat/P-8880-quick-chauffe-eau-cylindrique-bx-40-litres-220-volts-1200-watts.html" TargetMode="External"/><Relationship Id="rId37" Type="http://schemas.openxmlformats.org/officeDocument/2006/relationships/hyperlink" Target="https://www.comptoirnautique.com/climatisation-bateau/91819-frigomar-pompes-a-entrainement-magnetique.html" TargetMode="External"/><Relationship Id="rId38" Type="http://schemas.openxmlformats.org/officeDocument/2006/relationships/hyperlink" Target="https://www.svb24.com/en/pressure-accumulator-tank-plastic-0-7-litre-max-5-bar.html" TargetMode="External"/><Relationship Id="rId39" Type="http://schemas.openxmlformats.org/officeDocument/2006/relationships/hyperlink" Target="https://racorshop.de/product/racor-75500maxm30-turbine-filter-marine/" TargetMode="External"/><Relationship Id="rId40" Type="http://schemas.openxmlformats.org/officeDocument/2006/relationships/hyperlink" Target="https://www.svb24.com/en/seawater-connection-kit-19-mm.html" TargetMode="External"/><Relationship Id="rId41" Type="http://schemas.openxmlformats.org/officeDocument/2006/relationships/hyperlink" Target="https://www.svb24.com/en/p/thermostat-mixing-valve.html" TargetMode="External"/><Relationship Id="rId42" Type="http://schemas.openxmlformats.org/officeDocument/2006/relationships/hyperlink" Target="https://tiendadelbarco.com/en/basic/4109-isotherm-water-heater-40l-basic40-750w-220v.html" TargetMode="External"/><Relationship Id="rId43" Type="http://schemas.openxmlformats.org/officeDocument/2006/relationships/hyperlink" Target="https://www.svb24.com/product/510125?filter=4" TargetMode="External"/><Relationship Id="rId44" Type="http://schemas.openxmlformats.org/officeDocument/2006/relationships/hyperlink" Target="https://www.svb24.com/en/inline-activated-carbon-filter_.html" TargetMode="External"/><Relationship Id="rId45" Type="http://schemas.openxmlformats.org/officeDocument/2006/relationships/hyperlink" Target="https://racorshop.de/product/racor-500mam10-turbine-filter-marine/" TargetMode="External"/><Relationship Id="rId46" Type="http://schemas.openxmlformats.org/officeDocument/2006/relationships/hyperlink" Target="https://www.mediawinkel.eu/nl/heavy-duty-waterfilter-32-mm.html" TargetMode="External"/><Relationship Id="rId47" Type="http://schemas.openxmlformats.org/officeDocument/2006/relationships/hyperlink" Target="https://flutech-marine.com/en/jabsco/jabsco-59530-0000b/" TargetMode="External"/><Relationship Id="rId48" Type="http://schemas.openxmlformats.org/officeDocument/2006/relationships/hyperlink" Target="https://www.seashop.com/en/jabsco-59520-0000b-circulation-pump-for-hot-water-8-24v" TargetMode="External"/><Relationship Id="rId49" Type="http://schemas.openxmlformats.org/officeDocument/2006/relationships/hyperlink" Target="https://www.12seemeilen.de/vetus-wassersammler-drehbar-typ-nlp90.html" TargetMode="External"/><Relationship Id="rId50" Type="http://schemas.openxmlformats.org/officeDocument/2006/relationships/hyperlink" Target="https://www.aquanautique.com/fr/eau/pompes/pompe-eau-de-mer/frigomar-pompe-a-entrainement-magnetique-nh-200ps.html" TargetMode="External"/><Relationship Id="rId51" Type="http://schemas.openxmlformats.org/officeDocument/2006/relationships/hyperlink" Target="https://www.shop-marine.com/accouplement-flexible-bullflex/accouplement-flexible-type-bullflex-16-diametre-205mm-arbre-50mm" TargetMode="External"/><Relationship Id="rId52" Type="http://schemas.openxmlformats.org/officeDocument/2006/relationships/hyperlink" Target="https://www.svb24.com/en/pss-shaft-seal-for-50-mm-shaft.html" TargetMode="External"/><Relationship Id="rId53" Type="http://schemas.openxmlformats.org/officeDocument/2006/relationships/hyperlink" Target="https://www.atmbmarine.com/en/moduline-b10-aquadrive/617-stop-b10-cv21-for-shaft-o-35-to-50-mm.html" TargetMode="External"/><Relationship Id="rId54" Type="http://schemas.openxmlformats.org/officeDocument/2006/relationships/hyperlink" Target="https://mecleisure.co.uk/products/flexible-coupling-type-bullflex-32-shaft-a-50-mm-bulfl3250" TargetMode="External"/><Relationship Id="rId55" Type="http://schemas.openxmlformats.org/officeDocument/2006/relationships/hyperlink" Target="https://www.lancingmarine.com/product/vetus/Stern-Gear.aspx" TargetMode="External"/><Relationship Id="rId56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2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3" Type="http://schemas.openxmlformats.org/officeDocument/2006/relationships/hyperlink" Target="https://www.yanmar.com/marine/product/engines/8lv320/" TargetMode="External"/><Relationship Id="rId4" Type="http://schemas.openxmlformats.org/officeDocument/2006/relationships/hyperlink" Target="https://www.yanmar.com/marine/wp-content/uploads/2020/03/DS_8LV320-350-370_A4_2021_1018_HR.pdf?download=1%20%7C%20https://www.yanmar.com/marine/wp-content/uploads/2020/05/Yanmar-Datasheet_6LPA-STP2.pdf?download=1" TargetMode="External"/><Relationship Id="rId5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0"/>
  </cols>
  <sheetData>
    <row r="1" customFormat="false" ht="45" hidden="false" customHeight="true" outlineLevel="0" collapsed="false">
      <c r="A1" s="1" t="s">
        <v>0</v>
      </c>
      <c r="B1" s="1" t="s">
        <v>1</v>
      </c>
    </row>
    <row r="2" customFormat="false" ht="69.75" hidden="false" customHeight="true" outlineLevel="0" collapsed="false">
      <c r="A2" s="2" t="s">
        <v>2</v>
      </c>
      <c r="B2" s="2" t="s">
        <v>3</v>
      </c>
    </row>
    <row r="3" customFormat="false" ht="69.75" hidden="false" customHeight="true" outlineLevel="0" collapsed="false">
      <c r="A3" s="3" t="s">
        <v>4</v>
      </c>
      <c r="B3" s="3" t="s">
        <v>5</v>
      </c>
    </row>
    <row r="4" customFormat="false" ht="69.75" hidden="false" customHeight="true" outlineLevel="0" collapsed="false">
      <c r="A4" s="2" t="s">
        <v>6</v>
      </c>
      <c r="B4" s="2" t="s">
        <v>7</v>
      </c>
    </row>
    <row r="5" customFormat="false" ht="69.75" hidden="false" customHeight="true" outlineLevel="0" collapsed="false">
      <c r="A5" s="3" t="s">
        <v>8</v>
      </c>
      <c r="B5" s="3" t="s">
        <v>9</v>
      </c>
    </row>
    <row r="6" customFormat="false" ht="69.75" hidden="false" customHeight="true" outlineLevel="0" collapsed="false">
      <c r="A6" s="2" t="s">
        <v>10</v>
      </c>
      <c r="B6" s="2" t="s">
        <v>11</v>
      </c>
    </row>
    <row r="7" customFormat="false" ht="69.75" hidden="false" customHeight="true" outlineLevel="0" collapsed="false">
      <c r="A7" s="3" t="s">
        <v>12</v>
      </c>
      <c r="B7" s="3" t="s">
        <v>13</v>
      </c>
    </row>
    <row r="8" customFormat="false" ht="69.75" hidden="false" customHeight="true" outlineLevel="0" collapsed="false">
      <c r="A8" s="2" t="s">
        <v>14</v>
      </c>
      <c r="B8" s="2" t="s">
        <v>15</v>
      </c>
    </row>
    <row r="9" customFormat="false" ht="69.75" hidden="false" customHeight="true" outlineLevel="0" collapsed="false">
      <c r="A9" s="3" t="s">
        <v>16</v>
      </c>
      <c r="B9" s="3" t="s">
        <v>17</v>
      </c>
    </row>
    <row r="10" customFormat="false" ht="69.75" hidden="false" customHeight="true" outlineLevel="0" collapsed="false">
      <c r="A10" s="2" t="s">
        <v>18</v>
      </c>
      <c r="B10" s="2" t="s">
        <v>19</v>
      </c>
    </row>
    <row r="11" customFormat="false" ht="69.75" hidden="false" customHeight="true" outlineLevel="0" collapsed="false">
      <c r="A11" s="3" t="s">
        <v>20</v>
      </c>
      <c r="B11" s="3" t="s">
        <v>21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8" min="4" style="0" width="23"/>
    <col collapsed="false" customWidth="true" hidden="false" outlineLevel="0" max="10" min="9" style="0" width="100"/>
  </cols>
  <sheetData>
    <row r="1" customFormat="false" ht="45" hidden="false" customHeight="tru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</v>
      </c>
      <c r="I1" s="1" t="s">
        <v>29</v>
      </c>
      <c r="J1" s="1" t="s">
        <v>30</v>
      </c>
    </row>
    <row r="2" customFormat="false" ht="69.75" hidden="false" customHeight="true" outlineLevel="0" collapsed="false">
      <c r="A2" s="2" t="s">
        <v>31</v>
      </c>
      <c r="B2" s="2" t="s">
        <v>32</v>
      </c>
      <c r="C2" s="2" t="s">
        <v>33</v>
      </c>
      <c r="D2" s="4" t="n">
        <f aca="false">SUMIFS(02_Состав!I2:I139,02_Состав!A2:A139,A2,02_Состав!S2:S139,"ДА")</f>
        <v>46624.02</v>
      </c>
      <c r="E2" s="4" t="n">
        <f aca="false">SUMIFS(02_Состав!L2:L139,02_Состав!A2:A139,A2,02_Состав!S2:S139,"ДА")</f>
        <v>10723.52</v>
      </c>
      <c r="F2" s="4" t="n">
        <f aca="false">SUMIFS(02_Состав!N2:N139,02_Состав!A2:A139,A2,02_Состав!S2:S139,"ДА")</f>
        <v>57347.54</v>
      </c>
      <c r="G2" s="2" t="n">
        <v>0</v>
      </c>
      <c r="H2" s="2" t="s">
        <v>34</v>
      </c>
      <c r="I2" s="2" t="s">
        <v>35</v>
      </c>
      <c r="J2" s="2" t="s">
        <v>36</v>
      </c>
    </row>
    <row r="3" customFormat="false" ht="69.75" hidden="false" customHeight="true" outlineLevel="0" collapsed="false">
      <c r="A3" s="3" t="s">
        <v>37</v>
      </c>
      <c r="B3" s="3" t="s">
        <v>32</v>
      </c>
      <c r="C3" s="3" t="s">
        <v>33</v>
      </c>
      <c r="D3" s="4" t="n">
        <f aca="false">SUMIFS(02_Состав!I2:I139,02_Состав!A2:A139,A3,02_Состав!S2:S139,"ДА")</f>
        <v>647.02</v>
      </c>
      <c r="E3" s="4" t="n">
        <f aca="false">SUMIFS(02_Состав!L2:L139,02_Состав!A2:A139,A3,02_Состав!S2:S139,"ДА")</f>
        <v>148.81</v>
      </c>
      <c r="F3" s="4" t="n">
        <f aca="false">SUMIFS(02_Состав!N2:N139,02_Состав!A2:A139,A3,02_Состав!S2:S139,"ДА")</f>
        <v>59637.83</v>
      </c>
      <c r="G3" s="3" t="n">
        <v>0</v>
      </c>
      <c r="H3" s="3" t="s">
        <v>34</v>
      </c>
      <c r="I3" s="3" t="s">
        <v>35</v>
      </c>
      <c r="J3" s="3" t="s">
        <v>36</v>
      </c>
    </row>
    <row r="4" customFormat="false" ht="69.75" hidden="false" customHeight="true" outlineLevel="0" collapsed="false">
      <c r="A4" s="2" t="s">
        <v>38</v>
      </c>
      <c r="B4" s="2" t="s">
        <v>32</v>
      </c>
      <c r="C4" s="2" t="s">
        <v>33</v>
      </c>
      <c r="D4" s="4" t="n">
        <f aca="false">SUMIFS(02_Состав!I2:I139,02_Состав!A2:A139,A4,02_Состав!S2:S139,"ДА")</f>
        <v>647.02</v>
      </c>
      <c r="E4" s="4" t="n">
        <f aca="false">SUMIFS(02_Состав!L2:L139,02_Состав!A2:A139,A4,02_Состав!S2:S139,"ДА")</f>
        <v>148.81</v>
      </c>
      <c r="F4" s="4" t="n">
        <f aca="false">SUMIFS(02_Состав!N2:N139,02_Состав!A2:A139,A4,02_Состав!S2:S139,"ДА")</f>
        <v>795.83</v>
      </c>
      <c r="G4" s="2" t="n">
        <v>1</v>
      </c>
      <c r="H4" s="2" t="s">
        <v>34</v>
      </c>
      <c r="I4" s="2" t="s">
        <v>35</v>
      </c>
      <c r="J4" s="2" t="s">
        <v>36</v>
      </c>
    </row>
    <row r="5" customFormat="false" ht="69.75" hidden="false" customHeight="true" outlineLevel="0" collapsed="false">
      <c r="A5" s="3" t="s">
        <v>39</v>
      </c>
      <c r="B5" s="3" t="s">
        <v>40</v>
      </c>
      <c r="C5" s="3" t="s">
        <v>41</v>
      </c>
      <c r="D5" s="4" t="n">
        <f aca="false">SUMIFS(02_Состав!I2:I139,02_Состав!A2:A139,A5,02_Состав!S2:S139,"ДА")</f>
        <v>24893</v>
      </c>
      <c r="E5" s="4" t="n">
        <f aca="false">SUMIFS(02_Состав!L2:L139,02_Состав!A2:A139,A5,02_Состав!S2:S139,"ДА")</f>
        <v>5725.39</v>
      </c>
      <c r="F5" s="4" t="n">
        <f aca="false">SUMIFS(02_Состав!N2:N139,02_Состав!A2:A139,A5,02_Состав!S2:S139,"ДА")</f>
        <v>30618.39</v>
      </c>
      <c r="G5" s="3" t="n">
        <v>0</v>
      </c>
      <c r="H5" s="3" t="s">
        <v>34</v>
      </c>
      <c r="I5" s="3" t="s">
        <v>42</v>
      </c>
      <c r="J5" s="3" t="s">
        <v>43</v>
      </c>
    </row>
    <row r="6" customFormat="false" ht="69.75" hidden="false" customHeight="true" outlineLevel="0" collapsed="false">
      <c r="A6" s="2" t="s">
        <v>44</v>
      </c>
      <c r="B6" s="2" t="s">
        <v>40</v>
      </c>
      <c r="C6" s="2" t="s">
        <v>41</v>
      </c>
      <c r="D6" s="4" t="n">
        <f aca="false">SUMIFS(02_Состав!I2:I139,02_Состав!A2:A139,A6,02_Состав!S2:S139,"ДА")</f>
        <v>34902.44</v>
      </c>
      <c r="E6" s="4" t="n">
        <f aca="false">SUMIFS(02_Состав!L2:L139,02_Состав!A2:A139,A6,02_Состав!S2:S139,"ДА")</f>
        <v>8027.56</v>
      </c>
      <c r="F6" s="4" t="n">
        <f aca="false">SUMIFS(02_Состав!N2:N139,02_Состав!A2:A139,A6,02_Состав!S2:S139,"ДА")</f>
        <v>42930</v>
      </c>
      <c r="G6" s="2" t="n">
        <v>0</v>
      </c>
      <c r="H6" s="2" t="s">
        <v>34</v>
      </c>
      <c r="I6" s="2" t="s">
        <v>42</v>
      </c>
      <c r="J6" s="2" t="s">
        <v>43</v>
      </c>
    </row>
    <row r="7" customFormat="false" ht="69.75" hidden="false" customHeight="true" outlineLevel="0" collapsed="false">
      <c r="A7" s="3" t="s">
        <v>45</v>
      </c>
      <c r="B7" s="3" t="s">
        <v>40</v>
      </c>
      <c r="C7" s="3" t="s">
        <v>41</v>
      </c>
      <c r="D7" s="4" t="n">
        <f aca="false">SUMIFS(02_Состав!I2:I139,02_Состав!A2:A139,A7,02_Состав!S2:S139,"ДА")</f>
        <v>35858.24</v>
      </c>
      <c r="E7" s="4" t="n">
        <f aca="false">SUMIFS(02_Состав!L2:L139,02_Состав!A2:A139,A7,02_Состав!S2:S139,"ДА")</f>
        <v>8247.4</v>
      </c>
      <c r="F7" s="4" t="n">
        <f aca="false">SUMIFS(02_Состав!N2:N139,02_Состав!A2:A139,A7,02_Состав!S2:S139,"ДА")</f>
        <v>44105.64</v>
      </c>
      <c r="G7" s="3" t="n">
        <v>0</v>
      </c>
      <c r="H7" s="3" t="s">
        <v>34</v>
      </c>
      <c r="I7" s="3" t="s">
        <v>42</v>
      </c>
      <c r="J7" s="3" t="s">
        <v>43</v>
      </c>
    </row>
    <row r="8" customFormat="false" ht="69.75" hidden="false" customHeight="true" outlineLevel="0" collapsed="false">
      <c r="A8" s="2" t="s">
        <v>46</v>
      </c>
      <c r="B8" s="2" t="s">
        <v>47</v>
      </c>
      <c r="C8" s="2" t="s">
        <v>48</v>
      </c>
      <c r="D8" s="4" t="n">
        <f aca="false">SUMIFS(02_Состав!I2:I139,02_Состав!A2:A139,A8,02_Состав!S2:S139,"ДА")</f>
        <v>2475.36</v>
      </c>
      <c r="E8" s="4" t="n">
        <f aca="false">SUMIFS(02_Состав!L2:L139,02_Состав!A2:A139,A8,02_Состав!S2:S139,"ДА")</f>
        <v>569.33</v>
      </c>
      <c r="F8" s="4" t="n">
        <f aca="false">SUMIFS(02_Состав!N2:N139,02_Состав!A2:A139,A8,02_Состав!S2:S139,"ДА")</f>
        <v>3319.19</v>
      </c>
      <c r="G8" s="2" t="n">
        <v>2</v>
      </c>
      <c r="H8" s="2" t="s">
        <v>34</v>
      </c>
      <c r="I8" s="2" t="s">
        <v>49</v>
      </c>
      <c r="J8" s="2" t="s">
        <v>50</v>
      </c>
    </row>
    <row r="9" customFormat="false" ht="69.75" hidden="false" customHeight="true" outlineLevel="0" collapsed="false">
      <c r="A9" s="3" t="s">
        <v>51</v>
      </c>
      <c r="B9" s="3" t="s">
        <v>47</v>
      </c>
      <c r="C9" s="3" t="s">
        <v>48</v>
      </c>
      <c r="D9" s="4" t="n">
        <f aca="false">SUMIFS(02_Состав!I2:I139,02_Состав!A2:A139,A9,02_Состав!S2:S139,"ДА")</f>
        <v>3248.47</v>
      </c>
      <c r="E9" s="4" t="n">
        <f aca="false">SUMIFS(02_Состав!L2:L139,02_Состав!A2:A139,A9,02_Состав!S2:S139,"ДА")</f>
        <v>747.14</v>
      </c>
      <c r="F9" s="4" t="n">
        <f aca="false">SUMIFS(02_Состав!N2:N139,02_Состав!A2:A139,A9,02_Состав!S2:S139,"ДА")</f>
        <v>4270.11</v>
      </c>
      <c r="G9" s="3" t="n">
        <v>2</v>
      </c>
      <c r="H9" s="3" t="s">
        <v>34</v>
      </c>
      <c r="I9" s="3" t="s">
        <v>49</v>
      </c>
      <c r="J9" s="3" t="s">
        <v>50</v>
      </c>
    </row>
    <row r="10" customFormat="false" ht="69.75" hidden="false" customHeight="true" outlineLevel="0" collapsed="false">
      <c r="A10" s="2" t="s">
        <v>52</v>
      </c>
      <c r="B10" s="2" t="s">
        <v>47</v>
      </c>
      <c r="C10" s="2" t="s">
        <v>48</v>
      </c>
      <c r="D10" s="4" t="n">
        <f aca="false">SUMIFS(02_Состав!I2:I139,02_Состав!A2:A139,A10,02_Состав!S2:S139,"ДА")</f>
        <v>4256.89</v>
      </c>
      <c r="E10" s="4" t="n">
        <f aca="false">SUMIFS(02_Состав!L2:L139,02_Состав!A2:A139,A10,02_Состав!S2:S139,"ДА")</f>
        <v>979.08</v>
      </c>
      <c r="F10" s="4" t="n">
        <f aca="false">SUMIFS(02_Состав!N2:N139,02_Состав!A2:A139,A10,02_Состав!S2:S139,"ДА")</f>
        <v>5510.47</v>
      </c>
      <c r="G10" s="2" t="n">
        <v>2</v>
      </c>
      <c r="H10" s="2" t="s">
        <v>34</v>
      </c>
      <c r="I10" s="2" t="s">
        <v>49</v>
      </c>
      <c r="J10" s="2" t="s">
        <v>50</v>
      </c>
    </row>
    <row r="11" customFormat="false" ht="69.75" hidden="false" customHeight="true" outlineLevel="0" collapsed="false">
      <c r="A11" s="3" t="s">
        <v>53</v>
      </c>
      <c r="B11" s="3" t="s">
        <v>54</v>
      </c>
      <c r="C11" s="3" t="s">
        <v>55</v>
      </c>
      <c r="D11" s="4" t="n">
        <f aca="false">SUMIFS(02_Состав!I2:I139,02_Состав!A2:A139,A11,02_Состав!S2:S139,"ДА")</f>
        <v>2215.16</v>
      </c>
      <c r="E11" s="4" t="n">
        <f aca="false">SUMIFS(02_Состав!L2:L139,02_Состав!A2:A139,A11,02_Состав!S2:S139,"ДА")</f>
        <v>509.49</v>
      </c>
      <c r="F11" s="4" t="n">
        <f aca="false">SUMIFS(02_Состав!N2:N139,02_Состав!A2:A139,A11,02_Состав!S2:S139,"ДА")</f>
        <v>2724.65</v>
      </c>
      <c r="G11" s="3" t="n">
        <v>0</v>
      </c>
      <c r="H11" s="3" t="s">
        <v>34</v>
      </c>
      <c r="I11" s="3" t="s">
        <v>56</v>
      </c>
      <c r="J11" s="3" t="s">
        <v>57</v>
      </c>
    </row>
    <row r="12" customFormat="false" ht="69.75" hidden="false" customHeight="true" outlineLevel="0" collapsed="false">
      <c r="A12" s="2" t="s">
        <v>58</v>
      </c>
      <c r="B12" s="2" t="s">
        <v>54</v>
      </c>
      <c r="C12" s="2" t="s">
        <v>55</v>
      </c>
      <c r="D12" s="4" t="n">
        <f aca="false">SUMIFS(02_Состав!I2:I139,02_Состав!A2:A139,A12,02_Состав!S2:S139,"ДА")</f>
        <v>2982.14</v>
      </c>
      <c r="E12" s="4" t="n">
        <f aca="false">SUMIFS(02_Состав!L2:L139,02_Состав!A2:A139,A12,02_Состав!S2:S139,"ДА")</f>
        <v>685.9</v>
      </c>
      <c r="F12" s="4" t="n">
        <f aca="false">SUMIFS(02_Состав!N2:N139,02_Состав!A2:A139,A12,02_Состав!S2:S139,"ДА")</f>
        <v>3668.04</v>
      </c>
      <c r="G12" s="2" t="n">
        <v>0</v>
      </c>
      <c r="H12" s="2" t="s">
        <v>34</v>
      </c>
      <c r="I12" s="2" t="s">
        <v>56</v>
      </c>
      <c r="J12" s="2" t="s">
        <v>57</v>
      </c>
    </row>
    <row r="13" customFormat="false" ht="69.75" hidden="false" customHeight="true" outlineLevel="0" collapsed="false">
      <c r="A13" s="3" t="s">
        <v>59</v>
      </c>
      <c r="B13" s="3" t="s">
        <v>54</v>
      </c>
      <c r="C13" s="3" t="s">
        <v>55</v>
      </c>
      <c r="D13" s="4" t="n">
        <f aca="false">SUMIFS(02_Состав!I2:I139,02_Состав!A2:A139,A13,02_Состав!S2:S139,"ДА")</f>
        <v>3009.86</v>
      </c>
      <c r="E13" s="4" t="n">
        <f aca="false">SUMIFS(02_Состав!L2:L139,02_Состав!A2:A139,A13,02_Состав!S2:S139,"ДА")</f>
        <v>692.27</v>
      </c>
      <c r="F13" s="4" t="n">
        <f aca="false">SUMIFS(02_Состав!N2:N139,02_Состав!A2:A139,A13,02_Состав!S2:S139,"ДА")</f>
        <v>3702.13</v>
      </c>
      <c r="G13" s="3" t="n">
        <v>0</v>
      </c>
      <c r="H13" s="3" t="s">
        <v>34</v>
      </c>
      <c r="I13" s="3" t="s">
        <v>56</v>
      </c>
      <c r="J13" s="3" t="s">
        <v>57</v>
      </c>
    </row>
    <row r="14" customFormat="false" ht="69.75" hidden="false" customHeight="true" outlineLevel="0" collapsed="false">
      <c r="A14" s="2" t="s">
        <v>60</v>
      </c>
      <c r="B14" s="2" t="s">
        <v>61</v>
      </c>
      <c r="C14" s="2" t="s">
        <v>62</v>
      </c>
      <c r="D14" s="4" t="n">
        <f aca="false">SUMIFS(02_Состав!I2:I139,02_Состав!A2:A139,A14,02_Состав!S2:S139,"ДА")</f>
        <v>1535.62</v>
      </c>
      <c r="E14" s="4" t="n">
        <f aca="false">SUMIFS(02_Состав!L2:L139,02_Состав!A2:A139,A14,02_Состав!S2:S139,"ДА")</f>
        <v>353.19</v>
      </c>
      <c r="F14" s="4" t="n">
        <f aca="false">SUMIFS(02_Состав!N2:N139,02_Состав!A2:A139,A14,02_Состав!S2:S139,"ДА")</f>
        <v>1888.81</v>
      </c>
      <c r="G14" s="2" t="n">
        <v>1</v>
      </c>
      <c r="H14" s="2" t="s">
        <v>34</v>
      </c>
      <c r="I14" s="2" t="s">
        <v>63</v>
      </c>
      <c r="J14" s="2" t="s">
        <v>64</v>
      </c>
    </row>
    <row r="15" customFormat="false" ht="69.75" hidden="false" customHeight="true" outlineLevel="0" collapsed="false">
      <c r="A15" s="3" t="s">
        <v>65</v>
      </c>
      <c r="B15" s="3" t="s">
        <v>61</v>
      </c>
      <c r="C15" s="3" t="s">
        <v>62</v>
      </c>
      <c r="D15" s="4" t="n">
        <f aca="false">SUMIFS(02_Состав!I2:I139,02_Состав!A2:A139,A15,02_Состав!S2:S139,"ДА")</f>
        <v>2656.45</v>
      </c>
      <c r="E15" s="4" t="n">
        <f aca="false">SUMIFS(02_Состав!L2:L139,02_Состав!A2:A139,A15,02_Состав!S2:S139,"ДА")</f>
        <v>610.99</v>
      </c>
      <c r="F15" s="4" t="n">
        <f aca="false">SUMIFS(02_Состав!N2:N139,02_Состав!A2:A139,A15,02_Состав!S2:S139,"ДА")</f>
        <v>3267.44</v>
      </c>
      <c r="G15" s="3" t="n">
        <v>0</v>
      </c>
      <c r="H15" s="3" t="s">
        <v>34</v>
      </c>
      <c r="I15" s="3" t="s">
        <v>63</v>
      </c>
      <c r="J15" s="3" t="s">
        <v>64</v>
      </c>
    </row>
    <row r="16" customFormat="false" ht="69.75" hidden="false" customHeight="true" outlineLevel="0" collapsed="false">
      <c r="A16" s="2" t="s">
        <v>66</v>
      </c>
      <c r="B16" s="2" t="s">
        <v>61</v>
      </c>
      <c r="C16" s="2" t="s">
        <v>62</v>
      </c>
      <c r="D16" s="4" t="n">
        <f aca="false">SUMIFS(02_Состав!I2:I139,02_Состав!A2:A139,A16,02_Состав!S2:S139,"ДА")</f>
        <v>510.7</v>
      </c>
      <c r="E16" s="4" t="n">
        <f aca="false">SUMIFS(02_Состав!L2:L139,02_Состав!A2:A139,A16,02_Состав!S2:S139,"ДА")</f>
        <v>117.46</v>
      </c>
      <c r="F16" s="4" t="n">
        <f aca="false">SUMIFS(02_Состав!N2:N139,02_Состав!A2:A139,A16,02_Состав!S2:S139,"ДА")</f>
        <v>628.16</v>
      </c>
      <c r="G16" s="2" t="n">
        <v>2</v>
      </c>
      <c r="H16" s="2" t="s">
        <v>34</v>
      </c>
      <c r="I16" s="2" t="s">
        <v>63</v>
      </c>
      <c r="J16" s="2" t="s">
        <v>64</v>
      </c>
    </row>
    <row r="17" customFormat="false" ht="69.75" hidden="false" customHeight="true" outlineLevel="0" collapsed="false">
      <c r="A17" s="3" t="s">
        <v>67</v>
      </c>
      <c r="B17" s="3" t="s">
        <v>68</v>
      </c>
      <c r="C17" s="3" t="s">
        <v>69</v>
      </c>
      <c r="D17" s="4" t="n">
        <f aca="false">SUMIFS(02_Состав!I2:I139,02_Состав!A2:A139,A17,02_Состав!S2:S139,"ДА")</f>
        <v>6335.29</v>
      </c>
      <c r="E17" s="4" t="n">
        <f aca="false">SUMIFS(02_Состав!L2:L139,02_Состав!A2:A139,A17,02_Состав!S2:S139,"ДА")</f>
        <v>1457.12</v>
      </c>
      <c r="F17" s="4" t="n">
        <f aca="false">SUMIFS(02_Состав!N2:N139,02_Состав!A2:A139,A17,02_Состав!S2:S139,"ДА")</f>
        <v>7792.41</v>
      </c>
      <c r="G17" s="3" t="n">
        <v>0</v>
      </c>
      <c r="H17" s="3" t="s">
        <v>34</v>
      </c>
      <c r="I17" s="3" t="s">
        <v>70</v>
      </c>
      <c r="J17" s="3" t="s">
        <v>71</v>
      </c>
    </row>
    <row r="18" customFormat="false" ht="69.75" hidden="false" customHeight="true" outlineLevel="0" collapsed="false">
      <c r="A18" s="2" t="s">
        <v>72</v>
      </c>
      <c r="B18" s="2" t="s">
        <v>68</v>
      </c>
      <c r="C18" s="2" t="s">
        <v>69</v>
      </c>
      <c r="D18" s="4" t="n">
        <f aca="false">SUMIFS(02_Состав!I2:I139,02_Состав!A2:A139,A18,02_Состав!S2:S139,"ДА")</f>
        <v>10683.5</v>
      </c>
      <c r="E18" s="4" t="n">
        <f aca="false">SUMIFS(02_Состав!L2:L139,02_Состав!A2:A139,A18,02_Состав!S2:S139,"ДА")</f>
        <v>2457.21</v>
      </c>
      <c r="F18" s="4" t="n">
        <f aca="false">SUMIFS(02_Состав!N2:N139,02_Состав!A2:A139,A18,02_Состав!S2:S139,"ДА")</f>
        <v>13140.71</v>
      </c>
      <c r="G18" s="2" t="n">
        <v>0</v>
      </c>
      <c r="H18" s="2" t="s">
        <v>34</v>
      </c>
      <c r="I18" s="2" t="s">
        <v>70</v>
      </c>
      <c r="J18" s="2" t="s">
        <v>71</v>
      </c>
    </row>
    <row r="19" customFormat="false" ht="69.75" hidden="false" customHeight="true" outlineLevel="0" collapsed="false">
      <c r="A19" s="3" t="s">
        <v>73</v>
      </c>
      <c r="B19" s="3" t="s">
        <v>68</v>
      </c>
      <c r="C19" s="3" t="s">
        <v>69</v>
      </c>
      <c r="D19" s="4" t="n">
        <f aca="false">SUMIFS(02_Состав!I2:I139,02_Состав!A2:A139,A19,02_Состав!S2:S139,"ДА")</f>
        <v>0</v>
      </c>
      <c r="E19" s="4" t="n">
        <f aca="false">SUMIFS(02_Состав!L2:L139,02_Состав!A2:A139,A19,02_Состав!S2:S139,"ДА")</f>
        <v>0</v>
      </c>
      <c r="F19" s="4" t="n">
        <f aca="false">SUMIFS(02_Состав!N2:N139,02_Состав!A2:A139,A19,02_Состав!S2:S139,"ДА")</f>
        <v>0</v>
      </c>
      <c r="G19" s="3" t="n">
        <v>1</v>
      </c>
      <c r="H19" s="3" t="s">
        <v>34</v>
      </c>
      <c r="I19" s="3" t="s">
        <v>70</v>
      </c>
      <c r="J19" s="3" t="s">
        <v>71</v>
      </c>
    </row>
    <row r="20" customFormat="false" ht="69.75" hidden="false" customHeight="true" outlineLevel="0" collapsed="false">
      <c r="A20" s="2" t="s">
        <v>74</v>
      </c>
      <c r="B20" s="2" t="s">
        <v>75</v>
      </c>
      <c r="C20" s="2" t="s">
        <v>76</v>
      </c>
      <c r="D20" s="4" t="n">
        <f aca="false">SUMIFS(02_Состав!I2:I139,02_Состав!A2:A139,A20,02_Состав!S2:S139,"ДА")</f>
        <v>614.17</v>
      </c>
      <c r="E20" s="4" t="n">
        <f aca="false">SUMIFS(02_Состав!L2:L139,02_Состав!A2:A139,A20,02_Состав!S2:S139,"ДА")</f>
        <v>141.26</v>
      </c>
      <c r="F20" s="4" t="n">
        <f aca="false">SUMIFS(02_Состав!N2:N139,02_Состав!A2:A139,A20,02_Состав!S2:S139,"ДА")</f>
        <v>755.43</v>
      </c>
      <c r="G20" s="2" t="n">
        <v>0</v>
      </c>
      <c r="H20" s="2" t="s">
        <v>34</v>
      </c>
      <c r="I20" s="2" t="s">
        <v>77</v>
      </c>
      <c r="J20" s="2" t="s">
        <v>78</v>
      </c>
    </row>
    <row r="21" customFormat="false" ht="69.75" hidden="false" customHeight="true" outlineLevel="0" collapsed="false">
      <c r="A21" s="3" t="s">
        <v>79</v>
      </c>
      <c r="B21" s="3" t="s">
        <v>75</v>
      </c>
      <c r="C21" s="3" t="s">
        <v>76</v>
      </c>
      <c r="D21" s="4" t="n">
        <f aca="false">SUMIFS(02_Состав!I2:I139,02_Состав!A2:A139,A21,02_Состав!S2:S139,"ДА")</f>
        <v>690.83</v>
      </c>
      <c r="E21" s="4" t="n">
        <f aca="false">SUMIFS(02_Состав!L2:L139,02_Состав!A2:A139,A21,02_Состав!S2:S139,"ДА")</f>
        <v>158.89</v>
      </c>
      <c r="F21" s="4" t="n">
        <f aca="false">SUMIFS(02_Состав!N2:N139,02_Состав!A2:A139,A21,02_Состав!S2:S139,"ДА")</f>
        <v>849.72</v>
      </c>
      <c r="G21" s="3" t="n">
        <v>0</v>
      </c>
      <c r="H21" s="3" t="s">
        <v>34</v>
      </c>
      <c r="I21" s="3" t="s">
        <v>77</v>
      </c>
      <c r="J21" s="3" t="s">
        <v>78</v>
      </c>
    </row>
    <row r="22" customFormat="false" ht="69.75" hidden="false" customHeight="true" outlineLevel="0" collapsed="false">
      <c r="A22" s="2" t="s">
        <v>80</v>
      </c>
      <c r="B22" s="2" t="s">
        <v>75</v>
      </c>
      <c r="C22" s="2" t="s">
        <v>76</v>
      </c>
      <c r="D22" s="4" t="n">
        <f aca="false">SUMIFS(02_Состав!I2:I139,02_Состав!A2:A139,A22,02_Состав!S2:S139,"ДА")</f>
        <v>757.5</v>
      </c>
      <c r="E22" s="4" t="n">
        <f aca="false">SUMIFS(02_Состав!L2:L139,02_Состав!A2:A139,A22,02_Состав!S2:S139,"ДА")</f>
        <v>174.23</v>
      </c>
      <c r="F22" s="4" t="n">
        <f aca="false">SUMIFS(02_Состав!N2:N139,02_Состав!A2:A139,A22,02_Состав!S2:S139,"ДА")</f>
        <v>931.73</v>
      </c>
      <c r="G22" s="2" t="n">
        <v>0</v>
      </c>
      <c r="H22" s="2" t="s">
        <v>34</v>
      </c>
      <c r="I22" s="2" t="s">
        <v>77</v>
      </c>
      <c r="J22" s="2" t="s">
        <v>78</v>
      </c>
    </row>
    <row r="23" customFormat="false" ht="69.75" hidden="false" customHeight="true" outlineLevel="0" collapsed="false">
      <c r="A23" s="3" t="s">
        <v>81</v>
      </c>
      <c r="B23" s="3" t="s">
        <v>82</v>
      </c>
      <c r="C23" s="3" t="s">
        <v>83</v>
      </c>
      <c r="D23" s="4" t="n">
        <f aca="false">SUMIFS(02_Состав!I2:I139,02_Состав!A2:A139,A23,02_Состав!S2:S139,"ДА")</f>
        <v>8568.5</v>
      </c>
      <c r="E23" s="4" t="n">
        <f aca="false">SUMIFS(02_Состав!L2:L139,02_Состав!A2:A139,A23,02_Состав!S2:S139,"ДА")</f>
        <v>1970.76</v>
      </c>
      <c r="F23" s="4" t="n">
        <f aca="false">SUMIFS(02_Состав!N2:N139,02_Состав!A2:A139,A23,02_Состав!S2:S139,"ДА")</f>
        <v>10539.26</v>
      </c>
      <c r="G23" s="3" t="n">
        <v>0</v>
      </c>
      <c r="H23" s="3" t="s">
        <v>34</v>
      </c>
      <c r="I23" s="3" t="s">
        <v>84</v>
      </c>
      <c r="J23" s="3" t="s">
        <v>85</v>
      </c>
    </row>
    <row r="24" customFormat="false" ht="69.75" hidden="false" customHeight="true" outlineLevel="0" collapsed="false">
      <c r="A24" s="2" t="s">
        <v>86</v>
      </c>
      <c r="B24" s="2" t="s">
        <v>82</v>
      </c>
      <c r="C24" s="2" t="s">
        <v>83</v>
      </c>
      <c r="D24" s="4" t="n">
        <f aca="false">SUMIFS(02_Состав!I2:I139,02_Состав!A2:A139,A24,02_Состав!S2:S139,"ДА")</f>
        <v>9637.1</v>
      </c>
      <c r="E24" s="4" t="n">
        <f aca="false">SUMIFS(02_Состав!L2:L139,02_Состав!A2:A139,A24,02_Состав!S2:S139,"ДА")</f>
        <v>2216.54</v>
      </c>
      <c r="F24" s="4" t="n">
        <f aca="false">SUMIFS(02_Состав!N2:N139,02_Состав!A2:A139,A24,02_Состав!S2:S139,"ДА")</f>
        <v>11853.64</v>
      </c>
      <c r="G24" s="2" t="n">
        <v>0</v>
      </c>
      <c r="H24" s="2" t="s">
        <v>34</v>
      </c>
      <c r="I24" s="2" t="s">
        <v>84</v>
      </c>
      <c r="J24" s="2" t="s">
        <v>85</v>
      </c>
    </row>
    <row r="25" customFormat="false" ht="69.75" hidden="false" customHeight="true" outlineLevel="0" collapsed="false">
      <c r="A25" s="3" t="s">
        <v>87</v>
      </c>
      <c r="B25" s="3" t="s">
        <v>82</v>
      </c>
      <c r="C25" s="3" t="s">
        <v>83</v>
      </c>
      <c r="D25" s="4" t="n">
        <f aca="false">SUMIFS(02_Состав!I2:I139,02_Состав!A2:A139,A25,02_Состав!S2:S139,"ДА")</f>
        <v>1326.5</v>
      </c>
      <c r="E25" s="4" t="n">
        <f aca="false">SUMIFS(02_Состав!L2:L139,02_Состав!A2:A139,A25,02_Состав!S2:S139,"ДА")</f>
        <v>305.1</v>
      </c>
      <c r="F25" s="4" t="n">
        <f aca="false">SUMIFS(02_Состав!N2:N139,02_Состав!A2:A139,A25,02_Состав!S2:S139,"ДА")</f>
        <v>1631.6</v>
      </c>
      <c r="G25" s="3" t="n">
        <v>1</v>
      </c>
      <c r="H25" s="3" t="s">
        <v>34</v>
      </c>
      <c r="I25" s="3" t="s">
        <v>84</v>
      </c>
      <c r="J25" s="3" t="s">
        <v>85</v>
      </c>
    </row>
    <row r="26" customFormat="false" ht="69.75" hidden="false" customHeight="true" outlineLevel="0" collapsed="false">
      <c r="A26" s="2" t="s">
        <v>88</v>
      </c>
      <c r="B26" s="2" t="s">
        <v>89</v>
      </c>
      <c r="C26" s="2" t="s">
        <v>90</v>
      </c>
      <c r="D26" s="4" t="n">
        <f aca="false">SUMIFS(02_Состав!I2:I139,02_Состав!A2:A139,A26,02_Состав!S2:S139,"ДА")</f>
        <v>3691.47</v>
      </c>
      <c r="E26" s="4" t="n">
        <f aca="false">SUMIFS(02_Состав!L2:L139,02_Состав!A2:A139,A26,02_Состав!S2:S139,"ДА")</f>
        <v>849.04</v>
      </c>
      <c r="F26" s="4" t="n">
        <f aca="false">SUMIFS(02_Состав!N2:N139,02_Состав!A2:A139,A26,02_Состав!S2:S139,"ДА")</f>
        <v>4540.51</v>
      </c>
      <c r="G26" s="2" t="n">
        <v>1</v>
      </c>
      <c r="H26" s="2" t="s">
        <v>34</v>
      </c>
      <c r="I26" s="2" t="s">
        <v>91</v>
      </c>
      <c r="J26" s="2" t="s">
        <v>92</v>
      </c>
    </row>
    <row r="27" customFormat="false" ht="69.75" hidden="false" customHeight="true" outlineLevel="0" collapsed="false">
      <c r="A27" s="3" t="s">
        <v>93</v>
      </c>
      <c r="B27" s="3" t="s">
        <v>89</v>
      </c>
      <c r="C27" s="3" t="s">
        <v>90</v>
      </c>
      <c r="D27" s="4" t="n">
        <f aca="false">SUMIFS(02_Состав!I2:I139,02_Состав!A2:A139,A27,02_Состав!S2:S139,"ДА")</f>
        <v>3855.93</v>
      </c>
      <c r="E27" s="4" t="n">
        <f aca="false">SUMIFS(02_Состав!L2:L139,02_Состав!A2:A139,A27,02_Состав!S2:S139,"ДА")</f>
        <v>886.87</v>
      </c>
      <c r="F27" s="4" t="n">
        <f aca="false">SUMIFS(02_Состав!N2:N139,02_Состав!A2:A139,A27,02_Состав!S2:S139,"ДА")</f>
        <v>4742.8</v>
      </c>
      <c r="G27" s="3" t="n">
        <v>0</v>
      </c>
      <c r="H27" s="3" t="s">
        <v>34</v>
      </c>
      <c r="I27" s="3" t="s">
        <v>91</v>
      </c>
      <c r="J27" s="3" t="s">
        <v>92</v>
      </c>
    </row>
    <row r="28" customFormat="false" ht="69.75" hidden="false" customHeight="true" outlineLevel="0" collapsed="false">
      <c r="A28" s="2" t="s">
        <v>94</v>
      </c>
      <c r="B28" s="2" t="s">
        <v>89</v>
      </c>
      <c r="C28" s="2" t="s">
        <v>90</v>
      </c>
      <c r="D28" s="4" t="n">
        <f aca="false">SUMIFS(02_Состав!I2:I139,02_Состав!A2:A139,A28,02_Состав!S2:S139,"ДА")</f>
        <v>3855.93</v>
      </c>
      <c r="E28" s="4" t="n">
        <f aca="false">SUMIFS(02_Состав!L2:L139,02_Состав!A2:A139,A28,02_Состав!S2:S139,"ДА")</f>
        <v>886.87</v>
      </c>
      <c r="F28" s="4" t="n">
        <f aca="false">SUMIFS(02_Состав!N2:N139,02_Состав!A2:A139,A28,02_Состав!S2:S139,"ДА")</f>
        <v>4742.8</v>
      </c>
      <c r="G28" s="2" t="n">
        <v>0</v>
      </c>
      <c r="H28" s="2" t="s">
        <v>34</v>
      </c>
      <c r="I28" s="2" t="s">
        <v>91</v>
      </c>
      <c r="J28" s="2" t="s">
        <v>92</v>
      </c>
    </row>
    <row r="29" customFormat="false" ht="69.75" hidden="false" customHeight="true" outlineLevel="0" collapsed="false">
      <c r="A29" s="3" t="s">
        <v>95</v>
      </c>
      <c r="B29" s="3" t="s">
        <v>96</v>
      </c>
      <c r="C29" s="3" t="s">
        <v>97</v>
      </c>
      <c r="D29" s="4" t="n">
        <f aca="false">SUMIFS(02_Состав!I2:I139,02_Состав!A2:A139,A29,02_Состав!S2:S139,"ДА")</f>
        <v>700.63</v>
      </c>
      <c r="E29" s="4" t="n">
        <f aca="false">SUMIFS(02_Состав!L2:L139,02_Состав!A2:A139,A29,02_Состав!S2:S139,"ДА")</f>
        <v>161.15</v>
      </c>
      <c r="F29" s="4" t="n">
        <f aca="false">SUMIFS(02_Состав!N2:N139,02_Состав!A2:A139,A29,02_Состав!S2:S139,"ДА")</f>
        <v>5699.28</v>
      </c>
      <c r="G29" s="3" t="n">
        <v>0</v>
      </c>
      <c r="H29" s="3" t="s">
        <v>34</v>
      </c>
      <c r="I29" s="3" t="s">
        <v>98</v>
      </c>
      <c r="J29" s="3" t="s">
        <v>99</v>
      </c>
    </row>
    <row r="30" customFormat="false" ht="69.75" hidden="false" customHeight="true" outlineLevel="0" collapsed="false">
      <c r="A30" s="2" t="s">
        <v>100</v>
      </c>
      <c r="B30" s="2" t="s">
        <v>96</v>
      </c>
      <c r="C30" s="2" t="s">
        <v>97</v>
      </c>
      <c r="D30" s="4" t="n">
        <f aca="false">SUMIFS(02_Состав!I2:I139,02_Состав!A2:A139,A30,02_Состав!S2:S139,"ДА")</f>
        <v>700.63</v>
      </c>
      <c r="E30" s="4" t="n">
        <f aca="false">SUMIFS(02_Состав!L2:L139,02_Состав!A2:A139,A30,02_Состав!S2:S139,"ДА")</f>
        <v>161.15</v>
      </c>
      <c r="F30" s="4" t="n">
        <f aca="false">SUMIFS(02_Состав!N2:N139,02_Состав!A2:A139,A30,02_Состав!S2:S139,"ДА")</f>
        <v>5699.28</v>
      </c>
      <c r="G30" s="2" t="n">
        <v>0</v>
      </c>
      <c r="H30" s="2" t="s">
        <v>34</v>
      </c>
      <c r="I30" s="2" t="s">
        <v>98</v>
      </c>
      <c r="J30" s="2" t="s">
        <v>99</v>
      </c>
    </row>
    <row r="31" customFormat="false" ht="69.75" hidden="false" customHeight="true" outlineLevel="0" collapsed="false">
      <c r="A31" s="3" t="s">
        <v>101</v>
      </c>
      <c r="B31" s="3" t="s">
        <v>96</v>
      </c>
      <c r="C31" s="3" t="s">
        <v>97</v>
      </c>
      <c r="D31" s="4" t="n">
        <f aca="false">SUMIFS(02_Состав!I2:I139,02_Состав!A2:A139,A31,02_Состав!S2:S139,"ДА")</f>
        <v>700.63</v>
      </c>
      <c r="E31" s="4" t="n">
        <f aca="false">SUMIFS(02_Состав!L2:L139,02_Состав!A2:A139,A31,02_Состав!S2:S139,"ДА")</f>
        <v>161.15</v>
      </c>
      <c r="F31" s="4" t="n">
        <f aca="false">SUMIFS(02_Состав!N2:N139,02_Состав!A2:A139,A31,02_Состав!S2:S139,"ДА")</f>
        <v>5699.28</v>
      </c>
      <c r="G31" s="3" t="n">
        <v>0</v>
      </c>
      <c r="H31" s="3" t="s">
        <v>34</v>
      </c>
      <c r="I31" s="3" t="s">
        <v>98</v>
      </c>
      <c r="J31" s="3" t="s">
        <v>99</v>
      </c>
    </row>
    <row r="32" customFormat="false" ht="69.75" hidden="false" customHeight="true" outlineLevel="0" collapsed="false">
      <c r="A32" s="2" t="s">
        <v>102</v>
      </c>
      <c r="B32" s="2" t="s">
        <v>103</v>
      </c>
      <c r="C32" s="2" t="s">
        <v>104</v>
      </c>
      <c r="D32" s="4" t="n">
        <f aca="false">SUMIFS(02_Состав!I2:I139,02_Состав!A2:A139,A32,02_Состав!S2:S139,"ДА")</f>
        <v>568.94</v>
      </c>
      <c r="E32" s="4" t="n">
        <f aca="false">SUMIFS(02_Состав!L2:L139,02_Состав!A2:A139,A32,02_Состав!S2:S139,"ДА")</f>
        <v>130.86</v>
      </c>
      <c r="F32" s="4" t="n">
        <f aca="false">SUMIFS(02_Состав!N2:N139,02_Состав!A2:A139,A32,02_Состав!S2:S139,"ДА")</f>
        <v>699.8</v>
      </c>
      <c r="G32" s="2" t="n">
        <v>0</v>
      </c>
      <c r="H32" s="2" t="s">
        <v>34</v>
      </c>
      <c r="I32" s="2" t="s">
        <v>105</v>
      </c>
      <c r="J32" s="2" t="s">
        <v>106</v>
      </c>
    </row>
    <row r="33" customFormat="false" ht="69.75" hidden="false" customHeight="true" outlineLevel="0" collapsed="false">
      <c r="A33" s="3" t="s">
        <v>107</v>
      </c>
      <c r="B33" s="3" t="s">
        <v>103</v>
      </c>
      <c r="C33" s="3" t="s">
        <v>104</v>
      </c>
      <c r="D33" s="4" t="n">
        <f aca="false">SUMIFS(02_Состав!I2:I139,02_Состав!A2:A139,A33,02_Состав!S2:S139,"ДА")</f>
        <v>1148.49</v>
      </c>
      <c r="E33" s="4" t="n">
        <f aca="false">SUMIFS(02_Состав!L2:L139,02_Состав!A2:A139,A33,02_Состав!S2:S139,"ДА")</f>
        <v>264.15</v>
      </c>
      <c r="F33" s="4" t="n">
        <f aca="false">SUMIFS(02_Состав!N2:N139,02_Состав!A2:A139,A33,02_Состав!S2:S139,"ДА")</f>
        <v>1412.64</v>
      </c>
      <c r="G33" s="3" t="n">
        <v>0</v>
      </c>
      <c r="H33" s="3" t="s">
        <v>34</v>
      </c>
      <c r="I33" s="3" t="s">
        <v>105</v>
      </c>
      <c r="J33" s="3" t="s">
        <v>106</v>
      </c>
    </row>
    <row r="34" customFormat="false" ht="69.75" hidden="false" customHeight="true" outlineLevel="0" collapsed="false">
      <c r="A34" s="2" t="s">
        <v>108</v>
      </c>
      <c r="B34" s="2" t="s">
        <v>103</v>
      </c>
      <c r="C34" s="2" t="s">
        <v>104</v>
      </c>
      <c r="D34" s="4" t="n">
        <f aca="false">SUMIFS(02_Состав!I2:I139,02_Состав!A2:A139,A34,02_Состав!S2:S139,"ДА")</f>
        <v>1148.49</v>
      </c>
      <c r="E34" s="4" t="n">
        <f aca="false">SUMIFS(02_Состав!L2:L139,02_Состав!A2:A139,A34,02_Состав!S2:S139,"ДА")</f>
        <v>264.15</v>
      </c>
      <c r="F34" s="4" t="n">
        <f aca="false">SUMIFS(02_Состав!N2:N139,02_Состав!A2:A139,A34,02_Состав!S2:S139,"ДА")</f>
        <v>1412.64</v>
      </c>
      <c r="G34" s="2" t="n">
        <v>0</v>
      </c>
      <c r="H34" s="2" t="s">
        <v>34</v>
      </c>
      <c r="I34" s="2" t="s">
        <v>105</v>
      </c>
      <c r="J34" s="2" t="s">
        <v>106</v>
      </c>
    </row>
    <row r="35" customFormat="false" ht="69.75" hidden="false" customHeight="true" outlineLevel="0" collapsed="false">
      <c r="A35" s="3" t="s">
        <v>109</v>
      </c>
      <c r="B35" s="3" t="s">
        <v>110</v>
      </c>
      <c r="C35" s="3" t="s">
        <v>111</v>
      </c>
      <c r="D35" s="4" t="n">
        <f aca="false">SUMIFS(02_Состав!I2:I139,02_Состав!A2:A139,A35,02_Состав!S2:S139,"ДА")</f>
        <v>7432.51</v>
      </c>
      <c r="E35" s="4" t="n">
        <f aca="false">SUMIFS(02_Состав!L2:L139,02_Состав!A2:A139,A35,02_Состав!S2:S139,"ДА")</f>
        <v>1709.47</v>
      </c>
      <c r="F35" s="4" t="n">
        <f aca="false">SUMIFS(02_Состав!N2:N139,02_Состав!A2:A139,A35,02_Состав!S2:S139,"ДА")</f>
        <v>9141.98</v>
      </c>
      <c r="G35" s="3" t="n">
        <v>3</v>
      </c>
      <c r="H35" s="3" t="s">
        <v>34</v>
      </c>
      <c r="I35" s="3" t="s">
        <v>112</v>
      </c>
      <c r="J35" s="3" t="s">
        <v>113</v>
      </c>
    </row>
    <row r="36" customFormat="false" ht="69.75" hidden="false" customHeight="true" outlineLevel="0" collapsed="false">
      <c r="A36" s="2" t="s">
        <v>114</v>
      </c>
      <c r="B36" s="2" t="s">
        <v>110</v>
      </c>
      <c r="C36" s="2" t="s">
        <v>111</v>
      </c>
      <c r="D36" s="4" t="n">
        <f aca="false">SUMIFS(02_Состав!I2:I139,02_Состав!A2:A139,A36,02_Состав!S2:S139,"ДА")</f>
        <v>7432.51</v>
      </c>
      <c r="E36" s="4" t="n">
        <f aca="false">SUMIFS(02_Состав!L2:L139,02_Состав!A2:A139,A36,02_Состав!S2:S139,"ДА")</f>
        <v>1709.47</v>
      </c>
      <c r="F36" s="4" t="n">
        <f aca="false">SUMIFS(02_Состав!N2:N139,02_Состав!A2:A139,A36,02_Состав!S2:S139,"ДА")</f>
        <v>9141.98</v>
      </c>
      <c r="G36" s="2" t="n">
        <v>3</v>
      </c>
      <c r="H36" s="2" t="s">
        <v>34</v>
      </c>
      <c r="I36" s="2" t="s">
        <v>112</v>
      </c>
      <c r="J36" s="2" t="s">
        <v>113</v>
      </c>
    </row>
    <row r="37" customFormat="false" ht="69.75" hidden="false" customHeight="true" outlineLevel="0" collapsed="false">
      <c r="A37" s="3" t="s">
        <v>115</v>
      </c>
      <c r="B37" s="3" t="s">
        <v>110</v>
      </c>
      <c r="C37" s="3" t="s">
        <v>111</v>
      </c>
      <c r="D37" s="4" t="n">
        <f aca="false">SUMIFS(02_Состав!I2:I139,02_Состав!A2:A139,A37,02_Состав!S2:S139,"ДА")</f>
        <v>7432.51</v>
      </c>
      <c r="E37" s="4" t="n">
        <f aca="false">SUMIFS(02_Состав!L2:L139,02_Состав!A2:A139,A37,02_Состав!S2:S139,"ДА")</f>
        <v>1709.47</v>
      </c>
      <c r="F37" s="4" t="n">
        <f aca="false">SUMIFS(02_Состав!N2:N139,02_Состав!A2:A139,A37,02_Состав!S2:S139,"ДА")</f>
        <v>9141.98</v>
      </c>
      <c r="G37" s="3" t="n">
        <v>3</v>
      </c>
      <c r="H37" s="3" t="s">
        <v>34</v>
      </c>
      <c r="I37" s="3" t="s">
        <v>112</v>
      </c>
      <c r="J37" s="3" t="s">
        <v>113</v>
      </c>
    </row>
    <row r="38" customFormat="false" ht="15" hidden="false" customHeight="false" outlineLevel="0" collapsed="false">
      <c r="A38" s="0" t="s">
        <v>116</v>
      </c>
      <c r="B38" s="0" t="s">
        <v>117</v>
      </c>
      <c r="D38" s="5" t="n">
        <f aca="false">SUMIF(A2:A37,"*-A",D2:D37)</f>
        <v>105654.67</v>
      </c>
      <c r="E38" s="5" t="n">
        <f aca="false">SUMIF(A2:A37,"*-A",E2:E37)</f>
        <v>24300.58</v>
      </c>
      <c r="F38" s="5" t="n">
        <f aca="false">SUMIF(A2:A37,"*-A",F2:F37)</f>
        <v>135067.25</v>
      </c>
    </row>
    <row r="39" customFormat="false" ht="15" hidden="false" customHeight="false" outlineLevel="0" collapsed="false">
      <c r="A39" s="0" t="s">
        <v>118</v>
      </c>
      <c r="B39" s="0" t="s">
        <v>117</v>
      </c>
      <c r="D39" s="5" t="n">
        <f aca="false">SUMIF(A2:A37,"*-B",D2:D37)</f>
        <v>78585.51</v>
      </c>
      <c r="E39" s="5" t="n">
        <f aca="false">SUMIF(A2:A37,"*-B",E2:E37)</f>
        <v>18074.68</v>
      </c>
      <c r="F39" s="5" t="n">
        <f aca="false">SUMIF(A2:A37,"*-B",F2:F37)</f>
        <v>160614.19</v>
      </c>
    </row>
    <row r="40" customFormat="false" ht="15" hidden="false" customHeight="false" outlineLevel="0" collapsed="false">
      <c r="A40" s="0" t="s">
        <v>119</v>
      </c>
      <c r="B40" s="0" t="s">
        <v>117</v>
      </c>
      <c r="D40" s="5" t="n">
        <f aca="false">SUMIF(A2:A37,"*-C",D2:D37)</f>
        <v>59504.27</v>
      </c>
      <c r="E40" s="5" t="n">
        <f aca="false">SUMIF(A2:A37,"*-C",E2:E37)</f>
        <v>13685.99</v>
      </c>
      <c r="F40" s="5" t="n">
        <f aca="false">SUMIF(A2:A37,"*-C",F2:F37)</f>
        <v>78302.26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3"/>
    <col collapsed="false" customWidth="true" hidden="false" outlineLevel="0" max="4" min="4" style="0" width="65"/>
    <col collapsed="false" customWidth="true" hidden="false" outlineLevel="0" max="14" min="5" style="0" width="23"/>
    <col collapsed="false" customWidth="true" hidden="false" outlineLevel="0" max="15" min="15" style="0" width="85"/>
    <col collapsed="false" customWidth="true" hidden="false" outlineLevel="0" max="16" min="16" style="0" width="105"/>
    <col collapsed="false" customWidth="true" hidden="false" outlineLevel="0" max="17" min="17" style="0" width="23"/>
    <col collapsed="false" customWidth="true" hidden="false" outlineLevel="0" max="18" min="18" style="0" width="55"/>
    <col collapsed="false" customWidth="true" hidden="false" outlineLevel="0" max="19" min="19" style="0" width="23"/>
  </cols>
  <sheetData>
    <row r="1" customFormat="false" ht="45" hidden="false" customHeight="true" outlineLevel="0" collapsed="false">
      <c r="A1" s="1" t="s">
        <v>22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</row>
    <row r="2" customFormat="false" ht="69.75" hidden="false" customHeight="true" outlineLevel="0" collapsed="false">
      <c r="A2" s="2" t="s">
        <v>31</v>
      </c>
      <c r="B2" s="2" t="s">
        <v>138</v>
      </c>
      <c r="C2" s="2" t="s">
        <v>139</v>
      </c>
      <c r="D2" s="2" t="s">
        <v>140</v>
      </c>
      <c r="E2" s="2" t="n">
        <v>1</v>
      </c>
      <c r="F2" s="2" t="s">
        <v>141</v>
      </c>
      <c r="G2" s="2" t="s">
        <v>142</v>
      </c>
      <c r="H2" s="2" t="n">
        <v>45977</v>
      </c>
      <c r="I2" s="4" t="n">
        <f aca="false">IF(AND(ISNUMBER(E2),ISNUMBER(H2)),ROUND(E2*H2,2),"")</f>
        <v>45977</v>
      </c>
      <c r="J2" s="2" t="s">
        <v>143</v>
      </c>
      <c r="K2" s="2" t="n">
        <v>23</v>
      </c>
      <c r="L2" s="4" t="n">
        <f aca="false">IF(AND(J2="PL23_ESTIMATE",ISNUMBER(I2)),ROUND(I2*K2/100,2),"")</f>
        <v>10574.71</v>
      </c>
      <c r="M2" s="2"/>
      <c r="N2" s="4" t="n">
        <f aca="false">IF(J2="SOURCE_GROSS",IF(AND(ISNUMBER(E2),ISNUMBER(M2)),ROUND(E2*M2,2),""),IF(ISNUMBER(I2),ROUND(I2+L2,2),""))</f>
        <v>56551.71</v>
      </c>
      <c r="O2" s="2" t="s">
        <v>144</v>
      </c>
      <c r="P2" s="2" t="s">
        <v>145</v>
      </c>
      <c r="Q2" s="2" t="s">
        <v>146</v>
      </c>
      <c r="R2" s="6" t="s">
        <v>147</v>
      </c>
      <c r="S2" s="2" t="s">
        <v>148</v>
      </c>
    </row>
    <row r="3" customFormat="false" ht="69.75" hidden="false" customHeight="true" outlineLevel="0" collapsed="false">
      <c r="A3" s="3" t="s">
        <v>37</v>
      </c>
      <c r="B3" s="3" t="s">
        <v>149</v>
      </c>
      <c r="C3" s="3" t="s">
        <v>150</v>
      </c>
      <c r="D3" s="3" t="s">
        <v>151</v>
      </c>
      <c r="E3" s="3" t="n">
        <v>1</v>
      </c>
      <c r="F3" s="3" t="s">
        <v>141</v>
      </c>
      <c r="G3" s="3" t="s">
        <v>152</v>
      </c>
      <c r="H3" s="3"/>
      <c r="I3" s="4" t="str">
        <f aca="false">IF(AND(ISNUMBER(E3),ISNUMBER(H3)),ROUND(E3*H3,2),"")</f>
        <v/>
      </c>
      <c r="J3" s="3" t="s">
        <v>153</v>
      </c>
      <c r="K3" s="3"/>
      <c r="L3" s="4" t="str">
        <f aca="false">IF(AND(J3="PL23_ESTIMATE",ISNUMBER(I3)),ROUND(I3*K3/100,2),"")</f>
        <v/>
      </c>
      <c r="M3" s="3" t="n">
        <v>58842</v>
      </c>
      <c r="N3" s="4" t="n">
        <f aca="false">IF(J3="SOURCE_GROSS",IF(AND(ISNUMBER(E3),ISNUMBER(M3)),ROUND(E3*M3,2),""),IF(ISNUMBER(I3),ROUND(I3+L3,2),""))</f>
        <v>58842</v>
      </c>
      <c r="O3" s="3" t="s">
        <v>144</v>
      </c>
      <c r="P3" s="3" t="s">
        <v>154</v>
      </c>
      <c r="Q3" s="3" t="s">
        <v>146</v>
      </c>
      <c r="R3" s="7" t="s">
        <v>155</v>
      </c>
      <c r="S3" s="3" t="s">
        <v>148</v>
      </c>
    </row>
    <row r="4" customFormat="false" ht="69.75" hidden="false" customHeight="true" outlineLevel="0" collapsed="false">
      <c r="A4" s="2" t="s">
        <v>38</v>
      </c>
      <c r="B4" s="2" t="s">
        <v>156</v>
      </c>
      <c r="C4" s="2" t="s">
        <v>139</v>
      </c>
      <c r="D4" s="2" t="s">
        <v>157</v>
      </c>
      <c r="E4" s="2" t="n">
        <v>1</v>
      </c>
      <c r="F4" s="2" t="s">
        <v>141</v>
      </c>
      <c r="G4" s="2" t="s">
        <v>158</v>
      </c>
      <c r="H4" s="2"/>
      <c r="I4" s="4" t="str">
        <f aca="false">IF(AND(ISNUMBER(E4),ISNUMBER(H4)),ROUND(E4*H4,2),"")</f>
        <v/>
      </c>
      <c r="J4" s="2" t="s">
        <v>143</v>
      </c>
      <c r="K4" s="2" t="n">
        <v>23</v>
      </c>
      <c r="L4" s="4" t="str">
        <f aca="false">IF(AND(J4="PL23_ESTIMATE",ISNUMBER(I4)),ROUND(I4*K4/100,2),"")</f>
        <v/>
      </c>
      <c r="M4" s="2"/>
      <c r="N4" s="4" t="str">
        <f aca="false">IF(J4="SOURCE_GROSS",IF(AND(ISNUMBER(E4),ISNUMBER(M4)),ROUND(E4*M4,2),""),IF(ISNUMBER(I4),ROUND(I4+L4,2),""))</f>
        <v/>
      </c>
      <c r="O4" s="2" t="s">
        <v>144</v>
      </c>
      <c r="P4" s="2" t="s">
        <v>159</v>
      </c>
      <c r="Q4" s="2" t="s">
        <v>146</v>
      </c>
      <c r="R4" s="6" t="s">
        <v>160</v>
      </c>
      <c r="S4" s="2" t="s">
        <v>148</v>
      </c>
    </row>
    <row r="5" customFormat="false" ht="69.75" hidden="false" customHeight="true" outlineLevel="0" collapsed="false">
      <c r="A5" s="3" t="s">
        <v>39</v>
      </c>
      <c r="B5" s="3" t="s">
        <v>161</v>
      </c>
      <c r="C5" s="3" t="s">
        <v>162</v>
      </c>
      <c r="D5" s="3" t="s">
        <v>163</v>
      </c>
      <c r="E5" s="3" t="n">
        <v>2</v>
      </c>
      <c r="F5" s="3" t="s">
        <v>141</v>
      </c>
      <c r="G5" s="3" t="s">
        <v>164</v>
      </c>
      <c r="H5" s="3" t="n">
        <v>12446.5</v>
      </c>
      <c r="I5" s="4" t="n">
        <f aca="false">IF(AND(ISNUMBER(E5),ISNUMBER(H5)),ROUND(E5*H5,2),"")</f>
        <v>24893</v>
      </c>
      <c r="J5" s="3" t="s">
        <v>143</v>
      </c>
      <c r="K5" s="3" t="n">
        <v>23</v>
      </c>
      <c r="L5" s="4" t="n">
        <f aca="false">IF(AND(J5="PL23_ESTIMATE",ISNUMBER(I5)),ROUND(I5*K5/100,2),"")</f>
        <v>5725.39</v>
      </c>
      <c r="M5" s="3"/>
      <c r="N5" s="4" t="n">
        <f aca="false">IF(J5="SOURCE_GROSS",IF(AND(ISNUMBER(E5),ISNUMBER(M5)),ROUND(E5*M5,2),""),IF(ISNUMBER(I5),ROUND(I5+L5,2),""))</f>
        <v>30618.39</v>
      </c>
      <c r="O5" s="3" t="s">
        <v>144</v>
      </c>
      <c r="P5" s="3" t="s">
        <v>165</v>
      </c>
      <c r="Q5" s="3" t="s">
        <v>146</v>
      </c>
      <c r="R5" s="7" t="s">
        <v>166</v>
      </c>
      <c r="S5" s="3" t="s">
        <v>148</v>
      </c>
    </row>
    <row r="6" customFormat="false" ht="69.75" hidden="false" customHeight="true" outlineLevel="0" collapsed="false">
      <c r="A6" s="2" t="s">
        <v>44</v>
      </c>
      <c r="B6" s="2" t="s">
        <v>167</v>
      </c>
      <c r="C6" s="2" t="s">
        <v>162</v>
      </c>
      <c r="D6" s="2" t="s">
        <v>168</v>
      </c>
      <c r="E6" s="2" t="n">
        <v>2</v>
      </c>
      <c r="F6" s="2" t="s">
        <v>141</v>
      </c>
      <c r="G6" s="2" t="s">
        <v>169</v>
      </c>
      <c r="H6" s="2" t="n">
        <v>17451.22</v>
      </c>
      <c r="I6" s="4" t="n">
        <f aca="false">IF(AND(ISNUMBER(E6),ISNUMBER(H6)),ROUND(E6*H6,2),"")</f>
        <v>34902.44</v>
      </c>
      <c r="J6" s="2" t="s">
        <v>143</v>
      </c>
      <c r="K6" s="2" t="n">
        <v>23</v>
      </c>
      <c r="L6" s="4" t="n">
        <f aca="false">IF(AND(J6="PL23_ESTIMATE",ISNUMBER(I6)),ROUND(I6*K6/100,2),"")</f>
        <v>8027.56</v>
      </c>
      <c r="M6" s="2"/>
      <c r="N6" s="4" t="n">
        <f aca="false">IF(J6="SOURCE_GROSS",IF(AND(ISNUMBER(E6),ISNUMBER(M6)),ROUND(E6*M6,2),""),IF(ISNUMBER(I6),ROUND(I6+L6,2),""))</f>
        <v>42930</v>
      </c>
      <c r="O6" s="2" t="s">
        <v>144</v>
      </c>
      <c r="P6" s="2" t="s">
        <v>170</v>
      </c>
      <c r="Q6" s="2" t="s">
        <v>146</v>
      </c>
      <c r="R6" s="6" t="s">
        <v>171</v>
      </c>
      <c r="S6" s="2" t="s">
        <v>148</v>
      </c>
    </row>
    <row r="7" customFormat="false" ht="69.75" hidden="false" customHeight="true" outlineLevel="0" collapsed="false">
      <c r="A7" s="3" t="s">
        <v>45</v>
      </c>
      <c r="B7" s="3" t="s">
        <v>172</v>
      </c>
      <c r="C7" s="3" t="s">
        <v>162</v>
      </c>
      <c r="D7" s="3" t="s">
        <v>173</v>
      </c>
      <c r="E7" s="3" t="n">
        <v>2</v>
      </c>
      <c r="F7" s="3" t="s">
        <v>141</v>
      </c>
      <c r="G7" s="3" t="s">
        <v>174</v>
      </c>
      <c r="H7" s="3" t="n">
        <v>17929.12</v>
      </c>
      <c r="I7" s="4" t="n">
        <f aca="false">IF(AND(ISNUMBER(E7),ISNUMBER(H7)),ROUND(E7*H7,2),"")</f>
        <v>35858.24</v>
      </c>
      <c r="J7" s="3" t="s">
        <v>143</v>
      </c>
      <c r="K7" s="3" t="n">
        <v>23</v>
      </c>
      <c r="L7" s="4" t="n">
        <f aca="false">IF(AND(J7="PL23_ESTIMATE",ISNUMBER(I7)),ROUND(I7*K7/100,2),"")</f>
        <v>8247.4</v>
      </c>
      <c r="M7" s="3"/>
      <c r="N7" s="4" t="n">
        <f aca="false">IF(J7="SOURCE_GROSS",IF(AND(ISNUMBER(E7),ISNUMBER(M7)),ROUND(E7*M7,2),""),IF(ISNUMBER(I7),ROUND(I7+L7,2),""))</f>
        <v>44105.64</v>
      </c>
      <c r="O7" s="3" t="s">
        <v>144</v>
      </c>
      <c r="P7" s="3" t="s">
        <v>175</v>
      </c>
      <c r="Q7" s="3" t="s">
        <v>146</v>
      </c>
      <c r="R7" s="7" t="s">
        <v>176</v>
      </c>
      <c r="S7" s="3" t="s">
        <v>148</v>
      </c>
    </row>
    <row r="8" customFormat="false" ht="69.75" hidden="false" customHeight="true" outlineLevel="0" collapsed="false">
      <c r="A8" s="2" t="s">
        <v>46</v>
      </c>
      <c r="B8" s="2" t="s">
        <v>177</v>
      </c>
      <c r="C8" s="2" t="s">
        <v>178</v>
      </c>
      <c r="D8" s="2" t="s">
        <v>179</v>
      </c>
      <c r="E8" s="2" t="n">
        <v>2</v>
      </c>
      <c r="F8" s="2" t="s">
        <v>180</v>
      </c>
      <c r="G8" s="2" t="s">
        <v>181</v>
      </c>
      <c r="H8" s="2" t="n">
        <v>739.45</v>
      </c>
      <c r="I8" s="4" t="n">
        <f aca="false">IF(AND(ISNUMBER(E8),ISNUMBER(H8)),ROUND(E8*H8,2),"")</f>
        <v>1478.9</v>
      </c>
      <c r="J8" s="2" t="s">
        <v>143</v>
      </c>
      <c r="K8" s="2" t="n">
        <v>23</v>
      </c>
      <c r="L8" s="4" t="n">
        <f aca="false">IF(AND(J8="PL23_ESTIMATE",ISNUMBER(I8)),ROUND(I8*K8/100,2),"")</f>
        <v>340.15</v>
      </c>
      <c r="M8" s="2"/>
      <c r="N8" s="4" t="n">
        <f aca="false">IF(J8="SOURCE_GROSS",IF(AND(ISNUMBER(E8),ISNUMBER(M8)),ROUND(E8*M8,2),""),IF(ISNUMBER(I8),ROUND(I8+L8,2),""))</f>
        <v>1819.05</v>
      </c>
      <c r="O8" s="2" t="s">
        <v>144</v>
      </c>
      <c r="P8" s="2" t="s">
        <v>182</v>
      </c>
      <c r="Q8" s="2" t="s">
        <v>146</v>
      </c>
      <c r="R8" s="6" t="s">
        <v>183</v>
      </c>
      <c r="S8" s="2" t="s">
        <v>148</v>
      </c>
    </row>
    <row r="9" customFormat="false" ht="69.75" hidden="false" customHeight="true" outlineLevel="0" collapsed="false">
      <c r="A9" s="3" t="s">
        <v>46</v>
      </c>
      <c r="B9" s="3" t="s">
        <v>184</v>
      </c>
      <c r="C9" s="3" t="s">
        <v>185</v>
      </c>
      <c r="D9" s="3" t="s">
        <v>186</v>
      </c>
      <c r="E9" s="3" t="n">
        <v>1</v>
      </c>
      <c r="F9" s="3" t="s">
        <v>180</v>
      </c>
      <c r="G9" s="3" t="s">
        <v>187</v>
      </c>
      <c r="H9" s="3" t="n">
        <v>436.93</v>
      </c>
      <c r="I9" s="4" t="n">
        <f aca="false">IF(AND(ISNUMBER(E9),ISNUMBER(H9)),ROUND(E9*H9,2),"")</f>
        <v>436.93</v>
      </c>
      <c r="J9" s="3" t="s">
        <v>143</v>
      </c>
      <c r="K9" s="3" t="n">
        <v>23</v>
      </c>
      <c r="L9" s="4" t="n">
        <f aca="false">IF(AND(J9="PL23_ESTIMATE",ISNUMBER(I9)),ROUND(I9*K9/100,2),"")</f>
        <v>100.49</v>
      </c>
      <c r="M9" s="3"/>
      <c r="N9" s="4" t="n">
        <f aca="false">IF(J9="SOURCE_GROSS",IF(AND(ISNUMBER(E9),ISNUMBER(M9)),ROUND(E9*M9,2),""),IF(ISNUMBER(I9),ROUND(I9+L9,2),""))</f>
        <v>537.42</v>
      </c>
      <c r="O9" s="3" t="s">
        <v>188</v>
      </c>
      <c r="P9" s="3" t="s">
        <v>189</v>
      </c>
      <c r="Q9" s="3" t="s">
        <v>146</v>
      </c>
      <c r="R9" s="7" t="s">
        <v>190</v>
      </c>
      <c r="S9" s="3" t="s">
        <v>148</v>
      </c>
    </row>
    <row r="10" customFormat="false" ht="69.75" hidden="false" customHeight="true" outlineLevel="0" collapsed="false">
      <c r="A10" s="2" t="s">
        <v>51</v>
      </c>
      <c r="B10" s="2" t="s">
        <v>191</v>
      </c>
      <c r="C10" s="2" t="s">
        <v>178</v>
      </c>
      <c r="D10" s="2" t="s">
        <v>192</v>
      </c>
      <c r="E10" s="2" t="n">
        <v>2</v>
      </c>
      <c r="F10" s="2" t="s">
        <v>180</v>
      </c>
      <c r="G10" s="2" t="s">
        <v>193</v>
      </c>
      <c r="H10" s="2" t="n">
        <v>840.29</v>
      </c>
      <c r="I10" s="4" t="n">
        <f aca="false">IF(AND(ISNUMBER(E10),ISNUMBER(H10)),ROUND(E10*H10,2),"")</f>
        <v>1680.58</v>
      </c>
      <c r="J10" s="2" t="s">
        <v>143</v>
      </c>
      <c r="K10" s="2" t="n">
        <v>23</v>
      </c>
      <c r="L10" s="4" t="n">
        <f aca="false">IF(AND(J10="PL23_ESTIMATE",ISNUMBER(I10)),ROUND(I10*K10/100,2),"")</f>
        <v>386.53</v>
      </c>
      <c r="M10" s="2"/>
      <c r="N10" s="4" t="n">
        <f aca="false">IF(J10="SOURCE_GROSS",IF(AND(ISNUMBER(E10),ISNUMBER(M10)),ROUND(E10*M10,2),""),IF(ISNUMBER(I10),ROUND(I10+L10,2),""))</f>
        <v>2067.11</v>
      </c>
      <c r="O10" s="2" t="s">
        <v>144</v>
      </c>
      <c r="P10" s="2" t="s">
        <v>194</v>
      </c>
      <c r="Q10" s="2" t="s">
        <v>146</v>
      </c>
      <c r="R10" s="6" t="s">
        <v>195</v>
      </c>
      <c r="S10" s="2" t="s">
        <v>148</v>
      </c>
    </row>
    <row r="11" customFormat="false" ht="69.75" hidden="false" customHeight="true" outlineLevel="0" collapsed="false">
      <c r="A11" s="3" t="s">
        <v>51</v>
      </c>
      <c r="B11" s="3" t="s">
        <v>196</v>
      </c>
      <c r="C11" s="3" t="s">
        <v>185</v>
      </c>
      <c r="D11" s="3" t="s">
        <v>197</v>
      </c>
      <c r="E11" s="3" t="n">
        <v>1</v>
      </c>
      <c r="F11" s="3" t="s">
        <v>180</v>
      </c>
      <c r="G11" s="3" t="s">
        <v>198</v>
      </c>
      <c r="H11" s="3" t="n">
        <v>1008.36</v>
      </c>
      <c r="I11" s="4" t="n">
        <f aca="false">IF(AND(ISNUMBER(E11),ISNUMBER(H11)),ROUND(E11*H11,2),"")</f>
        <v>1008.36</v>
      </c>
      <c r="J11" s="3" t="s">
        <v>143</v>
      </c>
      <c r="K11" s="3" t="n">
        <v>23</v>
      </c>
      <c r="L11" s="4" t="n">
        <f aca="false">IF(AND(J11="PL23_ESTIMATE",ISNUMBER(I11)),ROUND(I11*K11/100,2),"")</f>
        <v>231.92</v>
      </c>
      <c r="M11" s="3"/>
      <c r="N11" s="4" t="n">
        <f aca="false">IF(J11="SOURCE_GROSS",IF(AND(ISNUMBER(E11),ISNUMBER(M11)),ROUND(E11*M11,2),""),IF(ISNUMBER(I11),ROUND(I11+L11,2),""))</f>
        <v>1240.28</v>
      </c>
      <c r="O11" s="3" t="s">
        <v>188</v>
      </c>
      <c r="P11" s="3" t="s">
        <v>199</v>
      </c>
      <c r="Q11" s="3" t="s">
        <v>146</v>
      </c>
      <c r="R11" s="7" t="s">
        <v>200</v>
      </c>
      <c r="S11" s="3" t="s">
        <v>148</v>
      </c>
    </row>
    <row r="12" customFormat="false" ht="69.75" hidden="false" customHeight="true" outlineLevel="0" collapsed="false">
      <c r="A12" s="2" t="s">
        <v>52</v>
      </c>
      <c r="B12" s="2" t="s">
        <v>201</v>
      </c>
      <c r="C12" s="2" t="s">
        <v>178</v>
      </c>
      <c r="D12" s="2" t="s">
        <v>202</v>
      </c>
      <c r="E12" s="2" t="n">
        <v>2</v>
      </c>
      <c r="F12" s="2" t="s">
        <v>180</v>
      </c>
      <c r="G12" s="2" t="s">
        <v>203</v>
      </c>
      <c r="H12" s="2" t="n">
        <v>1344.5</v>
      </c>
      <c r="I12" s="4" t="n">
        <f aca="false">IF(AND(ISNUMBER(E12),ISNUMBER(H12)),ROUND(E12*H12,2),"")</f>
        <v>2689</v>
      </c>
      <c r="J12" s="2" t="s">
        <v>143</v>
      </c>
      <c r="K12" s="2" t="n">
        <v>23</v>
      </c>
      <c r="L12" s="4" t="n">
        <f aca="false">IF(AND(J12="PL23_ESTIMATE",ISNUMBER(I12)),ROUND(I12*K12/100,2),"")</f>
        <v>618.47</v>
      </c>
      <c r="M12" s="2"/>
      <c r="N12" s="4" t="n">
        <f aca="false">IF(J12="SOURCE_GROSS",IF(AND(ISNUMBER(E12),ISNUMBER(M12)),ROUND(E12*M12,2),""),IF(ISNUMBER(I12),ROUND(I12+L12,2),""))</f>
        <v>3307.47</v>
      </c>
      <c r="O12" s="2" t="s">
        <v>144</v>
      </c>
      <c r="P12" s="2" t="s">
        <v>204</v>
      </c>
      <c r="Q12" s="2" t="s">
        <v>146</v>
      </c>
      <c r="R12" s="6" t="s">
        <v>205</v>
      </c>
      <c r="S12" s="2" t="s">
        <v>148</v>
      </c>
    </row>
    <row r="13" customFormat="false" ht="69.75" hidden="false" customHeight="true" outlineLevel="0" collapsed="false">
      <c r="A13" s="3" t="s">
        <v>52</v>
      </c>
      <c r="B13" s="3" t="s">
        <v>206</v>
      </c>
      <c r="C13" s="3" t="s">
        <v>185</v>
      </c>
      <c r="D13" s="3" t="s">
        <v>197</v>
      </c>
      <c r="E13" s="3" t="n">
        <v>1</v>
      </c>
      <c r="F13" s="3" t="s">
        <v>180</v>
      </c>
      <c r="G13" s="3" t="s">
        <v>198</v>
      </c>
      <c r="H13" s="3" t="n">
        <v>1008.36</v>
      </c>
      <c r="I13" s="4" t="n">
        <f aca="false">IF(AND(ISNUMBER(E13),ISNUMBER(H13)),ROUND(E13*H13,2),"")</f>
        <v>1008.36</v>
      </c>
      <c r="J13" s="3" t="s">
        <v>143</v>
      </c>
      <c r="K13" s="3" t="n">
        <v>23</v>
      </c>
      <c r="L13" s="4" t="n">
        <f aca="false">IF(AND(J13="PL23_ESTIMATE",ISNUMBER(I13)),ROUND(I13*K13/100,2),"")</f>
        <v>231.92</v>
      </c>
      <c r="M13" s="3"/>
      <c r="N13" s="4" t="n">
        <f aca="false">IF(J13="SOURCE_GROSS",IF(AND(ISNUMBER(E13),ISNUMBER(M13)),ROUND(E13*M13,2),""),IF(ISNUMBER(I13),ROUND(I13+L13,2),""))</f>
        <v>1240.28</v>
      </c>
      <c r="O13" s="3" t="s">
        <v>188</v>
      </c>
      <c r="P13" s="3" t="s">
        <v>199</v>
      </c>
      <c r="Q13" s="3" t="s">
        <v>146</v>
      </c>
      <c r="R13" s="7" t="s">
        <v>200</v>
      </c>
      <c r="S13" s="3" t="s">
        <v>148</v>
      </c>
    </row>
    <row r="14" customFormat="false" ht="69.75" hidden="false" customHeight="true" outlineLevel="0" collapsed="false">
      <c r="A14" s="2" t="s">
        <v>53</v>
      </c>
      <c r="B14" s="2" t="s">
        <v>207</v>
      </c>
      <c r="C14" s="2" t="s">
        <v>208</v>
      </c>
      <c r="D14" s="2" t="s">
        <v>209</v>
      </c>
      <c r="E14" s="2" t="n">
        <v>6</v>
      </c>
      <c r="F14" s="2" t="s">
        <v>180</v>
      </c>
      <c r="G14" s="2" t="s">
        <v>210</v>
      </c>
      <c r="H14" s="2" t="n">
        <v>140.24</v>
      </c>
      <c r="I14" s="4" t="n">
        <f aca="false">IF(AND(ISNUMBER(E14),ISNUMBER(H14)),ROUND(E14*H14,2),"")</f>
        <v>841.44</v>
      </c>
      <c r="J14" s="2" t="s">
        <v>143</v>
      </c>
      <c r="K14" s="2" t="n">
        <v>23</v>
      </c>
      <c r="L14" s="4" t="n">
        <f aca="false">IF(AND(J14="PL23_ESTIMATE",ISNUMBER(I14)),ROUND(I14*K14/100,2),"")</f>
        <v>193.53</v>
      </c>
      <c r="M14" s="2"/>
      <c r="N14" s="4" t="n">
        <f aca="false">IF(J14="SOURCE_GROSS",IF(AND(ISNUMBER(E14),ISNUMBER(M14)),ROUND(E14*M14,2),""),IF(ISNUMBER(I14),ROUND(I14+L14,2),""))</f>
        <v>1034.97</v>
      </c>
      <c r="O14" s="2" t="s">
        <v>144</v>
      </c>
      <c r="P14" s="2" t="s">
        <v>211</v>
      </c>
      <c r="Q14" s="2" t="s">
        <v>146</v>
      </c>
      <c r="R14" s="6" t="s">
        <v>212</v>
      </c>
      <c r="S14" s="2" t="s">
        <v>148</v>
      </c>
    </row>
    <row r="15" customFormat="false" ht="69.75" hidden="false" customHeight="true" outlineLevel="0" collapsed="false">
      <c r="A15" s="3" t="s">
        <v>53</v>
      </c>
      <c r="B15" s="3" t="s">
        <v>213</v>
      </c>
      <c r="C15" s="3" t="s">
        <v>214</v>
      </c>
      <c r="D15" s="3" t="s">
        <v>215</v>
      </c>
      <c r="E15" s="3" t="n">
        <v>1</v>
      </c>
      <c r="F15" s="3" t="s">
        <v>180</v>
      </c>
      <c r="G15" s="3" t="s">
        <v>216</v>
      </c>
      <c r="H15" s="3" t="n">
        <v>193.24</v>
      </c>
      <c r="I15" s="4" t="n">
        <f aca="false">IF(AND(ISNUMBER(E15),ISNUMBER(H15)),ROUND(E15*H15,2),"")</f>
        <v>193.24</v>
      </c>
      <c r="J15" s="3" t="s">
        <v>143</v>
      </c>
      <c r="K15" s="3" t="n">
        <v>23</v>
      </c>
      <c r="L15" s="4" t="n">
        <f aca="false">IF(AND(J15="PL23_ESTIMATE",ISNUMBER(I15)),ROUND(I15*K15/100,2),"")</f>
        <v>44.45</v>
      </c>
      <c r="M15" s="3"/>
      <c r="N15" s="4" t="n">
        <f aca="false">IF(J15="SOURCE_GROSS",IF(AND(ISNUMBER(E15),ISNUMBER(M15)),ROUND(E15*M15,2),""),IF(ISNUMBER(I15),ROUND(I15+L15,2),""))</f>
        <v>237.69</v>
      </c>
      <c r="O15" s="3" t="s">
        <v>144</v>
      </c>
      <c r="P15" s="3" t="s">
        <v>217</v>
      </c>
      <c r="Q15" s="3" t="s">
        <v>218</v>
      </c>
      <c r="R15" s="7" t="s">
        <v>219</v>
      </c>
      <c r="S15" s="3" t="s">
        <v>148</v>
      </c>
    </row>
    <row r="16" customFormat="false" ht="69.75" hidden="false" customHeight="true" outlineLevel="0" collapsed="false">
      <c r="A16" s="2" t="s">
        <v>53</v>
      </c>
      <c r="B16" s="2" t="s">
        <v>220</v>
      </c>
      <c r="C16" s="2" t="s">
        <v>221</v>
      </c>
      <c r="D16" s="2" t="s">
        <v>222</v>
      </c>
      <c r="E16" s="2" t="n">
        <v>2</v>
      </c>
      <c r="F16" s="2" t="s">
        <v>180</v>
      </c>
      <c r="G16" s="2" t="s">
        <v>223</v>
      </c>
      <c r="H16" s="2" t="n">
        <v>111.34</v>
      </c>
      <c r="I16" s="4" t="n">
        <f aca="false">IF(AND(ISNUMBER(E16),ISNUMBER(H16)),ROUND(E16*H16,2),"")</f>
        <v>222.68</v>
      </c>
      <c r="J16" s="2" t="s">
        <v>143</v>
      </c>
      <c r="K16" s="2" t="n">
        <v>23</v>
      </c>
      <c r="L16" s="4" t="n">
        <f aca="false">IF(AND(J16="PL23_ESTIMATE",ISNUMBER(I16)),ROUND(I16*K16/100,2),"")</f>
        <v>51.22</v>
      </c>
      <c r="M16" s="2"/>
      <c r="N16" s="4" t="n">
        <f aca="false">IF(J16="SOURCE_GROSS",IF(AND(ISNUMBER(E16),ISNUMBER(M16)),ROUND(E16*M16,2),""),IF(ISNUMBER(I16),ROUND(I16+L16,2),""))</f>
        <v>273.9</v>
      </c>
      <c r="O16" s="2" t="s">
        <v>144</v>
      </c>
      <c r="P16" s="2" t="s">
        <v>224</v>
      </c>
      <c r="Q16" s="2" t="s">
        <v>218</v>
      </c>
      <c r="R16" s="6" t="s">
        <v>219</v>
      </c>
      <c r="S16" s="2" t="s">
        <v>148</v>
      </c>
    </row>
    <row r="17" customFormat="false" ht="69.75" hidden="false" customHeight="true" outlineLevel="0" collapsed="false">
      <c r="A17" s="3" t="s">
        <v>53</v>
      </c>
      <c r="B17" s="3" t="s">
        <v>225</v>
      </c>
      <c r="C17" s="3" t="s">
        <v>226</v>
      </c>
      <c r="D17" s="3" t="s">
        <v>227</v>
      </c>
      <c r="E17" s="3" t="n">
        <v>4</v>
      </c>
      <c r="F17" s="3" t="s">
        <v>180</v>
      </c>
      <c r="G17" s="3" t="s">
        <v>228</v>
      </c>
      <c r="H17" s="3" t="n">
        <v>239.45</v>
      </c>
      <c r="I17" s="4" t="n">
        <f aca="false">IF(AND(ISNUMBER(E17),ISNUMBER(H17)),ROUND(E17*H17,2),"")</f>
        <v>957.8</v>
      </c>
      <c r="J17" s="3" t="s">
        <v>143</v>
      </c>
      <c r="K17" s="3" t="n">
        <v>23</v>
      </c>
      <c r="L17" s="4" t="n">
        <f aca="false">IF(AND(J17="PL23_ESTIMATE",ISNUMBER(I17)),ROUND(I17*K17/100,2),"")</f>
        <v>220.29</v>
      </c>
      <c r="M17" s="3"/>
      <c r="N17" s="4" t="n">
        <f aca="false">IF(J17="SOURCE_GROSS",IF(AND(ISNUMBER(E17),ISNUMBER(M17)),ROUND(E17*M17,2),""),IF(ISNUMBER(I17),ROUND(I17+L17,2),""))</f>
        <v>1178.09</v>
      </c>
      <c r="O17" s="3" t="s">
        <v>229</v>
      </c>
      <c r="P17" s="3" t="s">
        <v>230</v>
      </c>
      <c r="Q17" s="3" t="s">
        <v>218</v>
      </c>
      <c r="R17" s="7" t="s">
        <v>231</v>
      </c>
      <c r="S17" s="3" t="s">
        <v>148</v>
      </c>
    </row>
    <row r="18" customFormat="false" ht="69.75" hidden="false" customHeight="true" outlineLevel="0" collapsed="false">
      <c r="A18" s="2" t="s">
        <v>58</v>
      </c>
      <c r="B18" s="2" t="s">
        <v>232</v>
      </c>
      <c r="C18" s="2" t="s">
        <v>208</v>
      </c>
      <c r="D18" s="2" t="s">
        <v>233</v>
      </c>
      <c r="E18" s="2" t="n">
        <v>6</v>
      </c>
      <c r="F18" s="2" t="s">
        <v>180</v>
      </c>
      <c r="G18" s="2" t="s">
        <v>234</v>
      </c>
      <c r="H18" s="2" t="n">
        <v>268.07</v>
      </c>
      <c r="I18" s="4" t="n">
        <f aca="false">IF(AND(ISNUMBER(E18),ISNUMBER(H18)),ROUND(E18*H18,2),"")</f>
        <v>1608.42</v>
      </c>
      <c r="J18" s="2" t="s">
        <v>143</v>
      </c>
      <c r="K18" s="2" t="n">
        <v>23</v>
      </c>
      <c r="L18" s="4" t="n">
        <f aca="false">IF(AND(J18="PL23_ESTIMATE",ISNUMBER(I18)),ROUND(I18*K18/100,2),"")</f>
        <v>369.94</v>
      </c>
      <c r="M18" s="2"/>
      <c r="N18" s="4" t="n">
        <f aca="false">IF(J18="SOURCE_GROSS",IF(AND(ISNUMBER(E18),ISNUMBER(M18)),ROUND(E18*M18,2),""),IF(ISNUMBER(I18),ROUND(I18+L18,2),""))</f>
        <v>1978.36</v>
      </c>
      <c r="O18" s="2" t="s">
        <v>144</v>
      </c>
      <c r="P18" s="2" t="s">
        <v>235</v>
      </c>
      <c r="Q18" s="2" t="s">
        <v>146</v>
      </c>
      <c r="R18" s="6" t="s">
        <v>236</v>
      </c>
      <c r="S18" s="2" t="s">
        <v>148</v>
      </c>
    </row>
    <row r="19" customFormat="false" ht="69.75" hidden="false" customHeight="true" outlineLevel="0" collapsed="false">
      <c r="A19" s="3" t="s">
        <v>58</v>
      </c>
      <c r="B19" s="3" t="s">
        <v>237</v>
      </c>
      <c r="C19" s="3" t="s">
        <v>214</v>
      </c>
      <c r="D19" s="3" t="s">
        <v>215</v>
      </c>
      <c r="E19" s="3" t="n">
        <v>1</v>
      </c>
      <c r="F19" s="3" t="s">
        <v>180</v>
      </c>
      <c r="G19" s="3" t="s">
        <v>216</v>
      </c>
      <c r="H19" s="3" t="n">
        <v>193.24</v>
      </c>
      <c r="I19" s="4" t="n">
        <f aca="false">IF(AND(ISNUMBER(E19),ISNUMBER(H19)),ROUND(E19*H19,2),"")</f>
        <v>193.24</v>
      </c>
      <c r="J19" s="3" t="s">
        <v>143</v>
      </c>
      <c r="K19" s="3" t="n">
        <v>23</v>
      </c>
      <c r="L19" s="4" t="n">
        <f aca="false">IF(AND(J19="PL23_ESTIMATE",ISNUMBER(I19)),ROUND(I19*K19/100,2),"")</f>
        <v>44.45</v>
      </c>
      <c r="M19" s="3"/>
      <c r="N19" s="4" t="n">
        <f aca="false">IF(J19="SOURCE_GROSS",IF(AND(ISNUMBER(E19),ISNUMBER(M19)),ROUND(E19*M19,2),""),IF(ISNUMBER(I19),ROUND(I19+L19,2),""))</f>
        <v>237.69</v>
      </c>
      <c r="O19" s="3" t="s">
        <v>144</v>
      </c>
      <c r="P19" s="3" t="s">
        <v>217</v>
      </c>
      <c r="Q19" s="3" t="s">
        <v>218</v>
      </c>
      <c r="R19" s="7" t="s">
        <v>219</v>
      </c>
      <c r="S19" s="3" t="s">
        <v>148</v>
      </c>
    </row>
    <row r="20" customFormat="false" ht="69.75" hidden="false" customHeight="true" outlineLevel="0" collapsed="false">
      <c r="A20" s="2" t="s">
        <v>58</v>
      </c>
      <c r="B20" s="2" t="s">
        <v>238</v>
      </c>
      <c r="C20" s="2" t="s">
        <v>221</v>
      </c>
      <c r="D20" s="2" t="s">
        <v>222</v>
      </c>
      <c r="E20" s="2" t="n">
        <v>2</v>
      </c>
      <c r="F20" s="2" t="s">
        <v>180</v>
      </c>
      <c r="G20" s="2" t="s">
        <v>223</v>
      </c>
      <c r="H20" s="2" t="n">
        <v>111.34</v>
      </c>
      <c r="I20" s="4" t="n">
        <f aca="false">IF(AND(ISNUMBER(E20),ISNUMBER(H20)),ROUND(E20*H20,2),"")</f>
        <v>222.68</v>
      </c>
      <c r="J20" s="2" t="s">
        <v>143</v>
      </c>
      <c r="K20" s="2" t="n">
        <v>23</v>
      </c>
      <c r="L20" s="4" t="n">
        <f aca="false">IF(AND(J20="PL23_ESTIMATE",ISNUMBER(I20)),ROUND(I20*K20/100,2),"")</f>
        <v>51.22</v>
      </c>
      <c r="M20" s="2"/>
      <c r="N20" s="4" t="n">
        <f aca="false">IF(J20="SOURCE_GROSS",IF(AND(ISNUMBER(E20),ISNUMBER(M20)),ROUND(E20*M20,2),""),IF(ISNUMBER(I20),ROUND(I20+L20,2),""))</f>
        <v>273.9</v>
      </c>
      <c r="O20" s="2" t="s">
        <v>144</v>
      </c>
      <c r="P20" s="2" t="s">
        <v>224</v>
      </c>
      <c r="Q20" s="2" t="s">
        <v>218</v>
      </c>
      <c r="R20" s="6" t="s">
        <v>219</v>
      </c>
      <c r="S20" s="2" t="s">
        <v>148</v>
      </c>
    </row>
    <row r="21" customFormat="false" ht="69.75" hidden="false" customHeight="true" outlineLevel="0" collapsed="false">
      <c r="A21" s="3" t="s">
        <v>58</v>
      </c>
      <c r="B21" s="3" t="s">
        <v>239</v>
      </c>
      <c r="C21" s="3" t="s">
        <v>226</v>
      </c>
      <c r="D21" s="3" t="s">
        <v>227</v>
      </c>
      <c r="E21" s="3" t="n">
        <v>4</v>
      </c>
      <c r="F21" s="3" t="s">
        <v>180</v>
      </c>
      <c r="G21" s="3" t="s">
        <v>228</v>
      </c>
      <c r="H21" s="3" t="n">
        <v>239.45</v>
      </c>
      <c r="I21" s="4" t="n">
        <f aca="false">IF(AND(ISNUMBER(E21),ISNUMBER(H21)),ROUND(E21*H21,2),"")</f>
        <v>957.8</v>
      </c>
      <c r="J21" s="3" t="s">
        <v>143</v>
      </c>
      <c r="K21" s="3" t="n">
        <v>23</v>
      </c>
      <c r="L21" s="4" t="n">
        <f aca="false">IF(AND(J21="PL23_ESTIMATE",ISNUMBER(I21)),ROUND(I21*K21/100,2),"")</f>
        <v>220.29</v>
      </c>
      <c r="M21" s="3"/>
      <c r="N21" s="4" t="n">
        <f aca="false">IF(J21="SOURCE_GROSS",IF(AND(ISNUMBER(E21),ISNUMBER(M21)),ROUND(E21*M21,2),""),IF(ISNUMBER(I21),ROUND(I21+L21,2),""))</f>
        <v>1178.09</v>
      </c>
      <c r="O21" s="3" t="s">
        <v>229</v>
      </c>
      <c r="P21" s="3" t="s">
        <v>230</v>
      </c>
      <c r="Q21" s="3" t="s">
        <v>218</v>
      </c>
      <c r="R21" s="7" t="s">
        <v>231</v>
      </c>
      <c r="S21" s="3" t="s">
        <v>148</v>
      </c>
    </row>
    <row r="22" customFormat="false" ht="69.75" hidden="false" customHeight="true" outlineLevel="0" collapsed="false">
      <c r="A22" s="2" t="s">
        <v>59</v>
      </c>
      <c r="B22" s="2" t="s">
        <v>240</v>
      </c>
      <c r="C22" s="2" t="s">
        <v>208</v>
      </c>
      <c r="D22" s="2" t="s">
        <v>241</v>
      </c>
      <c r="E22" s="2" t="n">
        <v>6</v>
      </c>
      <c r="F22" s="2" t="s">
        <v>180</v>
      </c>
      <c r="G22" s="2" t="s">
        <v>242</v>
      </c>
      <c r="H22" s="2" t="n">
        <v>272.69</v>
      </c>
      <c r="I22" s="4" t="n">
        <f aca="false">IF(AND(ISNUMBER(E22),ISNUMBER(H22)),ROUND(E22*H22,2),"")</f>
        <v>1636.14</v>
      </c>
      <c r="J22" s="2" t="s">
        <v>143</v>
      </c>
      <c r="K22" s="2" t="n">
        <v>23</v>
      </c>
      <c r="L22" s="4" t="n">
        <f aca="false">IF(AND(J22="PL23_ESTIMATE",ISNUMBER(I22)),ROUND(I22*K22/100,2),"")</f>
        <v>376.31</v>
      </c>
      <c r="M22" s="2"/>
      <c r="N22" s="4" t="n">
        <f aca="false">IF(J22="SOURCE_GROSS",IF(AND(ISNUMBER(E22),ISNUMBER(M22)),ROUND(E22*M22,2),""),IF(ISNUMBER(I22),ROUND(I22+L22,2),""))</f>
        <v>2012.45</v>
      </c>
      <c r="O22" s="2" t="s">
        <v>144</v>
      </c>
      <c r="P22" s="2" t="s">
        <v>243</v>
      </c>
      <c r="Q22" s="2" t="s">
        <v>146</v>
      </c>
      <c r="R22" s="6" t="s">
        <v>244</v>
      </c>
      <c r="S22" s="2" t="s">
        <v>148</v>
      </c>
    </row>
    <row r="23" customFormat="false" ht="69.75" hidden="false" customHeight="true" outlineLevel="0" collapsed="false">
      <c r="A23" s="3" t="s">
        <v>59</v>
      </c>
      <c r="B23" s="3" t="s">
        <v>245</v>
      </c>
      <c r="C23" s="3" t="s">
        <v>214</v>
      </c>
      <c r="D23" s="3" t="s">
        <v>215</v>
      </c>
      <c r="E23" s="3" t="n">
        <v>1</v>
      </c>
      <c r="F23" s="3" t="s">
        <v>180</v>
      </c>
      <c r="G23" s="3" t="s">
        <v>216</v>
      </c>
      <c r="H23" s="3" t="n">
        <v>193.24</v>
      </c>
      <c r="I23" s="4" t="n">
        <f aca="false">IF(AND(ISNUMBER(E23),ISNUMBER(H23)),ROUND(E23*H23,2),"")</f>
        <v>193.24</v>
      </c>
      <c r="J23" s="3" t="s">
        <v>143</v>
      </c>
      <c r="K23" s="3" t="n">
        <v>23</v>
      </c>
      <c r="L23" s="4" t="n">
        <f aca="false">IF(AND(J23="PL23_ESTIMATE",ISNUMBER(I23)),ROUND(I23*K23/100,2),"")</f>
        <v>44.45</v>
      </c>
      <c r="M23" s="3"/>
      <c r="N23" s="4" t="n">
        <f aca="false">IF(J23="SOURCE_GROSS",IF(AND(ISNUMBER(E23),ISNUMBER(M23)),ROUND(E23*M23,2),""),IF(ISNUMBER(I23),ROUND(I23+L23,2),""))</f>
        <v>237.69</v>
      </c>
      <c r="O23" s="3" t="s">
        <v>144</v>
      </c>
      <c r="P23" s="3" t="s">
        <v>217</v>
      </c>
      <c r="Q23" s="3" t="s">
        <v>218</v>
      </c>
      <c r="R23" s="7" t="s">
        <v>219</v>
      </c>
      <c r="S23" s="3" t="s">
        <v>148</v>
      </c>
    </row>
    <row r="24" customFormat="false" ht="69.75" hidden="false" customHeight="true" outlineLevel="0" collapsed="false">
      <c r="A24" s="2" t="s">
        <v>59</v>
      </c>
      <c r="B24" s="2" t="s">
        <v>246</v>
      </c>
      <c r="C24" s="2" t="s">
        <v>221</v>
      </c>
      <c r="D24" s="2" t="s">
        <v>222</v>
      </c>
      <c r="E24" s="2" t="n">
        <v>2</v>
      </c>
      <c r="F24" s="2" t="s">
        <v>180</v>
      </c>
      <c r="G24" s="2" t="s">
        <v>223</v>
      </c>
      <c r="H24" s="2" t="n">
        <v>111.34</v>
      </c>
      <c r="I24" s="4" t="n">
        <f aca="false">IF(AND(ISNUMBER(E24),ISNUMBER(H24)),ROUND(E24*H24,2),"")</f>
        <v>222.68</v>
      </c>
      <c r="J24" s="2" t="s">
        <v>143</v>
      </c>
      <c r="K24" s="2" t="n">
        <v>23</v>
      </c>
      <c r="L24" s="4" t="n">
        <f aca="false">IF(AND(J24="PL23_ESTIMATE",ISNUMBER(I24)),ROUND(I24*K24/100,2),"")</f>
        <v>51.22</v>
      </c>
      <c r="M24" s="2"/>
      <c r="N24" s="4" t="n">
        <f aca="false">IF(J24="SOURCE_GROSS",IF(AND(ISNUMBER(E24),ISNUMBER(M24)),ROUND(E24*M24,2),""),IF(ISNUMBER(I24),ROUND(I24+L24,2),""))</f>
        <v>273.9</v>
      </c>
      <c r="O24" s="2" t="s">
        <v>144</v>
      </c>
      <c r="P24" s="2" t="s">
        <v>224</v>
      </c>
      <c r="Q24" s="2" t="s">
        <v>218</v>
      </c>
      <c r="R24" s="6" t="s">
        <v>219</v>
      </c>
      <c r="S24" s="2" t="s">
        <v>148</v>
      </c>
    </row>
    <row r="25" customFormat="false" ht="69.75" hidden="false" customHeight="true" outlineLevel="0" collapsed="false">
      <c r="A25" s="3" t="s">
        <v>59</v>
      </c>
      <c r="B25" s="3" t="s">
        <v>247</v>
      </c>
      <c r="C25" s="3" t="s">
        <v>226</v>
      </c>
      <c r="D25" s="3" t="s">
        <v>227</v>
      </c>
      <c r="E25" s="3" t="n">
        <v>4</v>
      </c>
      <c r="F25" s="3" t="s">
        <v>180</v>
      </c>
      <c r="G25" s="3" t="s">
        <v>228</v>
      </c>
      <c r="H25" s="3" t="n">
        <v>239.45</v>
      </c>
      <c r="I25" s="4" t="n">
        <f aca="false">IF(AND(ISNUMBER(E25),ISNUMBER(H25)),ROUND(E25*H25,2),"")</f>
        <v>957.8</v>
      </c>
      <c r="J25" s="3" t="s">
        <v>143</v>
      </c>
      <c r="K25" s="3" t="n">
        <v>23</v>
      </c>
      <c r="L25" s="4" t="n">
        <f aca="false">IF(AND(J25="PL23_ESTIMATE",ISNUMBER(I25)),ROUND(I25*K25/100,2),"")</f>
        <v>220.29</v>
      </c>
      <c r="M25" s="3"/>
      <c r="N25" s="4" t="n">
        <f aca="false">IF(J25="SOURCE_GROSS",IF(AND(ISNUMBER(E25),ISNUMBER(M25)),ROUND(E25*M25,2),""),IF(ISNUMBER(I25),ROUND(I25+L25,2),""))</f>
        <v>1178.09</v>
      </c>
      <c r="O25" s="3" t="s">
        <v>229</v>
      </c>
      <c r="P25" s="3" t="s">
        <v>230</v>
      </c>
      <c r="Q25" s="3" t="s">
        <v>218</v>
      </c>
      <c r="R25" s="7" t="s">
        <v>231</v>
      </c>
      <c r="S25" s="3" t="s">
        <v>148</v>
      </c>
    </row>
    <row r="26" customFormat="false" ht="69.75" hidden="false" customHeight="true" outlineLevel="0" collapsed="false">
      <c r="A26" s="2" t="s">
        <v>60</v>
      </c>
      <c r="B26" s="2" t="s">
        <v>248</v>
      </c>
      <c r="C26" s="2" t="s">
        <v>249</v>
      </c>
      <c r="D26" s="2" t="s">
        <v>250</v>
      </c>
      <c r="E26" s="2" t="n">
        <v>1</v>
      </c>
      <c r="F26" s="2" t="s">
        <v>251</v>
      </c>
      <c r="G26" s="2" t="s">
        <v>252</v>
      </c>
      <c r="H26" s="2" t="n">
        <v>1024.92</v>
      </c>
      <c r="I26" s="4" t="n">
        <f aca="false">IF(AND(ISNUMBER(E26),ISNUMBER(H26)),ROUND(E26*H26,2),"")</f>
        <v>1024.92</v>
      </c>
      <c r="J26" s="2" t="s">
        <v>143</v>
      </c>
      <c r="K26" s="2" t="n">
        <v>23</v>
      </c>
      <c r="L26" s="4" t="n">
        <f aca="false">IF(AND(J26="PL23_ESTIMATE",ISNUMBER(I26)),ROUND(I26*K26/100,2),"")</f>
        <v>235.73</v>
      </c>
      <c r="M26" s="2"/>
      <c r="N26" s="4" t="n">
        <f aca="false">IF(J26="SOURCE_GROSS",IF(AND(ISNUMBER(E26),ISNUMBER(M26)),ROUND(E26*M26,2),""),IF(ISNUMBER(I26),ROUND(I26+L26,2),""))</f>
        <v>1260.65</v>
      </c>
      <c r="O26" s="2" t="s">
        <v>144</v>
      </c>
      <c r="P26" s="2" t="s">
        <v>253</v>
      </c>
      <c r="Q26" s="2" t="s">
        <v>146</v>
      </c>
      <c r="R26" s="6" t="s">
        <v>254</v>
      </c>
      <c r="S26" s="2" t="s">
        <v>148</v>
      </c>
    </row>
    <row r="27" customFormat="false" ht="69.75" hidden="false" customHeight="true" outlineLevel="0" collapsed="false">
      <c r="A27" s="3" t="s">
        <v>60</v>
      </c>
      <c r="B27" s="3" t="s">
        <v>255</v>
      </c>
      <c r="C27" s="3" t="s">
        <v>256</v>
      </c>
      <c r="D27" s="3" t="s">
        <v>257</v>
      </c>
      <c r="E27" s="3" t="n">
        <v>1</v>
      </c>
      <c r="F27" s="3" t="s">
        <v>251</v>
      </c>
      <c r="G27" s="3" t="s">
        <v>258</v>
      </c>
      <c r="H27" s="3"/>
      <c r="I27" s="4" t="str">
        <f aca="false">IF(AND(ISNUMBER(E27),ISNUMBER(H27)),ROUND(E27*H27,2),"")</f>
        <v/>
      </c>
      <c r="J27" s="3" t="s">
        <v>143</v>
      </c>
      <c r="K27" s="3" t="n">
        <v>23</v>
      </c>
      <c r="L27" s="4" t="str">
        <f aca="false">IF(AND(J27="PL23_ESTIMATE",ISNUMBER(I27)),ROUND(I27*K27/100,2),"")</f>
        <v/>
      </c>
      <c r="M27" s="3"/>
      <c r="N27" s="4" t="str">
        <f aca="false">IF(J27="SOURCE_GROSS",IF(AND(ISNUMBER(E27),ISNUMBER(M27)),ROUND(E27*M27,2),""),IF(ISNUMBER(I27),ROUND(I27+L27,2),""))</f>
        <v/>
      </c>
      <c r="O27" s="3" t="s">
        <v>144</v>
      </c>
      <c r="P27" s="3" t="s">
        <v>259</v>
      </c>
      <c r="Q27" s="3" t="s">
        <v>146</v>
      </c>
      <c r="R27" s="7" t="s">
        <v>260</v>
      </c>
      <c r="S27" s="3" t="s">
        <v>148</v>
      </c>
    </row>
    <row r="28" customFormat="false" ht="69.75" hidden="false" customHeight="true" outlineLevel="0" collapsed="false">
      <c r="A28" s="2" t="s">
        <v>65</v>
      </c>
      <c r="B28" s="2" t="s">
        <v>261</v>
      </c>
      <c r="C28" s="2" t="s">
        <v>249</v>
      </c>
      <c r="D28" s="2" t="s">
        <v>262</v>
      </c>
      <c r="E28" s="2" t="n">
        <v>1</v>
      </c>
      <c r="F28" s="2" t="s">
        <v>251</v>
      </c>
      <c r="G28" s="2" t="s">
        <v>263</v>
      </c>
      <c r="H28" s="2" t="n">
        <v>1093.25</v>
      </c>
      <c r="I28" s="4" t="n">
        <f aca="false">IF(AND(ISNUMBER(E28),ISNUMBER(H28)),ROUND(E28*H28,2),"")</f>
        <v>1093.25</v>
      </c>
      <c r="J28" s="2" t="s">
        <v>143</v>
      </c>
      <c r="K28" s="2" t="n">
        <v>23</v>
      </c>
      <c r="L28" s="4" t="n">
        <f aca="false">IF(AND(J28="PL23_ESTIMATE",ISNUMBER(I28)),ROUND(I28*K28/100,2),"")</f>
        <v>251.45</v>
      </c>
      <c r="M28" s="2"/>
      <c r="N28" s="4" t="n">
        <f aca="false">IF(J28="SOURCE_GROSS",IF(AND(ISNUMBER(E28),ISNUMBER(M28)),ROUND(E28*M28,2),""),IF(ISNUMBER(I28),ROUND(I28+L28,2),""))</f>
        <v>1344.7</v>
      </c>
      <c r="O28" s="2" t="s">
        <v>144</v>
      </c>
      <c r="P28" s="2" t="s">
        <v>264</v>
      </c>
      <c r="Q28" s="2" t="s">
        <v>146</v>
      </c>
      <c r="R28" s="6" t="s">
        <v>265</v>
      </c>
      <c r="S28" s="2" t="s">
        <v>148</v>
      </c>
    </row>
    <row r="29" customFormat="false" ht="69.75" hidden="false" customHeight="true" outlineLevel="0" collapsed="false">
      <c r="A29" s="3" t="s">
        <v>65</v>
      </c>
      <c r="B29" s="3" t="s">
        <v>266</v>
      </c>
      <c r="C29" s="3" t="s">
        <v>256</v>
      </c>
      <c r="D29" s="3" t="s">
        <v>267</v>
      </c>
      <c r="E29" s="3" t="n">
        <v>1</v>
      </c>
      <c r="F29" s="3" t="s">
        <v>251</v>
      </c>
      <c r="G29" s="3" t="s">
        <v>268</v>
      </c>
      <c r="H29" s="3" t="n">
        <v>1052.5</v>
      </c>
      <c r="I29" s="4" t="n">
        <f aca="false">IF(AND(ISNUMBER(E29),ISNUMBER(H29)),ROUND(E29*H29,2),"")</f>
        <v>1052.5</v>
      </c>
      <c r="J29" s="3" t="s">
        <v>143</v>
      </c>
      <c r="K29" s="3" t="n">
        <v>23</v>
      </c>
      <c r="L29" s="4" t="n">
        <f aca="false">IF(AND(J29="PL23_ESTIMATE",ISNUMBER(I29)),ROUND(I29*K29/100,2),"")</f>
        <v>242.08</v>
      </c>
      <c r="M29" s="3"/>
      <c r="N29" s="4" t="n">
        <f aca="false">IF(J29="SOURCE_GROSS",IF(AND(ISNUMBER(E29),ISNUMBER(M29)),ROUND(E29*M29,2),""),IF(ISNUMBER(I29),ROUND(I29+L29,2),""))</f>
        <v>1294.58</v>
      </c>
      <c r="O29" s="3" t="s">
        <v>144</v>
      </c>
      <c r="P29" s="3" t="s">
        <v>269</v>
      </c>
      <c r="Q29" s="3" t="s">
        <v>146</v>
      </c>
      <c r="R29" s="7" t="s">
        <v>270</v>
      </c>
      <c r="S29" s="3" t="s">
        <v>148</v>
      </c>
    </row>
    <row r="30" customFormat="false" ht="69.75" hidden="false" customHeight="true" outlineLevel="0" collapsed="false">
      <c r="A30" s="2" t="s">
        <v>66</v>
      </c>
      <c r="B30" s="2" t="s">
        <v>271</v>
      </c>
      <c r="C30" s="2" t="s">
        <v>249</v>
      </c>
      <c r="D30" s="2" t="s">
        <v>272</v>
      </c>
      <c r="E30" s="2" t="n">
        <v>1</v>
      </c>
      <c r="F30" s="2" t="s">
        <v>251</v>
      </c>
      <c r="G30" s="2" t="s">
        <v>273</v>
      </c>
      <c r="H30" s="2"/>
      <c r="I30" s="4" t="str">
        <f aca="false">IF(AND(ISNUMBER(E30),ISNUMBER(H30)),ROUND(E30*H30,2),"")</f>
        <v/>
      </c>
      <c r="J30" s="2" t="s">
        <v>143</v>
      </c>
      <c r="K30" s="2" t="n">
        <v>23</v>
      </c>
      <c r="L30" s="4" t="str">
        <f aca="false">IF(AND(J30="PL23_ESTIMATE",ISNUMBER(I30)),ROUND(I30*K30/100,2),"")</f>
        <v/>
      </c>
      <c r="M30" s="2"/>
      <c r="N30" s="4" t="str">
        <f aca="false">IF(J30="SOURCE_GROSS",IF(AND(ISNUMBER(E30),ISNUMBER(M30)),ROUND(E30*M30,2),""),IF(ISNUMBER(I30),ROUND(I30+L30,2),""))</f>
        <v/>
      </c>
      <c r="O30" s="2" t="s">
        <v>144</v>
      </c>
      <c r="P30" s="2" t="s">
        <v>274</v>
      </c>
      <c r="Q30" s="2" t="s">
        <v>146</v>
      </c>
      <c r="R30" s="6" t="s">
        <v>275</v>
      </c>
      <c r="S30" s="2" t="s">
        <v>148</v>
      </c>
    </row>
    <row r="31" customFormat="false" ht="69.75" hidden="false" customHeight="true" outlineLevel="0" collapsed="false">
      <c r="A31" s="3" t="s">
        <v>66</v>
      </c>
      <c r="B31" s="3" t="s">
        <v>276</v>
      </c>
      <c r="C31" s="3" t="s">
        <v>256</v>
      </c>
      <c r="D31" s="3" t="s">
        <v>277</v>
      </c>
      <c r="E31" s="3" t="n">
        <v>1</v>
      </c>
      <c r="F31" s="3" t="s">
        <v>251</v>
      </c>
      <c r="G31" s="3" t="s">
        <v>278</v>
      </c>
      <c r="H31" s="3"/>
      <c r="I31" s="4" t="str">
        <f aca="false">IF(AND(ISNUMBER(E31),ISNUMBER(H31)),ROUND(E31*H31,2),"")</f>
        <v/>
      </c>
      <c r="J31" s="3" t="s">
        <v>143</v>
      </c>
      <c r="K31" s="3" t="n">
        <v>23</v>
      </c>
      <c r="L31" s="4" t="str">
        <f aca="false">IF(AND(J31="PL23_ESTIMATE",ISNUMBER(I31)),ROUND(I31*K31/100,2),"")</f>
        <v/>
      </c>
      <c r="M31" s="3"/>
      <c r="N31" s="4" t="str">
        <f aca="false">IF(J31="SOURCE_GROSS",IF(AND(ISNUMBER(E31),ISNUMBER(M31)),ROUND(E31*M31,2),""),IF(ISNUMBER(I31),ROUND(I31+L31,2),""))</f>
        <v/>
      </c>
      <c r="O31" s="3" t="s">
        <v>144</v>
      </c>
      <c r="P31" s="3" t="s">
        <v>279</v>
      </c>
      <c r="Q31" s="3" t="s">
        <v>146</v>
      </c>
      <c r="R31" s="7" t="s">
        <v>275</v>
      </c>
      <c r="S31" s="3" t="s">
        <v>148</v>
      </c>
    </row>
    <row r="32" customFormat="false" ht="69.75" hidden="false" customHeight="true" outlineLevel="0" collapsed="false">
      <c r="A32" s="2" t="s">
        <v>67</v>
      </c>
      <c r="B32" s="2" t="s">
        <v>280</v>
      </c>
      <c r="C32" s="2" t="s">
        <v>281</v>
      </c>
      <c r="D32" s="2" t="s">
        <v>282</v>
      </c>
      <c r="E32" s="2" t="n">
        <v>1</v>
      </c>
      <c r="F32" s="2" t="s">
        <v>251</v>
      </c>
      <c r="G32" s="2" t="s">
        <v>283</v>
      </c>
      <c r="H32" s="2" t="n">
        <v>6335.29</v>
      </c>
      <c r="I32" s="4" t="n">
        <f aca="false">IF(AND(ISNUMBER(E32),ISNUMBER(H32)),ROUND(E32*H32,2),"")</f>
        <v>6335.29</v>
      </c>
      <c r="J32" s="2" t="s">
        <v>143</v>
      </c>
      <c r="K32" s="2" t="n">
        <v>23</v>
      </c>
      <c r="L32" s="4" t="n">
        <f aca="false">IF(AND(J32="PL23_ESTIMATE",ISNUMBER(I32)),ROUND(I32*K32/100,2),"")</f>
        <v>1457.12</v>
      </c>
      <c r="M32" s="2"/>
      <c r="N32" s="4" t="n">
        <f aca="false">IF(J32="SOURCE_GROSS",IF(AND(ISNUMBER(E32),ISNUMBER(M32)),ROUND(E32*M32,2),""),IF(ISNUMBER(I32),ROUND(I32+L32,2),""))</f>
        <v>7792.41</v>
      </c>
      <c r="O32" s="2" t="s">
        <v>144</v>
      </c>
      <c r="P32" s="2" t="s">
        <v>284</v>
      </c>
      <c r="Q32" s="2" t="s">
        <v>146</v>
      </c>
      <c r="R32" s="6" t="s">
        <v>285</v>
      </c>
      <c r="S32" s="2" t="s">
        <v>148</v>
      </c>
    </row>
    <row r="33" customFormat="false" ht="69.75" hidden="false" customHeight="true" outlineLevel="0" collapsed="false">
      <c r="A33" s="3" t="s">
        <v>72</v>
      </c>
      <c r="B33" s="3" t="s">
        <v>286</v>
      </c>
      <c r="C33" s="3" t="s">
        <v>281</v>
      </c>
      <c r="D33" s="3" t="s">
        <v>287</v>
      </c>
      <c r="E33" s="3" t="n">
        <v>1</v>
      </c>
      <c r="F33" s="3" t="s">
        <v>251</v>
      </c>
      <c r="G33" s="3" t="s">
        <v>288</v>
      </c>
      <c r="H33" s="3" t="n">
        <v>10683.5</v>
      </c>
      <c r="I33" s="4" t="n">
        <f aca="false">IF(AND(ISNUMBER(E33),ISNUMBER(H33)),ROUND(E33*H33,2),"")</f>
        <v>10683.5</v>
      </c>
      <c r="J33" s="3" t="s">
        <v>143</v>
      </c>
      <c r="K33" s="3" t="n">
        <v>23</v>
      </c>
      <c r="L33" s="4" t="n">
        <f aca="false">IF(AND(J33="PL23_ESTIMATE",ISNUMBER(I33)),ROUND(I33*K33/100,2),"")</f>
        <v>2457.21</v>
      </c>
      <c r="M33" s="3"/>
      <c r="N33" s="4" t="n">
        <f aca="false">IF(J33="SOURCE_GROSS",IF(AND(ISNUMBER(E33),ISNUMBER(M33)),ROUND(E33*M33,2),""),IF(ISNUMBER(I33),ROUND(I33+L33,2),""))</f>
        <v>13140.71</v>
      </c>
      <c r="O33" s="3" t="s">
        <v>144</v>
      </c>
      <c r="P33" s="3" t="s">
        <v>289</v>
      </c>
      <c r="Q33" s="3" t="s">
        <v>146</v>
      </c>
      <c r="R33" s="7" t="s">
        <v>290</v>
      </c>
      <c r="S33" s="3" t="s">
        <v>148</v>
      </c>
    </row>
    <row r="34" customFormat="false" ht="69.75" hidden="false" customHeight="true" outlineLevel="0" collapsed="false">
      <c r="A34" s="2" t="s">
        <v>73</v>
      </c>
      <c r="B34" s="2" t="s">
        <v>291</v>
      </c>
      <c r="C34" s="2" t="s">
        <v>281</v>
      </c>
      <c r="D34" s="2" t="s">
        <v>292</v>
      </c>
      <c r="E34" s="2" t="n">
        <v>1</v>
      </c>
      <c r="F34" s="2" t="s">
        <v>251</v>
      </c>
      <c r="G34" s="2" t="s">
        <v>293</v>
      </c>
      <c r="H34" s="2"/>
      <c r="I34" s="4" t="str">
        <f aca="false">IF(AND(ISNUMBER(E34),ISNUMBER(H34)),ROUND(E34*H34,2),"")</f>
        <v/>
      </c>
      <c r="J34" s="2" t="s">
        <v>143</v>
      </c>
      <c r="K34" s="2" t="n">
        <v>23</v>
      </c>
      <c r="L34" s="4" t="str">
        <f aca="false">IF(AND(J34="PL23_ESTIMATE",ISNUMBER(I34)),ROUND(I34*K34/100,2),"")</f>
        <v/>
      </c>
      <c r="M34" s="2"/>
      <c r="N34" s="4" t="str">
        <f aca="false">IF(J34="SOURCE_GROSS",IF(AND(ISNUMBER(E34),ISNUMBER(M34)),ROUND(E34*M34,2),""),IF(ISNUMBER(I34),ROUND(I34+L34,2),""))</f>
        <v/>
      </c>
      <c r="O34" s="2" t="s">
        <v>144</v>
      </c>
      <c r="P34" s="2" t="s">
        <v>294</v>
      </c>
      <c r="Q34" s="2" t="s">
        <v>146</v>
      </c>
      <c r="R34" s="6" t="s">
        <v>295</v>
      </c>
      <c r="S34" s="2" t="s">
        <v>148</v>
      </c>
    </row>
    <row r="35" customFormat="false" ht="69.75" hidden="false" customHeight="true" outlineLevel="0" collapsed="false">
      <c r="A35" s="3" t="s">
        <v>74</v>
      </c>
      <c r="B35" s="3" t="s">
        <v>296</v>
      </c>
      <c r="C35" s="3" t="s">
        <v>297</v>
      </c>
      <c r="D35" s="3" t="s">
        <v>298</v>
      </c>
      <c r="E35" s="3" t="n">
        <v>1</v>
      </c>
      <c r="F35" s="3" t="s">
        <v>251</v>
      </c>
      <c r="G35" s="3" t="s">
        <v>299</v>
      </c>
      <c r="H35" s="3" t="n">
        <v>614.17</v>
      </c>
      <c r="I35" s="4" t="n">
        <f aca="false">IF(AND(ISNUMBER(E35),ISNUMBER(H35)),ROUND(E35*H35,2),"")</f>
        <v>614.17</v>
      </c>
      <c r="J35" s="3" t="s">
        <v>143</v>
      </c>
      <c r="K35" s="3" t="n">
        <v>23</v>
      </c>
      <c r="L35" s="4" t="n">
        <f aca="false">IF(AND(J35="PL23_ESTIMATE",ISNUMBER(I35)),ROUND(I35*K35/100,2),"")</f>
        <v>141.26</v>
      </c>
      <c r="M35" s="3"/>
      <c r="N35" s="4" t="n">
        <f aca="false">IF(J35="SOURCE_GROSS",IF(AND(ISNUMBER(E35),ISNUMBER(M35)),ROUND(E35*M35,2),""),IF(ISNUMBER(I35),ROUND(I35+L35,2),""))</f>
        <v>755.43</v>
      </c>
      <c r="O35" s="3" t="s">
        <v>300</v>
      </c>
      <c r="P35" s="3" t="s">
        <v>301</v>
      </c>
      <c r="Q35" s="3" t="s">
        <v>146</v>
      </c>
      <c r="R35" s="7" t="s">
        <v>302</v>
      </c>
      <c r="S35" s="3" t="s">
        <v>148</v>
      </c>
    </row>
    <row r="36" customFormat="false" ht="69.75" hidden="false" customHeight="true" outlineLevel="0" collapsed="false">
      <c r="A36" s="2" t="s">
        <v>79</v>
      </c>
      <c r="B36" s="2" t="s">
        <v>303</v>
      </c>
      <c r="C36" s="2" t="s">
        <v>297</v>
      </c>
      <c r="D36" s="2" t="s">
        <v>304</v>
      </c>
      <c r="E36" s="2" t="n">
        <v>1</v>
      </c>
      <c r="F36" s="2" t="s">
        <v>251</v>
      </c>
      <c r="G36" s="2" t="s">
        <v>305</v>
      </c>
      <c r="H36" s="2" t="n">
        <v>690.83</v>
      </c>
      <c r="I36" s="4" t="n">
        <f aca="false">IF(AND(ISNUMBER(E36),ISNUMBER(H36)),ROUND(E36*H36,2),"")</f>
        <v>690.83</v>
      </c>
      <c r="J36" s="2" t="s">
        <v>143</v>
      </c>
      <c r="K36" s="2" t="n">
        <v>23</v>
      </c>
      <c r="L36" s="4" t="n">
        <f aca="false">IF(AND(J36="PL23_ESTIMATE",ISNUMBER(I36)),ROUND(I36*K36/100,2),"")</f>
        <v>158.89</v>
      </c>
      <c r="M36" s="2"/>
      <c r="N36" s="4" t="n">
        <f aca="false">IF(J36="SOURCE_GROSS",IF(AND(ISNUMBER(E36),ISNUMBER(M36)),ROUND(E36*M36,2),""),IF(ISNUMBER(I36),ROUND(I36+L36,2),""))</f>
        <v>849.72</v>
      </c>
      <c r="O36" s="2" t="s">
        <v>300</v>
      </c>
      <c r="P36" s="2" t="s">
        <v>306</v>
      </c>
      <c r="Q36" s="2" t="s">
        <v>218</v>
      </c>
      <c r="R36" s="6" t="s">
        <v>307</v>
      </c>
      <c r="S36" s="2" t="s">
        <v>148</v>
      </c>
    </row>
    <row r="37" customFormat="false" ht="69.75" hidden="false" customHeight="true" outlineLevel="0" collapsed="false">
      <c r="A37" s="3" t="s">
        <v>80</v>
      </c>
      <c r="B37" s="3" t="s">
        <v>308</v>
      </c>
      <c r="C37" s="3" t="s">
        <v>297</v>
      </c>
      <c r="D37" s="3" t="s">
        <v>309</v>
      </c>
      <c r="E37" s="3" t="n">
        <v>1</v>
      </c>
      <c r="F37" s="3" t="s">
        <v>251</v>
      </c>
      <c r="G37" s="3" t="s">
        <v>310</v>
      </c>
      <c r="H37" s="3" t="n">
        <v>757.5</v>
      </c>
      <c r="I37" s="4" t="n">
        <f aca="false">IF(AND(ISNUMBER(E37),ISNUMBER(H37)),ROUND(E37*H37,2),"")</f>
        <v>757.5</v>
      </c>
      <c r="J37" s="3" t="s">
        <v>143</v>
      </c>
      <c r="K37" s="3" t="n">
        <v>23</v>
      </c>
      <c r="L37" s="4" t="n">
        <f aca="false">IF(AND(J37="PL23_ESTIMATE",ISNUMBER(I37)),ROUND(I37*K37/100,2),"")</f>
        <v>174.23</v>
      </c>
      <c r="M37" s="3"/>
      <c r="N37" s="4" t="n">
        <f aca="false">IF(J37="SOURCE_GROSS",IF(AND(ISNUMBER(E37),ISNUMBER(M37)),ROUND(E37*M37,2),""),IF(ISNUMBER(I37),ROUND(I37+L37,2),""))</f>
        <v>931.73</v>
      </c>
      <c r="O37" s="3" t="s">
        <v>300</v>
      </c>
      <c r="P37" s="3" t="s">
        <v>301</v>
      </c>
      <c r="Q37" s="3" t="s">
        <v>146</v>
      </c>
      <c r="R37" s="7" t="s">
        <v>311</v>
      </c>
      <c r="S37" s="3" t="s">
        <v>148</v>
      </c>
    </row>
    <row r="38" customFormat="false" ht="69.75" hidden="false" customHeight="true" outlineLevel="0" collapsed="false">
      <c r="A38" s="2" t="s">
        <v>81</v>
      </c>
      <c r="B38" s="2" t="s">
        <v>312</v>
      </c>
      <c r="C38" s="2" t="s">
        <v>313</v>
      </c>
      <c r="D38" s="2" t="s">
        <v>314</v>
      </c>
      <c r="E38" s="2" t="n">
        <v>2</v>
      </c>
      <c r="F38" s="2" t="s">
        <v>251</v>
      </c>
      <c r="G38" s="2" t="s">
        <v>315</v>
      </c>
      <c r="H38" s="2" t="n">
        <v>3621</v>
      </c>
      <c r="I38" s="4" t="n">
        <f aca="false">IF(AND(ISNUMBER(E38),ISNUMBER(H38)),ROUND(E38*H38,2),"")</f>
        <v>7242</v>
      </c>
      <c r="J38" s="2" t="s">
        <v>143</v>
      </c>
      <c r="K38" s="2" t="n">
        <v>23</v>
      </c>
      <c r="L38" s="4" t="n">
        <f aca="false">IF(AND(J38="PL23_ESTIMATE",ISNUMBER(I38)),ROUND(I38*K38/100,2),"")</f>
        <v>1665.66</v>
      </c>
      <c r="M38" s="2"/>
      <c r="N38" s="4" t="n">
        <f aca="false">IF(J38="SOURCE_GROSS",IF(AND(ISNUMBER(E38),ISNUMBER(M38)),ROUND(E38*M38,2),""),IF(ISNUMBER(I38),ROUND(I38+L38,2),""))</f>
        <v>8907.66</v>
      </c>
      <c r="O38" s="2" t="s">
        <v>144</v>
      </c>
      <c r="P38" s="2" t="s">
        <v>316</v>
      </c>
      <c r="Q38" s="2" t="s">
        <v>146</v>
      </c>
      <c r="R38" s="6" t="s">
        <v>317</v>
      </c>
      <c r="S38" s="2" t="s">
        <v>148</v>
      </c>
    </row>
    <row r="39" customFormat="false" ht="69.75" hidden="false" customHeight="true" outlineLevel="0" collapsed="false">
      <c r="A39" s="3" t="s">
        <v>81</v>
      </c>
      <c r="B39" s="3" t="s">
        <v>318</v>
      </c>
      <c r="C39" s="3" t="s">
        <v>319</v>
      </c>
      <c r="D39" s="3" t="s">
        <v>320</v>
      </c>
      <c r="E39" s="3" t="n">
        <v>2</v>
      </c>
      <c r="F39" s="3" t="s">
        <v>251</v>
      </c>
      <c r="G39" s="3" t="s">
        <v>321</v>
      </c>
      <c r="H39" s="3" t="n">
        <v>663.25</v>
      </c>
      <c r="I39" s="4" t="n">
        <f aca="false">IF(AND(ISNUMBER(E39),ISNUMBER(H39)),ROUND(E39*H39,2),"")</f>
        <v>1326.5</v>
      </c>
      <c r="J39" s="3" t="s">
        <v>143</v>
      </c>
      <c r="K39" s="3" t="n">
        <v>23</v>
      </c>
      <c r="L39" s="4" t="n">
        <f aca="false">IF(AND(J39="PL23_ESTIMATE",ISNUMBER(I39)),ROUND(I39*K39/100,2),"")</f>
        <v>305.1</v>
      </c>
      <c r="M39" s="3"/>
      <c r="N39" s="4" t="n">
        <f aca="false">IF(J39="SOURCE_GROSS",IF(AND(ISNUMBER(E39),ISNUMBER(M39)),ROUND(E39*M39,2),""),IF(ISNUMBER(I39),ROUND(I39+L39,2),""))</f>
        <v>1631.6</v>
      </c>
      <c r="O39" s="3" t="s">
        <v>322</v>
      </c>
      <c r="P39" s="3" t="s">
        <v>323</v>
      </c>
      <c r="Q39" s="3" t="s">
        <v>218</v>
      </c>
      <c r="R39" s="7" t="s">
        <v>324</v>
      </c>
      <c r="S39" s="3" t="s">
        <v>148</v>
      </c>
    </row>
    <row r="40" customFormat="false" ht="69.75" hidden="false" customHeight="true" outlineLevel="0" collapsed="false">
      <c r="A40" s="2" t="s">
        <v>86</v>
      </c>
      <c r="B40" s="2" t="s">
        <v>325</v>
      </c>
      <c r="C40" s="2" t="s">
        <v>313</v>
      </c>
      <c r="D40" s="2" t="s">
        <v>326</v>
      </c>
      <c r="E40" s="2" t="n">
        <v>2</v>
      </c>
      <c r="F40" s="2" t="s">
        <v>251</v>
      </c>
      <c r="G40" s="2" t="s">
        <v>327</v>
      </c>
      <c r="H40" s="2" t="n">
        <v>4155.3</v>
      </c>
      <c r="I40" s="4" t="n">
        <f aca="false">IF(AND(ISNUMBER(E40),ISNUMBER(H40)),ROUND(E40*H40,2),"")</f>
        <v>8310.6</v>
      </c>
      <c r="J40" s="2" t="s">
        <v>143</v>
      </c>
      <c r="K40" s="2" t="n">
        <v>23</v>
      </c>
      <c r="L40" s="4" t="n">
        <f aca="false">IF(AND(J40="PL23_ESTIMATE",ISNUMBER(I40)),ROUND(I40*K40/100,2),"")</f>
        <v>1911.44</v>
      </c>
      <c r="M40" s="2"/>
      <c r="N40" s="4" t="n">
        <f aca="false">IF(J40="SOURCE_GROSS",IF(AND(ISNUMBER(E40),ISNUMBER(M40)),ROUND(E40*M40,2),""),IF(ISNUMBER(I40),ROUND(I40+L40,2),""))</f>
        <v>10222.04</v>
      </c>
      <c r="O40" s="2" t="s">
        <v>144</v>
      </c>
      <c r="P40" s="2" t="s">
        <v>328</v>
      </c>
      <c r="Q40" s="2" t="s">
        <v>146</v>
      </c>
      <c r="R40" s="6" t="s">
        <v>329</v>
      </c>
      <c r="S40" s="2" t="s">
        <v>148</v>
      </c>
    </row>
    <row r="41" customFormat="false" ht="69.75" hidden="false" customHeight="true" outlineLevel="0" collapsed="false">
      <c r="A41" s="3" t="s">
        <v>86</v>
      </c>
      <c r="B41" s="3" t="s">
        <v>330</v>
      </c>
      <c r="C41" s="3" t="s">
        <v>319</v>
      </c>
      <c r="D41" s="3" t="s">
        <v>320</v>
      </c>
      <c r="E41" s="3" t="n">
        <v>2</v>
      </c>
      <c r="F41" s="3" t="s">
        <v>251</v>
      </c>
      <c r="G41" s="3" t="s">
        <v>321</v>
      </c>
      <c r="H41" s="3" t="n">
        <v>663.25</v>
      </c>
      <c r="I41" s="4" t="n">
        <f aca="false">IF(AND(ISNUMBER(E41),ISNUMBER(H41)),ROUND(E41*H41,2),"")</f>
        <v>1326.5</v>
      </c>
      <c r="J41" s="3" t="s">
        <v>143</v>
      </c>
      <c r="K41" s="3" t="n">
        <v>23</v>
      </c>
      <c r="L41" s="4" t="n">
        <f aca="false">IF(AND(J41="PL23_ESTIMATE",ISNUMBER(I41)),ROUND(I41*K41/100,2),"")</f>
        <v>305.1</v>
      </c>
      <c r="M41" s="3"/>
      <c r="N41" s="4" t="n">
        <f aca="false">IF(J41="SOURCE_GROSS",IF(AND(ISNUMBER(E41),ISNUMBER(M41)),ROUND(E41*M41,2),""),IF(ISNUMBER(I41),ROUND(I41+L41,2),""))</f>
        <v>1631.6</v>
      </c>
      <c r="O41" s="3" t="s">
        <v>322</v>
      </c>
      <c r="P41" s="3" t="s">
        <v>323</v>
      </c>
      <c r="Q41" s="3" t="s">
        <v>218</v>
      </c>
      <c r="R41" s="7" t="s">
        <v>324</v>
      </c>
      <c r="S41" s="3" t="s">
        <v>148</v>
      </c>
    </row>
    <row r="42" customFormat="false" ht="69.75" hidden="false" customHeight="true" outlineLevel="0" collapsed="false">
      <c r="A42" s="2" t="s">
        <v>87</v>
      </c>
      <c r="B42" s="2" t="s">
        <v>331</v>
      </c>
      <c r="C42" s="2" t="s">
        <v>313</v>
      </c>
      <c r="D42" s="2" t="s">
        <v>332</v>
      </c>
      <c r="E42" s="2" t="n">
        <v>2</v>
      </c>
      <c r="F42" s="2" t="s">
        <v>251</v>
      </c>
      <c r="G42" s="2" t="s">
        <v>333</v>
      </c>
      <c r="H42" s="2"/>
      <c r="I42" s="4" t="str">
        <f aca="false">IF(AND(ISNUMBER(E42),ISNUMBER(H42)),ROUND(E42*H42,2),"")</f>
        <v/>
      </c>
      <c r="J42" s="2" t="s">
        <v>143</v>
      </c>
      <c r="K42" s="2" t="n">
        <v>23</v>
      </c>
      <c r="L42" s="4" t="str">
        <f aca="false">IF(AND(J42="PL23_ESTIMATE",ISNUMBER(I42)),ROUND(I42*K42/100,2),"")</f>
        <v/>
      </c>
      <c r="M42" s="2"/>
      <c r="N42" s="4" t="str">
        <f aca="false">IF(J42="SOURCE_GROSS",IF(AND(ISNUMBER(E42),ISNUMBER(M42)),ROUND(E42*M42,2),""),IF(ISNUMBER(I42),ROUND(I42+L42,2),""))</f>
        <v/>
      </c>
      <c r="O42" s="2" t="s">
        <v>144</v>
      </c>
      <c r="P42" s="2" t="s">
        <v>334</v>
      </c>
      <c r="Q42" s="2" t="s">
        <v>146</v>
      </c>
      <c r="R42" s="6" t="s">
        <v>335</v>
      </c>
      <c r="S42" s="2" t="s">
        <v>148</v>
      </c>
    </row>
    <row r="43" customFormat="false" ht="69.75" hidden="false" customHeight="true" outlineLevel="0" collapsed="false">
      <c r="A43" s="3" t="s">
        <v>87</v>
      </c>
      <c r="B43" s="3" t="s">
        <v>336</v>
      </c>
      <c r="C43" s="3" t="s">
        <v>319</v>
      </c>
      <c r="D43" s="3" t="s">
        <v>320</v>
      </c>
      <c r="E43" s="3" t="n">
        <v>2</v>
      </c>
      <c r="F43" s="3" t="s">
        <v>251</v>
      </c>
      <c r="G43" s="3" t="s">
        <v>321</v>
      </c>
      <c r="H43" s="3" t="n">
        <v>663.25</v>
      </c>
      <c r="I43" s="4" t="n">
        <f aca="false">IF(AND(ISNUMBER(E43),ISNUMBER(H43)),ROUND(E43*H43,2),"")</f>
        <v>1326.5</v>
      </c>
      <c r="J43" s="3" t="s">
        <v>143</v>
      </c>
      <c r="K43" s="3" t="n">
        <v>23</v>
      </c>
      <c r="L43" s="4" t="n">
        <f aca="false">IF(AND(J43="PL23_ESTIMATE",ISNUMBER(I43)),ROUND(I43*K43/100,2),"")</f>
        <v>305.1</v>
      </c>
      <c r="M43" s="3"/>
      <c r="N43" s="4" t="n">
        <f aca="false">IF(J43="SOURCE_GROSS",IF(AND(ISNUMBER(E43),ISNUMBER(M43)),ROUND(E43*M43,2),""),IF(ISNUMBER(I43),ROUND(I43+L43,2),""))</f>
        <v>1631.6</v>
      </c>
      <c r="O43" s="3" t="s">
        <v>322</v>
      </c>
      <c r="P43" s="3" t="s">
        <v>323</v>
      </c>
      <c r="Q43" s="3" t="s">
        <v>218</v>
      </c>
      <c r="R43" s="7" t="s">
        <v>324</v>
      </c>
      <c r="S43" s="3" t="s">
        <v>148</v>
      </c>
    </row>
    <row r="44" customFormat="false" ht="69.75" hidden="false" customHeight="true" outlineLevel="0" collapsed="false">
      <c r="A44" s="2" t="s">
        <v>88</v>
      </c>
      <c r="B44" s="2" t="s">
        <v>337</v>
      </c>
      <c r="C44" s="2" t="s">
        <v>338</v>
      </c>
      <c r="D44" s="2" t="s">
        <v>339</v>
      </c>
      <c r="E44" s="2" t="n">
        <v>1</v>
      </c>
      <c r="F44" s="2" t="s">
        <v>251</v>
      </c>
      <c r="G44" s="2" t="s">
        <v>340</v>
      </c>
      <c r="H44" s="2" t="n">
        <v>1848.66</v>
      </c>
      <c r="I44" s="4" t="n">
        <f aca="false">IF(AND(ISNUMBER(E44),ISNUMBER(H44)),ROUND(E44*H44,2),"")</f>
        <v>1848.66</v>
      </c>
      <c r="J44" s="2" t="s">
        <v>143</v>
      </c>
      <c r="K44" s="2" t="n">
        <v>23</v>
      </c>
      <c r="L44" s="4" t="n">
        <f aca="false">IF(AND(J44="PL23_ESTIMATE",ISNUMBER(I44)),ROUND(I44*K44/100,2),"")</f>
        <v>425.19</v>
      </c>
      <c r="M44" s="2"/>
      <c r="N44" s="4" t="n">
        <f aca="false">IF(J44="SOURCE_GROSS",IF(AND(ISNUMBER(E44),ISNUMBER(M44)),ROUND(E44*M44,2),""),IF(ISNUMBER(I44),ROUND(I44+L44,2),""))</f>
        <v>2273.85</v>
      </c>
      <c r="O44" s="2" t="s">
        <v>341</v>
      </c>
      <c r="P44" s="2" t="s">
        <v>342</v>
      </c>
      <c r="Q44" s="2" t="s">
        <v>218</v>
      </c>
      <c r="R44" s="6" t="s">
        <v>343</v>
      </c>
      <c r="S44" s="2" t="s">
        <v>148</v>
      </c>
    </row>
    <row r="45" customFormat="false" ht="69.75" hidden="false" customHeight="true" outlineLevel="0" collapsed="false">
      <c r="A45" s="3" t="s">
        <v>88</v>
      </c>
      <c r="B45" s="3" t="s">
        <v>344</v>
      </c>
      <c r="C45" s="3" t="s">
        <v>345</v>
      </c>
      <c r="D45" s="3" t="s">
        <v>346</v>
      </c>
      <c r="E45" s="3"/>
      <c r="F45" s="3" t="s">
        <v>251</v>
      </c>
      <c r="G45" s="3" t="s">
        <v>347</v>
      </c>
      <c r="H45" s="3" t="n">
        <v>95.06</v>
      </c>
      <c r="I45" s="4" t="str">
        <f aca="false">IF(AND(ISNUMBER(E45),ISNUMBER(H45)),ROUND(E45*H45,2),"")</f>
        <v/>
      </c>
      <c r="J45" s="3" t="s">
        <v>143</v>
      </c>
      <c r="K45" s="3" t="n">
        <v>23</v>
      </c>
      <c r="L45" s="4" t="str">
        <f aca="false">IF(AND(J45="PL23_ESTIMATE",ISNUMBER(I45)),ROUND(I45*K45/100,2),"")</f>
        <v/>
      </c>
      <c r="M45" s="3"/>
      <c r="N45" s="4" t="str">
        <f aca="false">IF(J45="SOURCE_GROSS",IF(AND(ISNUMBER(E45),ISNUMBER(M45)),ROUND(E45*M45,2),""),IF(ISNUMBER(I45),ROUND(I45+L45,2),""))</f>
        <v/>
      </c>
      <c r="O45" s="3" t="s">
        <v>144</v>
      </c>
      <c r="P45" s="3" t="s">
        <v>348</v>
      </c>
      <c r="Q45" s="3" t="s">
        <v>146</v>
      </c>
      <c r="R45" s="7" t="s">
        <v>349</v>
      </c>
      <c r="S45" s="3" t="s">
        <v>148</v>
      </c>
    </row>
    <row r="46" customFormat="false" ht="69.75" hidden="false" customHeight="true" outlineLevel="0" collapsed="false">
      <c r="A46" s="2" t="s">
        <v>88</v>
      </c>
      <c r="B46" s="2" t="s">
        <v>350</v>
      </c>
      <c r="C46" s="2" t="s">
        <v>351</v>
      </c>
      <c r="D46" s="2" t="s">
        <v>352</v>
      </c>
      <c r="E46" s="2" t="n">
        <v>2</v>
      </c>
      <c r="F46" s="2" t="s">
        <v>251</v>
      </c>
      <c r="G46" s="2" t="s">
        <v>353</v>
      </c>
      <c r="H46" s="2" t="n">
        <v>189.87</v>
      </c>
      <c r="I46" s="4" t="n">
        <f aca="false">IF(AND(ISNUMBER(E46),ISNUMBER(H46)),ROUND(E46*H46,2),"")</f>
        <v>379.74</v>
      </c>
      <c r="J46" s="2" t="s">
        <v>143</v>
      </c>
      <c r="K46" s="2" t="n">
        <v>23</v>
      </c>
      <c r="L46" s="4" t="n">
        <f aca="false">IF(AND(J46="PL23_ESTIMATE",ISNUMBER(I46)),ROUND(I46*K46/100,2),"")</f>
        <v>87.34</v>
      </c>
      <c r="M46" s="2"/>
      <c r="N46" s="4" t="n">
        <f aca="false">IF(J46="SOURCE_GROSS",IF(AND(ISNUMBER(E46),ISNUMBER(M46)),ROUND(E46*M46,2),""),IF(ISNUMBER(I46),ROUND(I46+L46,2),""))</f>
        <v>467.08</v>
      </c>
      <c r="O46" s="2" t="s">
        <v>354</v>
      </c>
      <c r="P46" s="2" t="s">
        <v>355</v>
      </c>
      <c r="Q46" s="2" t="s">
        <v>218</v>
      </c>
      <c r="R46" s="6" t="s">
        <v>356</v>
      </c>
      <c r="S46" s="2" t="s">
        <v>148</v>
      </c>
    </row>
    <row r="47" customFormat="false" ht="69.75" hidden="false" customHeight="true" outlineLevel="0" collapsed="false">
      <c r="A47" s="3" t="s">
        <v>88</v>
      </c>
      <c r="B47" s="3" t="s">
        <v>357</v>
      </c>
      <c r="C47" s="3" t="s">
        <v>358</v>
      </c>
      <c r="D47" s="3" t="s">
        <v>359</v>
      </c>
      <c r="E47" s="3" t="n">
        <v>1</v>
      </c>
      <c r="F47" s="3" t="s">
        <v>251</v>
      </c>
      <c r="G47" s="3" t="s">
        <v>360</v>
      </c>
      <c r="H47" s="3" t="n">
        <v>168.03</v>
      </c>
      <c r="I47" s="4" t="n">
        <f aca="false">IF(AND(ISNUMBER(E47),ISNUMBER(H47)),ROUND(E47*H47,2),"")</f>
        <v>168.03</v>
      </c>
      <c r="J47" s="3" t="s">
        <v>143</v>
      </c>
      <c r="K47" s="3" t="n">
        <v>23</v>
      </c>
      <c r="L47" s="4" t="n">
        <f aca="false">IF(AND(J47="PL23_ESTIMATE",ISNUMBER(I47)),ROUND(I47*K47/100,2),"")</f>
        <v>38.65</v>
      </c>
      <c r="M47" s="3"/>
      <c r="N47" s="4" t="n">
        <f aca="false">IF(J47="SOURCE_GROSS",IF(AND(ISNUMBER(E47),ISNUMBER(M47)),ROUND(E47*M47,2),""),IF(ISNUMBER(I47),ROUND(I47+L47,2),""))</f>
        <v>206.68</v>
      </c>
      <c r="O47" s="3" t="s">
        <v>361</v>
      </c>
      <c r="P47" s="3" t="s">
        <v>362</v>
      </c>
      <c r="Q47" s="3" t="s">
        <v>218</v>
      </c>
      <c r="R47" s="7" t="s">
        <v>363</v>
      </c>
      <c r="S47" s="3" t="s">
        <v>148</v>
      </c>
    </row>
    <row r="48" customFormat="false" ht="69.75" hidden="false" customHeight="true" outlineLevel="0" collapsed="false">
      <c r="A48" s="2" t="s">
        <v>93</v>
      </c>
      <c r="B48" s="2" t="s">
        <v>364</v>
      </c>
      <c r="C48" s="2" t="s">
        <v>338</v>
      </c>
      <c r="D48" s="2" t="s">
        <v>339</v>
      </c>
      <c r="E48" s="2" t="n">
        <v>1</v>
      </c>
      <c r="F48" s="2" t="s">
        <v>251</v>
      </c>
      <c r="G48" s="2" t="s">
        <v>340</v>
      </c>
      <c r="H48" s="2" t="n">
        <v>1848.66</v>
      </c>
      <c r="I48" s="4" t="n">
        <f aca="false">IF(AND(ISNUMBER(E48),ISNUMBER(H48)),ROUND(E48*H48,2),"")</f>
        <v>1848.66</v>
      </c>
      <c r="J48" s="2" t="s">
        <v>143</v>
      </c>
      <c r="K48" s="2" t="n">
        <v>23</v>
      </c>
      <c r="L48" s="4" t="n">
        <f aca="false">IF(AND(J48="PL23_ESTIMATE",ISNUMBER(I48)),ROUND(I48*K48/100,2),"")</f>
        <v>425.19</v>
      </c>
      <c r="M48" s="2"/>
      <c r="N48" s="4" t="n">
        <f aca="false">IF(J48="SOURCE_GROSS",IF(AND(ISNUMBER(E48),ISNUMBER(M48)),ROUND(E48*M48,2),""),IF(ISNUMBER(I48),ROUND(I48+L48,2),""))</f>
        <v>2273.85</v>
      </c>
      <c r="O48" s="2" t="s">
        <v>341</v>
      </c>
      <c r="P48" s="2" t="s">
        <v>342</v>
      </c>
      <c r="Q48" s="2" t="s">
        <v>218</v>
      </c>
      <c r="R48" s="6" t="s">
        <v>343</v>
      </c>
      <c r="S48" s="2" t="s">
        <v>148</v>
      </c>
    </row>
    <row r="49" customFormat="false" ht="69.75" hidden="false" customHeight="true" outlineLevel="0" collapsed="false">
      <c r="A49" s="3" t="s">
        <v>93</v>
      </c>
      <c r="B49" s="3" t="s">
        <v>365</v>
      </c>
      <c r="C49" s="3" t="s">
        <v>345</v>
      </c>
      <c r="D49" s="3" t="s">
        <v>366</v>
      </c>
      <c r="E49" s="3" t="n">
        <v>1</v>
      </c>
      <c r="F49" s="3" t="s">
        <v>251</v>
      </c>
      <c r="G49" s="3" t="s">
        <v>367</v>
      </c>
      <c r="H49" s="3" t="n">
        <v>164.46</v>
      </c>
      <c r="I49" s="4" t="n">
        <f aca="false">IF(AND(ISNUMBER(E49),ISNUMBER(H49)),ROUND(E49*H49,2),"")</f>
        <v>164.46</v>
      </c>
      <c r="J49" s="3" t="s">
        <v>143</v>
      </c>
      <c r="K49" s="3" t="n">
        <v>23</v>
      </c>
      <c r="L49" s="4" t="n">
        <f aca="false">IF(AND(J49="PL23_ESTIMATE",ISNUMBER(I49)),ROUND(I49*K49/100,2),"")</f>
        <v>37.83</v>
      </c>
      <c r="M49" s="3"/>
      <c r="N49" s="4" t="n">
        <f aca="false">IF(J49="SOURCE_GROSS",IF(AND(ISNUMBER(E49),ISNUMBER(M49)),ROUND(E49*M49,2),""),IF(ISNUMBER(I49),ROUND(I49+L49,2),""))</f>
        <v>202.29</v>
      </c>
      <c r="O49" s="3" t="s">
        <v>341</v>
      </c>
      <c r="P49" s="3" t="s">
        <v>368</v>
      </c>
      <c r="Q49" s="3" t="s">
        <v>218</v>
      </c>
      <c r="R49" s="7" t="s">
        <v>369</v>
      </c>
      <c r="S49" s="3" t="s">
        <v>148</v>
      </c>
    </row>
    <row r="50" customFormat="false" ht="69.75" hidden="false" customHeight="true" outlineLevel="0" collapsed="false">
      <c r="A50" s="2" t="s">
        <v>93</v>
      </c>
      <c r="B50" s="2" t="s">
        <v>370</v>
      </c>
      <c r="C50" s="2" t="s">
        <v>351</v>
      </c>
      <c r="D50" s="2" t="s">
        <v>352</v>
      </c>
      <c r="E50" s="2" t="n">
        <v>2</v>
      </c>
      <c r="F50" s="2" t="s">
        <v>251</v>
      </c>
      <c r="G50" s="2" t="s">
        <v>353</v>
      </c>
      <c r="H50" s="2" t="n">
        <v>189.87</v>
      </c>
      <c r="I50" s="4" t="n">
        <f aca="false">IF(AND(ISNUMBER(E50),ISNUMBER(H50)),ROUND(E50*H50,2),"")</f>
        <v>379.74</v>
      </c>
      <c r="J50" s="2" t="s">
        <v>143</v>
      </c>
      <c r="K50" s="2" t="n">
        <v>23</v>
      </c>
      <c r="L50" s="4" t="n">
        <f aca="false">IF(AND(J50="PL23_ESTIMATE",ISNUMBER(I50)),ROUND(I50*K50/100,2),"")</f>
        <v>87.34</v>
      </c>
      <c r="M50" s="2"/>
      <c r="N50" s="4" t="n">
        <f aca="false">IF(J50="SOURCE_GROSS",IF(AND(ISNUMBER(E50),ISNUMBER(M50)),ROUND(E50*M50,2),""),IF(ISNUMBER(I50),ROUND(I50+L50,2),""))</f>
        <v>467.08</v>
      </c>
      <c r="O50" s="2" t="s">
        <v>354</v>
      </c>
      <c r="P50" s="2" t="s">
        <v>355</v>
      </c>
      <c r="Q50" s="2" t="s">
        <v>218</v>
      </c>
      <c r="R50" s="6" t="s">
        <v>356</v>
      </c>
      <c r="S50" s="2" t="s">
        <v>148</v>
      </c>
    </row>
    <row r="51" customFormat="false" ht="69.75" hidden="false" customHeight="true" outlineLevel="0" collapsed="false">
      <c r="A51" s="3" t="s">
        <v>93</v>
      </c>
      <c r="B51" s="3" t="s">
        <v>371</v>
      </c>
      <c r="C51" s="3" t="s">
        <v>358</v>
      </c>
      <c r="D51" s="3" t="s">
        <v>359</v>
      </c>
      <c r="E51" s="3" t="n">
        <v>1</v>
      </c>
      <c r="F51" s="3" t="s">
        <v>251</v>
      </c>
      <c r="G51" s="3" t="s">
        <v>360</v>
      </c>
      <c r="H51" s="3" t="n">
        <v>168.03</v>
      </c>
      <c r="I51" s="4" t="n">
        <f aca="false">IF(AND(ISNUMBER(E51),ISNUMBER(H51)),ROUND(E51*H51,2),"")</f>
        <v>168.03</v>
      </c>
      <c r="J51" s="3" t="s">
        <v>143</v>
      </c>
      <c r="K51" s="3" t="n">
        <v>23</v>
      </c>
      <c r="L51" s="4" t="n">
        <f aca="false">IF(AND(J51="PL23_ESTIMATE",ISNUMBER(I51)),ROUND(I51*K51/100,2),"")</f>
        <v>38.65</v>
      </c>
      <c r="M51" s="3"/>
      <c r="N51" s="4" t="n">
        <f aca="false">IF(J51="SOURCE_GROSS",IF(AND(ISNUMBER(E51),ISNUMBER(M51)),ROUND(E51*M51,2),""),IF(ISNUMBER(I51),ROUND(I51+L51,2),""))</f>
        <v>206.68</v>
      </c>
      <c r="O51" s="3" t="s">
        <v>361</v>
      </c>
      <c r="P51" s="3" t="s">
        <v>362</v>
      </c>
      <c r="Q51" s="3" t="s">
        <v>218</v>
      </c>
      <c r="R51" s="7" t="s">
        <v>363</v>
      </c>
      <c r="S51" s="3" t="s">
        <v>148</v>
      </c>
    </row>
    <row r="52" customFormat="false" ht="69.75" hidden="false" customHeight="true" outlineLevel="0" collapsed="false">
      <c r="A52" s="2" t="s">
        <v>94</v>
      </c>
      <c r="B52" s="2" t="s">
        <v>372</v>
      </c>
      <c r="C52" s="2" t="s">
        <v>338</v>
      </c>
      <c r="D52" s="2" t="s">
        <v>339</v>
      </c>
      <c r="E52" s="2" t="n">
        <v>1</v>
      </c>
      <c r="F52" s="2" t="s">
        <v>251</v>
      </c>
      <c r="G52" s="2" t="s">
        <v>340</v>
      </c>
      <c r="H52" s="2" t="n">
        <v>1848.66</v>
      </c>
      <c r="I52" s="4" t="n">
        <f aca="false">IF(AND(ISNUMBER(E52),ISNUMBER(H52)),ROUND(E52*H52,2),"")</f>
        <v>1848.66</v>
      </c>
      <c r="J52" s="2" t="s">
        <v>143</v>
      </c>
      <c r="K52" s="2" t="n">
        <v>23</v>
      </c>
      <c r="L52" s="4" t="n">
        <f aca="false">IF(AND(J52="PL23_ESTIMATE",ISNUMBER(I52)),ROUND(I52*K52/100,2),"")</f>
        <v>425.19</v>
      </c>
      <c r="M52" s="2"/>
      <c r="N52" s="4" t="n">
        <f aca="false">IF(J52="SOURCE_GROSS",IF(AND(ISNUMBER(E52),ISNUMBER(M52)),ROUND(E52*M52,2),""),IF(ISNUMBER(I52),ROUND(I52+L52,2),""))</f>
        <v>2273.85</v>
      </c>
      <c r="O52" s="2" t="s">
        <v>341</v>
      </c>
      <c r="P52" s="2" t="s">
        <v>342</v>
      </c>
      <c r="Q52" s="2" t="s">
        <v>218</v>
      </c>
      <c r="R52" s="6" t="s">
        <v>343</v>
      </c>
      <c r="S52" s="2" t="s">
        <v>148</v>
      </c>
    </row>
    <row r="53" customFormat="false" ht="69.75" hidden="false" customHeight="true" outlineLevel="0" collapsed="false">
      <c r="A53" s="3" t="s">
        <v>94</v>
      </c>
      <c r="B53" s="3" t="s">
        <v>373</v>
      </c>
      <c r="C53" s="3" t="s">
        <v>345</v>
      </c>
      <c r="D53" s="3" t="s">
        <v>366</v>
      </c>
      <c r="E53" s="3" t="n">
        <v>1</v>
      </c>
      <c r="F53" s="3" t="s">
        <v>251</v>
      </c>
      <c r="G53" s="3" t="s">
        <v>367</v>
      </c>
      <c r="H53" s="3" t="n">
        <v>164.46</v>
      </c>
      <c r="I53" s="4" t="n">
        <f aca="false">IF(AND(ISNUMBER(E53),ISNUMBER(H53)),ROUND(E53*H53,2),"")</f>
        <v>164.46</v>
      </c>
      <c r="J53" s="3" t="s">
        <v>143</v>
      </c>
      <c r="K53" s="3" t="n">
        <v>23</v>
      </c>
      <c r="L53" s="4" t="n">
        <f aca="false">IF(AND(J53="PL23_ESTIMATE",ISNUMBER(I53)),ROUND(I53*K53/100,2),"")</f>
        <v>37.83</v>
      </c>
      <c r="M53" s="3"/>
      <c r="N53" s="4" t="n">
        <f aca="false">IF(J53="SOURCE_GROSS",IF(AND(ISNUMBER(E53),ISNUMBER(M53)),ROUND(E53*M53,2),""),IF(ISNUMBER(I53),ROUND(I53+L53,2),""))</f>
        <v>202.29</v>
      </c>
      <c r="O53" s="3" t="s">
        <v>341</v>
      </c>
      <c r="P53" s="3" t="s">
        <v>368</v>
      </c>
      <c r="Q53" s="3" t="s">
        <v>218</v>
      </c>
      <c r="R53" s="7" t="s">
        <v>369</v>
      </c>
      <c r="S53" s="3" t="s">
        <v>148</v>
      </c>
    </row>
    <row r="54" customFormat="false" ht="69.75" hidden="false" customHeight="true" outlineLevel="0" collapsed="false">
      <c r="A54" s="2" t="s">
        <v>94</v>
      </c>
      <c r="B54" s="2" t="s">
        <v>374</v>
      </c>
      <c r="C54" s="2" t="s">
        <v>351</v>
      </c>
      <c r="D54" s="2" t="s">
        <v>352</v>
      </c>
      <c r="E54" s="2" t="n">
        <v>2</v>
      </c>
      <c r="F54" s="2" t="s">
        <v>251</v>
      </c>
      <c r="G54" s="2" t="s">
        <v>353</v>
      </c>
      <c r="H54" s="2" t="n">
        <v>189.87</v>
      </c>
      <c r="I54" s="4" t="n">
        <f aca="false">IF(AND(ISNUMBER(E54),ISNUMBER(H54)),ROUND(E54*H54,2),"")</f>
        <v>379.74</v>
      </c>
      <c r="J54" s="2" t="s">
        <v>143</v>
      </c>
      <c r="K54" s="2" t="n">
        <v>23</v>
      </c>
      <c r="L54" s="4" t="n">
        <f aca="false">IF(AND(J54="PL23_ESTIMATE",ISNUMBER(I54)),ROUND(I54*K54/100,2),"")</f>
        <v>87.34</v>
      </c>
      <c r="M54" s="2"/>
      <c r="N54" s="4" t="n">
        <f aca="false">IF(J54="SOURCE_GROSS",IF(AND(ISNUMBER(E54),ISNUMBER(M54)),ROUND(E54*M54,2),""),IF(ISNUMBER(I54),ROUND(I54+L54,2),""))</f>
        <v>467.08</v>
      </c>
      <c r="O54" s="2" t="s">
        <v>354</v>
      </c>
      <c r="P54" s="2" t="s">
        <v>355</v>
      </c>
      <c r="Q54" s="2" t="s">
        <v>218</v>
      </c>
      <c r="R54" s="6" t="s">
        <v>356</v>
      </c>
      <c r="S54" s="2" t="s">
        <v>148</v>
      </c>
    </row>
    <row r="55" customFormat="false" ht="69.75" hidden="false" customHeight="true" outlineLevel="0" collapsed="false">
      <c r="A55" s="3" t="s">
        <v>94</v>
      </c>
      <c r="B55" s="3" t="s">
        <v>375</v>
      </c>
      <c r="C55" s="3" t="s">
        <v>358</v>
      </c>
      <c r="D55" s="3" t="s">
        <v>359</v>
      </c>
      <c r="E55" s="3" t="n">
        <v>1</v>
      </c>
      <c r="F55" s="3" t="s">
        <v>251</v>
      </c>
      <c r="G55" s="3" t="s">
        <v>360</v>
      </c>
      <c r="H55" s="3" t="n">
        <v>168.03</v>
      </c>
      <c r="I55" s="4" t="n">
        <f aca="false">IF(AND(ISNUMBER(E55),ISNUMBER(H55)),ROUND(E55*H55,2),"")</f>
        <v>168.03</v>
      </c>
      <c r="J55" s="3" t="s">
        <v>143</v>
      </c>
      <c r="K55" s="3" t="n">
        <v>23</v>
      </c>
      <c r="L55" s="4" t="n">
        <f aca="false">IF(AND(J55="PL23_ESTIMATE",ISNUMBER(I55)),ROUND(I55*K55/100,2),"")</f>
        <v>38.65</v>
      </c>
      <c r="M55" s="3"/>
      <c r="N55" s="4" t="n">
        <f aca="false">IF(J55="SOURCE_GROSS",IF(AND(ISNUMBER(E55),ISNUMBER(M55)),ROUND(E55*M55,2),""),IF(ISNUMBER(I55),ROUND(I55+L55,2),""))</f>
        <v>206.68</v>
      </c>
      <c r="O55" s="3" t="s">
        <v>361</v>
      </c>
      <c r="P55" s="3" t="s">
        <v>362</v>
      </c>
      <c r="Q55" s="3" t="s">
        <v>218</v>
      </c>
      <c r="R55" s="7" t="s">
        <v>363</v>
      </c>
      <c r="S55" s="3" t="s">
        <v>148</v>
      </c>
    </row>
    <row r="56" customFormat="false" ht="69.75" hidden="false" customHeight="true" outlineLevel="0" collapsed="false">
      <c r="A56" s="2" t="s">
        <v>95</v>
      </c>
      <c r="B56" s="2" t="s">
        <v>376</v>
      </c>
      <c r="C56" s="2" t="s">
        <v>377</v>
      </c>
      <c r="D56" s="2" t="s">
        <v>378</v>
      </c>
      <c r="E56" s="2" t="n">
        <v>2</v>
      </c>
      <c r="F56" s="2" t="s">
        <v>251</v>
      </c>
      <c r="G56" s="2" t="s">
        <v>379</v>
      </c>
      <c r="H56" s="2" t="n">
        <v>153.36</v>
      </c>
      <c r="I56" s="4" t="n">
        <f aca="false">IF(AND(ISNUMBER(E56),ISNUMBER(H56)),ROUND(E56*H56,2),"")</f>
        <v>306.72</v>
      </c>
      <c r="J56" s="2" t="s">
        <v>143</v>
      </c>
      <c r="K56" s="2" t="n">
        <v>23</v>
      </c>
      <c r="L56" s="4" t="n">
        <f aca="false">IF(AND(J56="PL23_ESTIMATE",ISNUMBER(I56)),ROUND(I56*K56/100,2),"")</f>
        <v>70.55</v>
      </c>
      <c r="M56" s="2"/>
      <c r="N56" s="4" t="n">
        <f aca="false">IF(J56="SOURCE_GROSS",IF(AND(ISNUMBER(E56),ISNUMBER(M56)),ROUND(E56*M56,2),""),IF(ISNUMBER(I56),ROUND(I56+L56,2),""))</f>
        <v>377.27</v>
      </c>
      <c r="O56" s="2" t="s">
        <v>380</v>
      </c>
      <c r="P56" s="2" t="s">
        <v>381</v>
      </c>
      <c r="Q56" s="2" t="s">
        <v>218</v>
      </c>
      <c r="R56" s="6" t="s">
        <v>382</v>
      </c>
      <c r="S56" s="2" t="s">
        <v>148</v>
      </c>
    </row>
    <row r="57" customFormat="false" ht="69.75" hidden="false" customHeight="true" outlineLevel="0" collapsed="false">
      <c r="A57" s="3" t="s">
        <v>95</v>
      </c>
      <c r="B57" s="3" t="s">
        <v>383</v>
      </c>
      <c r="C57" s="3" t="s">
        <v>377</v>
      </c>
      <c r="D57" s="3" t="s">
        <v>384</v>
      </c>
      <c r="E57" s="3" t="n">
        <v>1</v>
      </c>
      <c r="F57" s="3" t="s">
        <v>251</v>
      </c>
      <c r="G57" s="3" t="s">
        <v>385</v>
      </c>
      <c r="H57" s="3" t="n">
        <v>89.87</v>
      </c>
      <c r="I57" s="4" t="n">
        <f aca="false">IF(AND(ISNUMBER(E57),ISNUMBER(H57)),ROUND(E57*H57,2),"")</f>
        <v>89.87</v>
      </c>
      <c r="J57" s="3" t="s">
        <v>143</v>
      </c>
      <c r="K57" s="3" t="n">
        <v>23</v>
      </c>
      <c r="L57" s="4" t="n">
        <f aca="false">IF(AND(J57="PL23_ESTIMATE",ISNUMBER(I57)),ROUND(I57*K57/100,2),"")</f>
        <v>20.67</v>
      </c>
      <c r="M57" s="3"/>
      <c r="N57" s="4" t="n">
        <f aca="false">IF(J57="SOURCE_GROSS",IF(AND(ISNUMBER(E57),ISNUMBER(M57)),ROUND(E57*M57,2),""),IF(ISNUMBER(I57),ROUND(I57+L57,2),""))</f>
        <v>110.54</v>
      </c>
      <c r="O57" s="3" t="s">
        <v>361</v>
      </c>
      <c r="P57" s="3" t="s">
        <v>386</v>
      </c>
      <c r="Q57" s="3" t="s">
        <v>218</v>
      </c>
      <c r="R57" s="7" t="s">
        <v>387</v>
      </c>
      <c r="S57" s="3" t="s">
        <v>148</v>
      </c>
    </row>
    <row r="58" customFormat="false" ht="69.75" hidden="false" customHeight="true" outlineLevel="0" collapsed="false">
      <c r="A58" s="2" t="s">
        <v>95</v>
      </c>
      <c r="B58" s="2" t="s">
        <v>388</v>
      </c>
      <c r="C58" s="2" t="s">
        <v>377</v>
      </c>
      <c r="D58" s="2" t="s">
        <v>389</v>
      </c>
      <c r="E58" s="2" t="n">
        <v>2</v>
      </c>
      <c r="F58" s="2" t="s">
        <v>251</v>
      </c>
      <c r="G58" s="2" t="s">
        <v>390</v>
      </c>
      <c r="H58" s="2" t="n">
        <v>97.44</v>
      </c>
      <c r="I58" s="4" t="n">
        <f aca="false">IF(AND(ISNUMBER(E58),ISNUMBER(H58)),ROUND(E58*H58,2),"")</f>
        <v>194.88</v>
      </c>
      <c r="J58" s="2" t="s">
        <v>143</v>
      </c>
      <c r="K58" s="2" t="n">
        <v>23</v>
      </c>
      <c r="L58" s="4" t="n">
        <f aca="false">IF(AND(J58="PL23_ESTIMATE",ISNUMBER(I58)),ROUND(I58*K58/100,2),"")</f>
        <v>44.82</v>
      </c>
      <c r="M58" s="2"/>
      <c r="N58" s="4" t="n">
        <f aca="false">IF(J58="SOURCE_GROSS",IF(AND(ISNUMBER(E58),ISNUMBER(M58)),ROUND(E58*M58,2),""),IF(ISNUMBER(I58),ROUND(I58+L58,2),""))</f>
        <v>239.7</v>
      </c>
      <c r="O58" s="2" t="s">
        <v>380</v>
      </c>
      <c r="P58" s="2" t="s">
        <v>391</v>
      </c>
      <c r="Q58" s="2" t="s">
        <v>218</v>
      </c>
      <c r="R58" s="6" t="s">
        <v>392</v>
      </c>
      <c r="S58" s="2" t="s">
        <v>148</v>
      </c>
    </row>
    <row r="59" customFormat="false" ht="69.75" hidden="false" customHeight="true" outlineLevel="0" collapsed="false">
      <c r="A59" s="3" t="s">
        <v>95</v>
      </c>
      <c r="B59" s="3" t="s">
        <v>393</v>
      </c>
      <c r="C59" s="3" t="s">
        <v>394</v>
      </c>
      <c r="D59" s="3" t="s">
        <v>395</v>
      </c>
      <c r="E59" s="3" t="n">
        <v>1</v>
      </c>
      <c r="F59" s="3" t="s">
        <v>251</v>
      </c>
      <c r="G59" s="3" t="s">
        <v>396</v>
      </c>
      <c r="H59" s="3"/>
      <c r="I59" s="4" t="str">
        <f aca="false">IF(AND(ISNUMBER(E59),ISNUMBER(H59)),ROUND(E59*H59,2),"")</f>
        <v/>
      </c>
      <c r="J59" s="3" t="s">
        <v>153</v>
      </c>
      <c r="K59" s="3"/>
      <c r="L59" s="4" t="str">
        <f aca="false">IF(AND(J59="PL23_ESTIMATE",ISNUMBER(I59)),ROUND(I59*K59/100,2),"")</f>
        <v/>
      </c>
      <c r="M59" s="3" t="n">
        <v>4251.1</v>
      </c>
      <c r="N59" s="4" t="n">
        <f aca="false">IF(J59="SOURCE_GROSS",IF(AND(ISNUMBER(E59),ISNUMBER(M59)),ROUND(E59*M59,2),""),IF(ISNUMBER(I59),ROUND(I59+L59,2),""))</f>
        <v>4251.1</v>
      </c>
      <c r="O59" s="3" t="s">
        <v>397</v>
      </c>
      <c r="P59" s="3" t="s">
        <v>398</v>
      </c>
      <c r="Q59" s="3" t="s">
        <v>218</v>
      </c>
      <c r="R59" s="7" t="s">
        <v>399</v>
      </c>
      <c r="S59" s="3" t="s">
        <v>148</v>
      </c>
    </row>
    <row r="60" customFormat="false" ht="69.75" hidden="false" customHeight="true" outlineLevel="0" collapsed="false">
      <c r="A60" s="2" t="s">
        <v>100</v>
      </c>
      <c r="B60" s="2" t="s">
        <v>400</v>
      </c>
      <c r="C60" s="2" t="s">
        <v>377</v>
      </c>
      <c r="D60" s="2" t="s">
        <v>378</v>
      </c>
      <c r="E60" s="2" t="n">
        <v>2</v>
      </c>
      <c r="F60" s="2" t="s">
        <v>251</v>
      </c>
      <c r="G60" s="2" t="s">
        <v>379</v>
      </c>
      <c r="H60" s="2" t="n">
        <v>153.36</v>
      </c>
      <c r="I60" s="4" t="n">
        <f aca="false">IF(AND(ISNUMBER(E60),ISNUMBER(H60)),ROUND(E60*H60,2),"")</f>
        <v>306.72</v>
      </c>
      <c r="J60" s="2" t="s">
        <v>143</v>
      </c>
      <c r="K60" s="2" t="n">
        <v>23</v>
      </c>
      <c r="L60" s="4" t="n">
        <f aca="false">IF(AND(J60="PL23_ESTIMATE",ISNUMBER(I60)),ROUND(I60*K60/100,2),"")</f>
        <v>70.55</v>
      </c>
      <c r="M60" s="2"/>
      <c r="N60" s="4" t="n">
        <f aca="false">IF(J60="SOURCE_GROSS",IF(AND(ISNUMBER(E60),ISNUMBER(M60)),ROUND(E60*M60,2),""),IF(ISNUMBER(I60),ROUND(I60+L60,2),""))</f>
        <v>377.27</v>
      </c>
      <c r="O60" s="2" t="s">
        <v>380</v>
      </c>
      <c r="P60" s="2" t="s">
        <v>381</v>
      </c>
      <c r="Q60" s="2" t="s">
        <v>218</v>
      </c>
      <c r="R60" s="6" t="s">
        <v>382</v>
      </c>
      <c r="S60" s="2" t="s">
        <v>148</v>
      </c>
    </row>
    <row r="61" customFormat="false" ht="69.75" hidden="false" customHeight="true" outlineLevel="0" collapsed="false">
      <c r="A61" s="3" t="s">
        <v>100</v>
      </c>
      <c r="B61" s="3" t="s">
        <v>401</v>
      </c>
      <c r="C61" s="3" t="s">
        <v>377</v>
      </c>
      <c r="D61" s="3" t="s">
        <v>384</v>
      </c>
      <c r="E61" s="3" t="n">
        <v>1</v>
      </c>
      <c r="F61" s="3" t="s">
        <v>251</v>
      </c>
      <c r="G61" s="3" t="s">
        <v>385</v>
      </c>
      <c r="H61" s="3" t="n">
        <v>89.87</v>
      </c>
      <c r="I61" s="4" t="n">
        <f aca="false">IF(AND(ISNUMBER(E61),ISNUMBER(H61)),ROUND(E61*H61,2),"")</f>
        <v>89.87</v>
      </c>
      <c r="J61" s="3" t="s">
        <v>143</v>
      </c>
      <c r="K61" s="3" t="n">
        <v>23</v>
      </c>
      <c r="L61" s="4" t="n">
        <f aca="false">IF(AND(J61="PL23_ESTIMATE",ISNUMBER(I61)),ROUND(I61*K61/100,2),"")</f>
        <v>20.67</v>
      </c>
      <c r="M61" s="3"/>
      <c r="N61" s="4" t="n">
        <f aca="false">IF(J61="SOURCE_GROSS",IF(AND(ISNUMBER(E61),ISNUMBER(M61)),ROUND(E61*M61,2),""),IF(ISNUMBER(I61),ROUND(I61+L61,2),""))</f>
        <v>110.54</v>
      </c>
      <c r="O61" s="3" t="s">
        <v>361</v>
      </c>
      <c r="P61" s="3" t="s">
        <v>386</v>
      </c>
      <c r="Q61" s="3" t="s">
        <v>218</v>
      </c>
      <c r="R61" s="7" t="s">
        <v>387</v>
      </c>
      <c r="S61" s="3" t="s">
        <v>148</v>
      </c>
    </row>
    <row r="62" customFormat="false" ht="69.75" hidden="false" customHeight="true" outlineLevel="0" collapsed="false">
      <c r="A62" s="2" t="s">
        <v>100</v>
      </c>
      <c r="B62" s="2" t="s">
        <v>402</v>
      </c>
      <c r="C62" s="2" t="s">
        <v>377</v>
      </c>
      <c r="D62" s="2" t="s">
        <v>389</v>
      </c>
      <c r="E62" s="2" t="n">
        <v>2</v>
      </c>
      <c r="F62" s="2" t="s">
        <v>251</v>
      </c>
      <c r="G62" s="2" t="s">
        <v>390</v>
      </c>
      <c r="H62" s="2" t="n">
        <v>97.44</v>
      </c>
      <c r="I62" s="4" t="n">
        <f aca="false">IF(AND(ISNUMBER(E62),ISNUMBER(H62)),ROUND(E62*H62,2),"")</f>
        <v>194.88</v>
      </c>
      <c r="J62" s="2" t="s">
        <v>143</v>
      </c>
      <c r="K62" s="2" t="n">
        <v>23</v>
      </c>
      <c r="L62" s="4" t="n">
        <f aca="false">IF(AND(J62="PL23_ESTIMATE",ISNUMBER(I62)),ROUND(I62*K62/100,2),"")</f>
        <v>44.82</v>
      </c>
      <c r="M62" s="2"/>
      <c r="N62" s="4" t="n">
        <f aca="false">IF(J62="SOURCE_GROSS",IF(AND(ISNUMBER(E62),ISNUMBER(M62)),ROUND(E62*M62,2),""),IF(ISNUMBER(I62),ROUND(I62+L62,2),""))</f>
        <v>239.7</v>
      </c>
      <c r="O62" s="2" t="s">
        <v>380</v>
      </c>
      <c r="P62" s="2" t="s">
        <v>391</v>
      </c>
      <c r="Q62" s="2" t="s">
        <v>218</v>
      </c>
      <c r="R62" s="6" t="s">
        <v>392</v>
      </c>
      <c r="S62" s="2" t="s">
        <v>148</v>
      </c>
    </row>
    <row r="63" customFormat="false" ht="69.75" hidden="false" customHeight="true" outlineLevel="0" collapsed="false">
      <c r="A63" s="3" t="s">
        <v>100</v>
      </c>
      <c r="B63" s="3" t="s">
        <v>403</v>
      </c>
      <c r="C63" s="3" t="s">
        <v>394</v>
      </c>
      <c r="D63" s="3" t="s">
        <v>395</v>
      </c>
      <c r="E63" s="3" t="n">
        <v>1</v>
      </c>
      <c r="F63" s="3" t="s">
        <v>251</v>
      </c>
      <c r="G63" s="3" t="s">
        <v>396</v>
      </c>
      <c r="H63" s="3"/>
      <c r="I63" s="4" t="str">
        <f aca="false">IF(AND(ISNUMBER(E63),ISNUMBER(H63)),ROUND(E63*H63,2),"")</f>
        <v/>
      </c>
      <c r="J63" s="3" t="s">
        <v>153</v>
      </c>
      <c r="K63" s="3"/>
      <c r="L63" s="4" t="str">
        <f aca="false">IF(AND(J63="PL23_ESTIMATE",ISNUMBER(I63)),ROUND(I63*K63/100,2),"")</f>
        <v/>
      </c>
      <c r="M63" s="3" t="n">
        <v>4251.1</v>
      </c>
      <c r="N63" s="4" t="n">
        <f aca="false">IF(J63="SOURCE_GROSS",IF(AND(ISNUMBER(E63),ISNUMBER(M63)),ROUND(E63*M63,2),""),IF(ISNUMBER(I63),ROUND(I63+L63,2),""))</f>
        <v>4251.1</v>
      </c>
      <c r="O63" s="3" t="s">
        <v>397</v>
      </c>
      <c r="P63" s="3" t="s">
        <v>398</v>
      </c>
      <c r="Q63" s="3" t="s">
        <v>218</v>
      </c>
      <c r="R63" s="7" t="s">
        <v>399</v>
      </c>
      <c r="S63" s="3" t="s">
        <v>148</v>
      </c>
    </row>
    <row r="64" customFormat="false" ht="69.75" hidden="false" customHeight="true" outlineLevel="0" collapsed="false">
      <c r="A64" s="2" t="s">
        <v>101</v>
      </c>
      <c r="B64" s="2" t="s">
        <v>404</v>
      </c>
      <c r="C64" s="2" t="s">
        <v>377</v>
      </c>
      <c r="D64" s="2" t="s">
        <v>378</v>
      </c>
      <c r="E64" s="2" t="n">
        <v>2</v>
      </c>
      <c r="F64" s="2" t="s">
        <v>251</v>
      </c>
      <c r="G64" s="2" t="s">
        <v>379</v>
      </c>
      <c r="H64" s="2" t="n">
        <v>153.36</v>
      </c>
      <c r="I64" s="4" t="n">
        <f aca="false">IF(AND(ISNUMBER(E64),ISNUMBER(H64)),ROUND(E64*H64,2),"")</f>
        <v>306.72</v>
      </c>
      <c r="J64" s="2" t="s">
        <v>143</v>
      </c>
      <c r="K64" s="2" t="n">
        <v>23</v>
      </c>
      <c r="L64" s="4" t="n">
        <f aca="false">IF(AND(J64="PL23_ESTIMATE",ISNUMBER(I64)),ROUND(I64*K64/100,2),"")</f>
        <v>70.55</v>
      </c>
      <c r="M64" s="2"/>
      <c r="N64" s="4" t="n">
        <f aca="false">IF(J64="SOURCE_GROSS",IF(AND(ISNUMBER(E64),ISNUMBER(M64)),ROUND(E64*M64,2),""),IF(ISNUMBER(I64),ROUND(I64+L64,2),""))</f>
        <v>377.27</v>
      </c>
      <c r="O64" s="2" t="s">
        <v>380</v>
      </c>
      <c r="P64" s="2" t="s">
        <v>381</v>
      </c>
      <c r="Q64" s="2" t="s">
        <v>218</v>
      </c>
      <c r="R64" s="6" t="s">
        <v>382</v>
      </c>
      <c r="S64" s="2" t="s">
        <v>148</v>
      </c>
    </row>
    <row r="65" customFormat="false" ht="69.75" hidden="false" customHeight="true" outlineLevel="0" collapsed="false">
      <c r="A65" s="3" t="s">
        <v>101</v>
      </c>
      <c r="B65" s="3" t="s">
        <v>405</v>
      </c>
      <c r="C65" s="3" t="s">
        <v>377</v>
      </c>
      <c r="D65" s="3" t="s">
        <v>384</v>
      </c>
      <c r="E65" s="3" t="n">
        <v>1</v>
      </c>
      <c r="F65" s="3" t="s">
        <v>251</v>
      </c>
      <c r="G65" s="3" t="s">
        <v>385</v>
      </c>
      <c r="H65" s="3" t="n">
        <v>89.87</v>
      </c>
      <c r="I65" s="4" t="n">
        <f aca="false">IF(AND(ISNUMBER(E65),ISNUMBER(H65)),ROUND(E65*H65,2),"")</f>
        <v>89.87</v>
      </c>
      <c r="J65" s="3" t="s">
        <v>143</v>
      </c>
      <c r="K65" s="3" t="n">
        <v>23</v>
      </c>
      <c r="L65" s="4" t="n">
        <f aca="false">IF(AND(J65="PL23_ESTIMATE",ISNUMBER(I65)),ROUND(I65*K65/100,2),"")</f>
        <v>20.67</v>
      </c>
      <c r="M65" s="3"/>
      <c r="N65" s="4" t="n">
        <f aca="false">IF(J65="SOURCE_GROSS",IF(AND(ISNUMBER(E65),ISNUMBER(M65)),ROUND(E65*M65,2),""),IF(ISNUMBER(I65),ROUND(I65+L65,2),""))</f>
        <v>110.54</v>
      </c>
      <c r="O65" s="3" t="s">
        <v>361</v>
      </c>
      <c r="P65" s="3" t="s">
        <v>386</v>
      </c>
      <c r="Q65" s="3" t="s">
        <v>218</v>
      </c>
      <c r="R65" s="7" t="s">
        <v>387</v>
      </c>
      <c r="S65" s="3" t="s">
        <v>148</v>
      </c>
    </row>
    <row r="66" customFormat="false" ht="69.75" hidden="false" customHeight="true" outlineLevel="0" collapsed="false">
      <c r="A66" s="2" t="s">
        <v>101</v>
      </c>
      <c r="B66" s="2" t="s">
        <v>406</v>
      </c>
      <c r="C66" s="2" t="s">
        <v>377</v>
      </c>
      <c r="D66" s="2" t="s">
        <v>389</v>
      </c>
      <c r="E66" s="2" t="n">
        <v>2</v>
      </c>
      <c r="F66" s="2" t="s">
        <v>251</v>
      </c>
      <c r="G66" s="2" t="s">
        <v>390</v>
      </c>
      <c r="H66" s="2" t="n">
        <v>97.44</v>
      </c>
      <c r="I66" s="4" t="n">
        <f aca="false">IF(AND(ISNUMBER(E66),ISNUMBER(H66)),ROUND(E66*H66,2),"")</f>
        <v>194.88</v>
      </c>
      <c r="J66" s="2" t="s">
        <v>143</v>
      </c>
      <c r="K66" s="2" t="n">
        <v>23</v>
      </c>
      <c r="L66" s="4" t="n">
        <f aca="false">IF(AND(J66="PL23_ESTIMATE",ISNUMBER(I66)),ROUND(I66*K66/100,2),"")</f>
        <v>44.82</v>
      </c>
      <c r="M66" s="2"/>
      <c r="N66" s="4" t="n">
        <f aca="false">IF(J66="SOURCE_GROSS",IF(AND(ISNUMBER(E66),ISNUMBER(M66)),ROUND(E66*M66,2),""),IF(ISNUMBER(I66),ROUND(I66+L66,2),""))</f>
        <v>239.7</v>
      </c>
      <c r="O66" s="2" t="s">
        <v>380</v>
      </c>
      <c r="P66" s="2" t="s">
        <v>391</v>
      </c>
      <c r="Q66" s="2" t="s">
        <v>218</v>
      </c>
      <c r="R66" s="6" t="s">
        <v>392</v>
      </c>
      <c r="S66" s="2" t="s">
        <v>148</v>
      </c>
    </row>
    <row r="67" customFormat="false" ht="69.75" hidden="false" customHeight="true" outlineLevel="0" collapsed="false">
      <c r="A67" s="3" t="s">
        <v>101</v>
      </c>
      <c r="B67" s="3" t="s">
        <v>407</v>
      </c>
      <c r="C67" s="3" t="s">
        <v>394</v>
      </c>
      <c r="D67" s="3" t="s">
        <v>395</v>
      </c>
      <c r="E67" s="3" t="n">
        <v>1</v>
      </c>
      <c r="F67" s="3" t="s">
        <v>251</v>
      </c>
      <c r="G67" s="3" t="s">
        <v>396</v>
      </c>
      <c r="H67" s="3"/>
      <c r="I67" s="4" t="str">
        <f aca="false">IF(AND(ISNUMBER(E67),ISNUMBER(H67)),ROUND(E67*H67,2),"")</f>
        <v/>
      </c>
      <c r="J67" s="3" t="s">
        <v>153</v>
      </c>
      <c r="K67" s="3"/>
      <c r="L67" s="4" t="str">
        <f aca="false">IF(AND(J67="PL23_ESTIMATE",ISNUMBER(I67)),ROUND(I67*K67/100,2),"")</f>
        <v/>
      </c>
      <c r="M67" s="3" t="n">
        <v>4251.1</v>
      </c>
      <c r="N67" s="4" t="n">
        <f aca="false">IF(J67="SOURCE_GROSS",IF(AND(ISNUMBER(E67),ISNUMBER(M67)),ROUND(E67*M67,2),""),IF(ISNUMBER(I67),ROUND(I67+L67,2),""))</f>
        <v>4251.1</v>
      </c>
      <c r="O67" s="3" t="s">
        <v>397</v>
      </c>
      <c r="P67" s="3" t="s">
        <v>398</v>
      </c>
      <c r="Q67" s="3" t="s">
        <v>218</v>
      </c>
      <c r="R67" s="7" t="s">
        <v>399</v>
      </c>
      <c r="S67" s="3" t="s">
        <v>148</v>
      </c>
    </row>
    <row r="68" customFormat="false" ht="69.75" hidden="false" customHeight="true" outlineLevel="0" collapsed="false">
      <c r="A68" s="2" t="s">
        <v>102</v>
      </c>
      <c r="B68" s="2" t="s">
        <v>408</v>
      </c>
      <c r="C68" s="2" t="s">
        <v>409</v>
      </c>
      <c r="D68" s="2" t="s">
        <v>410</v>
      </c>
      <c r="E68" s="2" t="n">
        <v>5</v>
      </c>
      <c r="F68" s="2" t="s">
        <v>251</v>
      </c>
      <c r="G68" s="2" t="s">
        <v>411</v>
      </c>
      <c r="H68" s="2" t="n">
        <v>71.78</v>
      </c>
      <c r="I68" s="4" t="n">
        <f aca="false">IF(AND(ISNUMBER(E68),ISNUMBER(H68)),ROUND(E68*H68,2),"")</f>
        <v>358.9</v>
      </c>
      <c r="J68" s="2" t="s">
        <v>143</v>
      </c>
      <c r="K68" s="2" t="n">
        <v>23</v>
      </c>
      <c r="L68" s="4" t="n">
        <f aca="false">IF(AND(J68="PL23_ESTIMATE",ISNUMBER(I68)),ROUND(I68*K68/100,2),"")</f>
        <v>82.55</v>
      </c>
      <c r="M68" s="2"/>
      <c r="N68" s="4" t="n">
        <f aca="false">IF(J68="SOURCE_GROSS",IF(AND(ISNUMBER(E68),ISNUMBER(M68)),ROUND(E68*M68,2),""),IF(ISNUMBER(I68),ROUND(I68+L68,2),""))</f>
        <v>441.45</v>
      </c>
      <c r="O68" s="2" t="s">
        <v>412</v>
      </c>
      <c r="P68" s="2" t="s">
        <v>413</v>
      </c>
      <c r="Q68" s="2" t="s">
        <v>146</v>
      </c>
      <c r="R68" s="6" t="s">
        <v>414</v>
      </c>
      <c r="S68" s="2" t="s">
        <v>148</v>
      </c>
    </row>
    <row r="69" customFormat="false" ht="69.75" hidden="false" customHeight="true" outlineLevel="0" collapsed="false">
      <c r="A69" s="3" t="s">
        <v>102</v>
      </c>
      <c r="B69" s="3" t="s">
        <v>415</v>
      </c>
      <c r="C69" s="3" t="s">
        <v>416</v>
      </c>
      <c r="D69" s="3" t="s">
        <v>417</v>
      </c>
      <c r="E69" s="3" t="n">
        <v>1</v>
      </c>
      <c r="F69" s="3" t="s">
        <v>251</v>
      </c>
      <c r="G69" s="3" t="s">
        <v>418</v>
      </c>
      <c r="H69" s="3" t="n">
        <v>210.04</v>
      </c>
      <c r="I69" s="4" t="n">
        <f aca="false">IF(AND(ISNUMBER(E69),ISNUMBER(H69)),ROUND(E69*H69,2),"")</f>
        <v>210.04</v>
      </c>
      <c r="J69" s="3" t="s">
        <v>143</v>
      </c>
      <c r="K69" s="3" t="n">
        <v>23</v>
      </c>
      <c r="L69" s="4" t="n">
        <f aca="false">IF(AND(J69="PL23_ESTIMATE",ISNUMBER(I69)),ROUND(I69*K69/100,2),"")</f>
        <v>48.31</v>
      </c>
      <c r="M69" s="3"/>
      <c r="N69" s="4" t="n">
        <f aca="false">IF(J69="SOURCE_GROSS",IF(AND(ISNUMBER(E69),ISNUMBER(M69)),ROUND(E69*M69,2),""),IF(ISNUMBER(I69),ROUND(I69+L69,2),""))</f>
        <v>258.35</v>
      </c>
      <c r="O69" s="3" t="s">
        <v>361</v>
      </c>
      <c r="P69" s="3" t="s">
        <v>419</v>
      </c>
      <c r="Q69" s="3" t="s">
        <v>218</v>
      </c>
      <c r="R69" s="7" t="s">
        <v>420</v>
      </c>
      <c r="S69" s="3" t="s">
        <v>148</v>
      </c>
    </row>
    <row r="70" customFormat="false" ht="69.75" hidden="false" customHeight="true" outlineLevel="0" collapsed="false">
      <c r="A70" s="2" t="s">
        <v>107</v>
      </c>
      <c r="B70" s="2" t="s">
        <v>421</v>
      </c>
      <c r="C70" s="2" t="s">
        <v>409</v>
      </c>
      <c r="D70" s="2" t="s">
        <v>422</v>
      </c>
      <c r="E70" s="2" t="n">
        <v>5</v>
      </c>
      <c r="F70" s="2" t="s">
        <v>251</v>
      </c>
      <c r="G70" s="2" t="s">
        <v>423</v>
      </c>
      <c r="H70" s="2" t="n">
        <v>187.69</v>
      </c>
      <c r="I70" s="4" t="n">
        <f aca="false">IF(AND(ISNUMBER(E70),ISNUMBER(H70)),ROUND(E70*H70,2),"")</f>
        <v>938.45</v>
      </c>
      <c r="J70" s="2" t="s">
        <v>143</v>
      </c>
      <c r="K70" s="2" t="n">
        <v>23</v>
      </c>
      <c r="L70" s="4" t="n">
        <f aca="false">IF(AND(J70="PL23_ESTIMATE",ISNUMBER(I70)),ROUND(I70*K70/100,2),"")</f>
        <v>215.84</v>
      </c>
      <c r="M70" s="2"/>
      <c r="N70" s="4" t="n">
        <f aca="false">IF(J70="SOURCE_GROSS",IF(AND(ISNUMBER(E70),ISNUMBER(M70)),ROUND(E70*M70,2),""),IF(ISNUMBER(I70),ROUND(I70+L70,2),""))</f>
        <v>1154.29</v>
      </c>
      <c r="O70" s="2" t="s">
        <v>412</v>
      </c>
      <c r="P70" s="2" t="s">
        <v>424</v>
      </c>
      <c r="Q70" s="2" t="s">
        <v>146</v>
      </c>
      <c r="R70" s="6" t="s">
        <v>414</v>
      </c>
      <c r="S70" s="2" t="s">
        <v>148</v>
      </c>
    </row>
    <row r="71" customFormat="false" ht="69.75" hidden="false" customHeight="true" outlineLevel="0" collapsed="false">
      <c r="A71" s="3" t="s">
        <v>107</v>
      </c>
      <c r="B71" s="3" t="s">
        <v>425</v>
      </c>
      <c r="C71" s="3" t="s">
        <v>416</v>
      </c>
      <c r="D71" s="3" t="s">
        <v>417</v>
      </c>
      <c r="E71" s="3" t="n">
        <v>1</v>
      </c>
      <c r="F71" s="3" t="s">
        <v>251</v>
      </c>
      <c r="G71" s="3" t="s">
        <v>418</v>
      </c>
      <c r="H71" s="3" t="n">
        <v>210.04</v>
      </c>
      <c r="I71" s="4" t="n">
        <f aca="false">IF(AND(ISNUMBER(E71),ISNUMBER(H71)),ROUND(E71*H71,2),"")</f>
        <v>210.04</v>
      </c>
      <c r="J71" s="3" t="s">
        <v>143</v>
      </c>
      <c r="K71" s="3" t="n">
        <v>23</v>
      </c>
      <c r="L71" s="4" t="n">
        <f aca="false">IF(AND(J71="PL23_ESTIMATE",ISNUMBER(I71)),ROUND(I71*K71/100,2),"")</f>
        <v>48.31</v>
      </c>
      <c r="M71" s="3"/>
      <c r="N71" s="4" t="n">
        <f aca="false">IF(J71="SOURCE_GROSS",IF(AND(ISNUMBER(E71),ISNUMBER(M71)),ROUND(E71*M71,2),""),IF(ISNUMBER(I71),ROUND(I71+L71,2),""))</f>
        <v>258.35</v>
      </c>
      <c r="O71" s="3" t="s">
        <v>361</v>
      </c>
      <c r="P71" s="3" t="s">
        <v>419</v>
      </c>
      <c r="Q71" s="3" t="s">
        <v>218</v>
      </c>
      <c r="R71" s="7" t="s">
        <v>420</v>
      </c>
      <c r="S71" s="3" t="s">
        <v>148</v>
      </c>
    </row>
    <row r="72" customFormat="false" ht="69.75" hidden="false" customHeight="true" outlineLevel="0" collapsed="false">
      <c r="A72" s="2" t="s">
        <v>108</v>
      </c>
      <c r="B72" s="2" t="s">
        <v>426</v>
      </c>
      <c r="C72" s="2" t="s">
        <v>409</v>
      </c>
      <c r="D72" s="2" t="s">
        <v>422</v>
      </c>
      <c r="E72" s="2" t="n">
        <v>5</v>
      </c>
      <c r="F72" s="2" t="s">
        <v>251</v>
      </c>
      <c r="G72" s="2" t="s">
        <v>423</v>
      </c>
      <c r="H72" s="2" t="n">
        <v>187.69</v>
      </c>
      <c r="I72" s="4" t="n">
        <f aca="false">IF(AND(ISNUMBER(E72),ISNUMBER(H72)),ROUND(E72*H72,2),"")</f>
        <v>938.45</v>
      </c>
      <c r="J72" s="2" t="s">
        <v>143</v>
      </c>
      <c r="K72" s="2" t="n">
        <v>23</v>
      </c>
      <c r="L72" s="4" t="n">
        <f aca="false">IF(AND(J72="PL23_ESTIMATE",ISNUMBER(I72)),ROUND(I72*K72/100,2),"")</f>
        <v>215.84</v>
      </c>
      <c r="M72" s="2"/>
      <c r="N72" s="4" t="n">
        <f aca="false">IF(J72="SOURCE_GROSS",IF(AND(ISNUMBER(E72),ISNUMBER(M72)),ROUND(E72*M72,2),""),IF(ISNUMBER(I72),ROUND(I72+L72,2),""))</f>
        <v>1154.29</v>
      </c>
      <c r="O72" s="2" t="s">
        <v>412</v>
      </c>
      <c r="P72" s="2" t="s">
        <v>424</v>
      </c>
      <c r="Q72" s="2" t="s">
        <v>146</v>
      </c>
      <c r="R72" s="6" t="s">
        <v>414</v>
      </c>
      <c r="S72" s="2" t="s">
        <v>148</v>
      </c>
    </row>
    <row r="73" customFormat="false" ht="69.75" hidden="false" customHeight="true" outlineLevel="0" collapsed="false">
      <c r="A73" s="3" t="s">
        <v>108</v>
      </c>
      <c r="B73" s="3" t="s">
        <v>427</v>
      </c>
      <c r="C73" s="3" t="s">
        <v>416</v>
      </c>
      <c r="D73" s="3" t="s">
        <v>417</v>
      </c>
      <c r="E73" s="3" t="n">
        <v>1</v>
      </c>
      <c r="F73" s="3" t="s">
        <v>251</v>
      </c>
      <c r="G73" s="3" t="s">
        <v>418</v>
      </c>
      <c r="H73" s="3" t="n">
        <v>210.04</v>
      </c>
      <c r="I73" s="4" t="n">
        <f aca="false">IF(AND(ISNUMBER(E73),ISNUMBER(H73)),ROUND(E73*H73,2),"")</f>
        <v>210.04</v>
      </c>
      <c r="J73" s="3" t="s">
        <v>143</v>
      </c>
      <c r="K73" s="3" t="n">
        <v>23</v>
      </c>
      <c r="L73" s="4" t="n">
        <f aca="false">IF(AND(J73="PL23_ESTIMATE",ISNUMBER(I73)),ROUND(I73*K73/100,2),"")</f>
        <v>48.31</v>
      </c>
      <c r="M73" s="3"/>
      <c r="N73" s="4" t="n">
        <f aca="false">IF(J73="SOURCE_GROSS",IF(AND(ISNUMBER(E73),ISNUMBER(M73)),ROUND(E73*M73,2),""),IF(ISNUMBER(I73),ROUND(I73+L73,2),""))</f>
        <v>258.35</v>
      </c>
      <c r="O73" s="3" t="s">
        <v>361</v>
      </c>
      <c r="P73" s="3" t="s">
        <v>419</v>
      </c>
      <c r="Q73" s="3" t="s">
        <v>218</v>
      </c>
      <c r="R73" s="7" t="s">
        <v>420</v>
      </c>
      <c r="S73" s="3" t="s">
        <v>148</v>
      </c>
    </row>
    <row r="74" customFormat="false" ht="69.75" hidden="false" customHeight="true" outlineLevel="0" collapsed="false">
      <c r="A74" s="2" t="s">
        <v>31</v>
      </c>
      <c r="B74" s="2" t="s">
        <v>428</v>
      </c>
      <c r="C74" s="2" t="s">
        <v>429</v>
      </c>
      <c r="D74" s="2" t="s">
        <v>430</v>
      </c>
      <c r="E74" s="2" t="n">
        <v>1</v>
      </c>
      <c r="F74" s="2" t="s">
        <v>251</v>
      </c>
      <c r="G74" s="2" t="s">
        <v>431</v>
      </c>
      <c r="H74" s="2" t="n">
        <v>647.02</v>
      </c>
      <c r="I74" s="4" t="n">
        <f aca="false">IF(AND(ISNUMBER(E74),ISNUMBER(H74)),ROUND(E74*H74,2),"")</f>
        <v>647.02</v>
      </c>
      <c r="J74" s="2" t="s">
        <v>143</v>
      </c>
      <c r="K74" s="2" t="n">
        <v>23</v>
      </c>
      <c r="L74" s="4" t="n">
        <f aca="false">IF(AND(J74="PL23_ESTIMATE",ISNUMBER(I74)),ROUND(I74*K74/100,2),"")</f>
        <v>148.81</v>
      </c>
      <c r="M74" s="2"/>
      <c r="N74" s="4" t="n">
        <f aca="false">IF(J74="SOURCE_GROSS",IF(AND(ISNUMBER(E74),ISNUMBER(M74)),ROUND(E74*M74,2),""),IF(ISNUMBER(I74),ROUND(I74+L74,2),""))</f>
        <v>795.83</v>
      </c>
      <c r="O74" s="2" t="s">
        <v>432</v>
      </c>
      <c r="P74" s="2" t="s">
        <v>433</v>
      </c>
      <c r="Q74" s="2" t="s">
        <v>218</v>
      </c>
      <c r="R74" s="6" t="s">
        <v>434</v>
      </c>
      <c r="S74" s="2" t="s">
        <v>148</v>
      </c>
    </row>
    <row r="75" customFormat="false" ht="69.75" hidden="false" customHeight="true" outlineLevel="0" collapsed="false">
      <c r="A75" s="3" t="s">
        <v>37</v>
      </c>
      <c r="B75" s="3" t="s">
        <v>435</v>
      </c>
      <c r="C75" s="3" t="s">
        <v>429</v>
      </c>
      <c r="D75" s="3" t="s">
        <v>430</v>
      </c>
      <c r="E75" s="3" t="n">
        <v>1</v>
      </c>
      <c r="F75" s="3" t="s">
        <v>251</v>
      </c>
      <c r="G75" s="3" t="s">
        <v>431</v>
      </c>
      <c r="H75" s="3" t="n">
        <v>647.02</v>
      </c>
      <c r="I75" s="4" t="n">
        <f aca="false">IF(AND(ISNUMBER(E75),ISNUMBER(H75)),ROUND(E75*H75,2),"")</f>
        <v>647.02</v>
      </c>
      <c r="J75" s="3" t="s">
        <v>143</v>
      </c>
      <c r="K75" s="3" t="n">
        <v>23</v>
      </c>
      <c r="L75" s="4" t="n">
        <f aca="false">IF(AND(J75="PL23_ESTIMATE",ISNUMBER(I75)),ROUND(I75*K75/100,2),"")</f>
        <v>148.81</v>
      </c>
      <c r="M75" s="3"/>
      <c r="N75" s="4" t="n">
        <f aca="false">IF(J75="SOURCE_GROSS",IF(AND(ISNUMBER(E75),ISNUMBER(M75)),ROUND(E75*M75,2),""),IF(ISNUMBER(I75),ROUND(I75+L75,2),""))</f>
        <v>795.83</v>
      </c>
      <c r="O75" s="3" t="s">
        <v>432</v>
      </c>
      <c r="P75" s="3" t="s">
        <v>433</v>
      </c>
      <c r="Q75" s="3" t="s">
        <v>218</v>
      </c>
      <c r="R75" s="7" t="s">
        <v>434</v>
      </c>
      <c r="S75" s="3" t="s">
        <v>148</v>
      </c>
    </row>
    <row r="76" customFormat="false" ht="69.75" hidden="false" customHeight="true" outlineLevel="0" collapsed="false">
      <c r="A76" s="2" t="s">
        <v>38</v>
      </c>
      <c r="B76" s="2" t="s">
        <v>436</v>
      </c>
      <c r="C76" s="2" t="s">
        <v>429</v>
      </c>
      <c r="D76" s="2" t="s">
        <v>430</v>
      </c>
      <c r="E76" s="2" t="n">
        <v>1</v>
      </c>
      <c r="F76" s="2" t="s">
        <v>251</v>
      </c>
      <c r="G76" s="2" t="s">
        <v>431</v>
      </c>
      <c r="H76" s="2" t="n">
        <v>647.02</v>
      </c>
      <c r="I76" s="4" t="n">
        <f aca="false">IF(AND(ISNUMBER(E76),ISNUMBER(H76)),ROUND(E76*H76,2),"")</f>
        <v>647.02</v>
      </c>
      <c r="J76" s="2" t="s">
        <v>143</v>
      </c>
      <c r="K76" s="2" t="n">
        <v>23</v>
      </c>
      <c r="L76" s="4" t="n">
        <f aca="false">IF(AND(J76="PL23_ESTIMATE",ISNUMBER(I76)),ROUND(I76*K76/100,2),"")</f>
        <v>148.81</v>
      </c>
      <c r="M76" s="2"/>
      <c r="N76" s="4" t="n">
        <f aca="false">IF(J76="SOURCE_GROSS",IF(AND(ISNUMBER(E76),ISNUMBER(M76)),ROUND(E76*M76,2),""),IF(ISNUMBER(I76),ROUND(I76+L76,2),""))</f>
        <v>795.83</v>
      </c>
      <c r="O76" s="2" t="s">
        <v>432</v>
      </c>
      <c r="P76" s="2" t="s">
        <v>433</v>
      </c>
      <c r="Q76" s="2" t="s">
        <v>218</v>
      </c>
      <c r="R76" s="6" t="s">
        <v>434</v>
      </c>
      <c r="S76" s="2" t="s">
        <v>148</v>
      </c>
    </row>
    <row r="77" customFormat="false" ht="69.75" hidden="false" customHeight="true" outlineLevel="0" collapsed="false">
      <c r="A77" s="3" t="s">
        <v>46</v>
      </c>
      <c r="B77" s="3" t="s">
        <v>437</v>
      </c>
      <c r="C77" s="3" t="s">
        <v>438</v>
      </c>
      <c r="D77" s="3" t="s">
        <v>439</v>
      </c>
      <c r="E77" s="3" t="n">
        <v>1</v>
      </c>
      <c r="F77" s="3" t="s">
        <v>180</v>
      </c>
      <c r="G77" s="3" t="s">
        <v>440</v>
      </c>
      <c r="H77" s="3"/>
      <c r="I77" s="4" t="str">
        <f aca="false">IF(AND(ISNUMBER(E77),ISNUMBER(H77)),ROUND(E77*H77,2),"")</f>
        <v/>
      </c>
      <c r="J77" s="3" t="s">
        <v>153</v>
      </c>
      <c r="K77" s="3"/>
      <c r="L77" s="4" t="str">
        <f aca="false">IF(AND(J77="PL23_ESTIMATE",ISNUMBER(I77)),ROUND(I77*K77/100,2),"")</f>
        <v/>
      </c>
      <c r="M77" s="3" t="n">
        <v>274.5</v>
      </c>
      <c r="N77" s="4" t="n">
        <f aca="false">IF(J77="SOURCE_GROSS",IF(AND(ISNUMBER(E77),ISNUMBER(M77)),ROUND(E77*M77,2),""),IF(ISNUMBER(I77),ROUND(I77+L77,2),""))</f>
        <v>274.5</v>
      </c>
      <c r="O77" s="3" t="s">
        <v>441</v>
      </c>
      <c r="P77" s="3" t="s">
        <v>442</v>
      </c>
      <c r="Q77" s="3" t="s">
        <v>218</v>
      </c>
      <c r="R77" s="7" t="s">
        <v>443</v>
      </c>
      <c r="S77" s="3" t="s">
        <v>148</v>
      </c>
    </row>
    <row r="78" customFormat="false" ht="69.75" hidden="false" customHeight="true" outlineLevel="0" collapsed="false">
      <c r="A78" s="2" t="s">
        <v>51</v>
      </c>
      <c r="B78" s="2" t="s">
        <v>444</v>
      </c>
      <c r="C78" s="2" t="s">
        <v>438</v>
      </c>
      <c r="D78" s="2" t="s">
        <v>439</v>
      </c>
      <c r="E78" s="2" t="n">
        <v>1</v>
      </c>
      <c r="F78" s="2" t="s">
        <v>180</v>
      </c>
      <c r="G78" s="2" t="s">
        <v>440</v>
      </c>
      <c r="H78" s="2"/>
      <c r="I78" s="4" t="str">
        <f aca="false">IF(AND(ISNUMBER(E78),ISNUMBER(H78)),ROUND(E78*H78,2),"")</f>
        <v/>
      </c>
      <c r="J78" s="2" t="s">
        <v>153</v>
      </c>
      <c r="K78" s="2"/>
      <c r="L78" s="4" t="str">
        <f aca="false">IF(AND(J78="PL23_ESTIMATE",ISNUMBER(I78)),ROUND(I78*K78/100,2),"")</f>
        <v/>
      </c>
      <c r="M78" s="2" t="n">
        <v>274.5</v>
      </c>
      <c r="N78" s="4" t="n">
        <f aca="false">IF(J78="SOURCE_GROSS",IF(AND(ISNUMBER(E78),ISNUMBER(M78)),ROUND(E78*M78,2),""),IF(ISNUMBER(I78),ROUND(I78+L78,2),""))</f>
        <v>274.5</v>
      </c>
      <c r="O78" s="2" t="s">
        <v>441</v>
      </c>
      <c r="P78" s="2" t="s">
        <v>442</v>
      </c>
      <c r="Q78" s="2" t="s">
        <v>218</v>
      </c>
      <c r="R78" s="6" t="s">
        <v>443</v>
      </c>
      <c r="S78" s="2" t="s">
        <v>148</v>
      </c>
    </row>
    <row r="79" customFormat="false" ht="69.75" hidden="false" customHeight="true" outlineLevel="0" collapsed="false">
      <c r="A79" s="3" t="s">
        <v>52</v>
      </c>
      <c r="B79" s="3" t="s">
        <v>445</v>
      </c>
      <c r="C79" s="3" t="s">
        <v>438</v>
      </c>
      <c r="D79" s="3" t="s">
        <v>439</v>
      </c>
      <c r="E79" s="3" t="n">
        <v>1</v>
      </c>
      <c r="F79" s="3" t="s">
        <v>180</v>
      </c>
      <c r="G79" s="3" t="s">
        <v>440</v>
      </c>
      <c r="H79" s="3"/>
      <c r="I79" s="4" t="str">
        <f aca="false">IF(AND(ISNUMBER(E79),ISNUMBER(H79)),ROUND(E79*H79,2),"")</f>
        <v/>
      </c>
      <c r="J79" s="3" t="s">
        <v>153</v>
      </c>
      <c r="K79" s="3"/>
      <c r="L79" s="4" t="str">
        <f aca="false">IF(AND(J79="PL23_ESTIMATE",ISNUMBER(I79)),ROUND(I79*K79/100,2),"")</f>
        <v/>
      </c>
      <c r="M79" s="3" t="n">
        <v>274.5</v>
      </c>
      <c r="N79" s="4" t="n">
        <f aca="false">IF(J79="SOURCE_GROSS",IF(AND(ISNUMBER(E79),ISNUMBER(M79)),ROUND(E79*M79,2),""),IF(ISNUMBER(I79),ROUND(I79+L79,2),""))</f>
        <v>274.5</v>
      </c>
      <c r="O79" s="3" t="s">
        <v>441</v>
      </c>
      <c r="P79" s="3" t="s">
        <v>442</v>
      </c>
      <c r="Q79" s="3" t="s">
        <v>218</v>
      </c>
      <c r="R79" s="7" t="s">
        <v>443</v>
      </c>
      <c r="S79" s="3" t="s">
        <v>148</v>
      </c>
    </row>
    <row r="80" customFormat="false" ht="69.75" hidden="false" customHeight="true" outlineLevel="0" collapsed="false">
      <c r="A80" s="2" t="s">
        <v>46</v>
      </c>
      <c r="B80" s="2" t="s">
        <v>446</v>
      </c>
      <c r="C80" s="2" t="s">
        <v>447</v>
      </c>
      <c r="D80" s="2" t="s">
        <v>448</v>
      </c>
      <c r="E80" s="2" t="n">
        <v>1</v>
      </c>
      <c r="F80" s="2" t="s">
        <v>180</v>
      </c>
      <c r="G80" s="2" t="s">
        <v>449</v>
      </c>
      <c r="H80" s="2" t="n">
        <v>214.24</v>
      </c>
      <c r="I80" s="4" t="n">
        <f aca="false">IF(AND(ISNUMBER(E80),ISNUMBER(H80)),ROUND(E80*H80,2),"")</f>
        <v>214.24</v>
      </c>
      <c r="J80" s="2" t="s">
        <v>143</v>
      </c>
      <c r="K80" s="2" t="n">
        <v>23</v>
      </c>
      <c r="L80" s="4" t="n">
        <f aca="false">IF(AND(J80="PL23_ESTIMATE",ISNUMBER(I80)),ROUND(I80*K80/100,2),"")</f>
        <v>49.28</v>
      </c>
      <c r="M80" s="2"/>
      <c r="N80" s="4" t="n">
        <f aca="false">IF(J80="SOURCE_GROSS",IF(AND(ISNUMBER(E80),ISNUMBER(M80)),ROUND(E80*M80,2),""),IF(ISNUMBER(I80),ROUND(I80+L80,2),""))</f>
        <v>263.52</v>
      </c>
      <c r="O80" s="2" t="s">
        <v>450</v>
      </c>
      <c r="P80" s="2" t="s">
        <v>451</v>
      </c>
      <c r="Q80" s="2" t="s">
        <v>218</v>
      </c>
      <c r="R80" s="6" t="s">
        <v>452</v>
      </c>
      <c r="S80" s="2" t="s">
        <v>148</v>
      </c>
    </row>
    <row r="81" customFormat="false" ht="69.75" hidden="false" customHeight="true" outlineLevel="0" collapsed="false">
      <c r="A81" s="3" t="s">
        <v>51</v>
      </c>
      <c r="B81" s="3" t="s">
        <v>453</v>
      </c>
      <c r="C81" s="3" t="s">
        <v>447</v>
      </c>
      <c r="D81" s="3" t="s">
        <v>448</v>
      </c>
      <c r="E81" s="3" t="n">
        <v>1</v>
      </c>
      <c r="F81" s="3" t="s">
        <v>180</v>
      </c>
      <c r="G81" s="3" t="s">
        <v>449</v>
      </c>
      <c r="H81" s="3" t="n">
        <v>214.24</v>
      </c>
      <c r="I81" s="4" t="n">
        <f aca="false">IF(AND(ISNUMBER(E81),ISNUMBER(H81)),ROUND(E81*H81,2),"")</f>
        <v>214.24</v>
      </c>
      <c r="J81" s="3" t="s">
        <v>143</v>
      </c>
      <c r="K81" s="3" t="n">
        <v>23</v>
      </c>
      <c r="L81" s="4" t="n">
        <f aca="false">IF(AND(J81="PL23_ESTIMATE",ISNUMBER(I81)),ROUND(I81*K81/100,2),"")</f>
        <v>49.28</v>
      </c>
      <c r="M81" s="3"/>
      <c r="N81" s="4" t="n">
        <f aca="false">IF(J81="SOURCE_GROSS",IF(AND(ISNUMBER(E81),ISNUMBER(M81)),ROUND(E81*M81,2),""),IF(ISNUMBER(I81),ROUND(I81+L81,2),""))</f>
        <v>263.52</v>
      </c>
      <c r="O81" s="3" t="s">
        <v>450</v>
      </c>
      <c r="P81" s="3" t="s">
        <v>451</v>
      </c>
      <c r="Q81" s="3" t="s">
        <v>218</v>
      </c>
      <c r="R81" s="7" t="s">
        <v>452</v>
      </c>
      <c r="S81" s="3" t="s">
        <v>148</v>
      </c>
    </row>
    <row r="82" customFormat="false" ht="69.75" hidden="false" customHeight="true" outlineLevel="0" collapsed="false">
      <c r="A82" s="2" t="s">
        <v>52</v>
      </c>
      <c r="B82" s="2" t="s">
        <v>454</v>
      </c>
      <c r="C82" s="2" t="s">
        <v>447</v>
      </c>
      <c r="D82" s="2" t="s">
        <v>448</v>
      </c>
      <c r="E82" s="2" t="n">
        <v>1</v>
      </c>
      <c r="F82" s="2" t="s">
        <v>180</v>
      </c>
      <c r="G82" s="2" t="s">
        <v>449</v>
      </c>
      <c r="H82" s="2" t="n">
        <v>214.24</v>
      </c>
      <c r="I82" s="4" t="n">
        <f aca="false">IF(AND(ISNUMBER(E82),ISNUMBER(H82)),ROUND(E82*H82,2),"")</f>
        <v>214.24</v>
      </c>
      <c r="J82" s="2" t="s">
        <v>143</v>
      </c>
      <c r="K82" s="2" t="n">
        <v>23</v>
      </c>
      <c r="L82" s="4" t="n">
        <f aca="false">IF(AND(J82="PL23_ESTIMATE",ISNUMBER(I82)),ROUND(I82*K82/100,2),"")</f>
        <v>49.28</v>
      </c>
      <c r="M82" s="2"/>
      <c r="N82" s="4" t="n">
        <f aca="false">IF(J82="SOURCE_GROSS",IF(AND(ISNUMBER(E82),ISNUMBER(M82)),ROUND(E82*M82,2),""),IF(ISNUMBER(I82),ROUND(I82+L82,2),""))</f>
        <v>263.52</v>
      </c>
      <c r="O82" s="2" t="s">
        <v>450</v>
      </c>
      <c r="P82" s="2" t="s">
        <v>451</v>
      </c>
      <c r="Q82" s="2" t="s">
        <v>218</v>
      </c>
      <c r="R82" s="6" t="s">
        <v>452</v>
      </c>
      <c r="S82" s="2" t="s">
        <v>148</v>
      </c>
    </row>
    <row r="83" customFormat="false" ht="69.75" hidden="false" customHeight="true" outlineLevel="0" collapsed="false">
      <c r="A83" s="3" t="s">
        <v>46</v>
      </c>
      <c r="B83" s="3" t="s">
        <v>455</v>
      </c>
      <c r="C83" s="3" t="s">
        <v>447</v>
      </c>
      <c r="D83" s="3" t="s">
        <v>456</v>
      </c>
      <c r="E83" s="3" t="n">
        <v>1</v>
      </c>
      <c r="F83" s="3" t="s">
        <v>180</v>
      </c>
      <c r="G83" s="3" t="s">
        <v>457</v>
      </c>
      <c r="H83" s="3" t="n">
        <v>331.89</v>
      </c>
      <c r="I83" s="4" t="n">
        <f aca="false">IF(AND(ISNUMBER(E83),ISNUMBER(H83)),ROUND(E83*H83,2),"")</f>
        <v>331.89</v>
      </c>
      <c r="J83" s="3" t="s">
        <v>143</v>
      </c>
      <c r="K83" s="3" t="n">
        <v>23</v>
      </c>
      <c r="L83" s="4" t="n">
        <f aca="false">IF(AND(J83="PL23_ESTIMATE",ISNUMBER(I83)),ROUND(I83*K83/100,2),"")</f>
        <v>76.33</v>
      </c>
      <c r="M83" s="3"/>
      <c r="N83" s="4" t="n">
        <f aca="false">IF(J83="SOURCE_GROSS",IF(AND(ISNUMBER(E83),ISNUMBER(M83)),ROUND(E83*M83,2),""),IF(ISNUMBER(I83),ROUND(I83+L83,2),""))</f>
        <v>408.22</v>
      </c>
      <c r="O83" s="3" t="s">
        <v>458</v>
      </c>
      <c r="P83" s="3" t="s">
        <v>459</v>
      </c>
      <c r="Q83" s="3" t="s">
        <v>218</v>
      </c>
      <c r="R83" s="7" t="s">
        <v>460</v>
      </c>
      <c r="S83" s="3" t="s">
        <v>148</v>
      </c>
    </row>
    <row r="84" customFormat="false" ht="69.75" hidden="false" customHeight="true" outlineLevel="0" collapsed="false">
      <c r="A84" s="2" t="s">
        <v>51</v>
      </c>
      <c r="B84" s="2" t="s">
        <v>461</v>
      </c>
      <c r="C84" s="2" t="s">
        <v>447</v>
      </c>
      <c r="D84" s="2" t="s">
        <v>456</v>
      </c>
      <c r="E84" s="2" t="n">
        <v>1</v>
      </c>
      <c r="F84" s="2" t="s">
        <v>180</v>
      </c>
      <c r="G84" s="2" t="s">
        <v>457</v>
      </c>
      <c r="H84" s="2" t="n">
        <v>331.89</v>
      </c>
      <c r="I84" s="4" t="n">
        <f aca="false">IF(AND(ISNUMBER(E84),ISNUMBER(H84)),ROUND(E84*H84,2),"")</f>
        <v>331.89</v>
      </c>
      <c r="J84" s="2" t="s">
        <v>143</v>
      </c>
      <c r="K84" s="2" t="n">
        <v>23</v>
      </c>
      <c r="L84" s="4" t="n">
        <f aca="false">IF(AND(J84="PL23_ESTIMATE",ISNUMBER(I84)),ROUND(I84*K84/100,2),"")</f>
        <v>76.33</v>
      </c>
      <c r="M84" s="2"/>
      <c r="N84" s="4" t="n">
        <f aca="false">IF(J84="SOURCE_GROSS",IF(AND(ISNUMBER(E84),ISNUMBER(M84)),ROUND(E84*M84,2),""),IF(ISNUMBER(I84),ROUND(I84+L84,2),""))</f>
        <v>408.22</v>
      </c>
      <c r="O84" s="2" t="s">
        <v>458</v>
      </c>
      <c r="P84" s="2" t="s">
        <v>459</v>
      </c>
      <c r="Q84" s="2" t="s">
        <v>218</v>
      </c>
      <c r="R84" s="6" t="s">
        <v>460</v>
      </c>
      <c r="S84" s="2" t="s">
        <v>148</v>
      </c>
    </row>
    <row r="85" customFormat="false" ht="69.75" hidden="false" customHeight="true" outlineLevel="0" collapsed="false">
      <c r="A85" s="3" t="s">
        <v>52</v>
      </c>
      <c r="B85" s="3" t="s">
        <v>462</v>
      </c>
      <c r="C85" s="3" t="s">
        <v>447</v>
      </c>
      <c r="D85" s="3" t="s">
        <v>456</v>
      </c>
      <c r="E85" s="3" t="n">
        <v>1</v>
      </c>
      <c r="F85" s="3" t="s">
        <v>180</v>
      </c>
      <c r="G85" s="3" t="s">
        <v>457</v>
      </c>
      <c r="H85" s="3" t="n">
        <v>331.89</v>
      </c>
      <c r="I85" s="4" t="n">
        <f aca="false">IF(AND(ISNUMBER(E85),ISNUMBER(H85)),ROUND(E85*H85,2),"")</f>
        <v>331.89</v>
      </c>
      <c r="J85" s="3" t="s">
        <v>143</v>
      </c>
      <c r="K85" s="3" t="n">
        <v>23</v>
      </c>
      <c r="L85" s="4" t="n">
        <f aca="false">IF(AND(J85="PL23_ESTIMATE",ISNUMBER(I85)),ROUND(I85*K85/100,2),"")</f>
        <v>76.33</v>
      </c>
      <c r="M85" s="3"/>
      <c r="N85" s="4" t="n">
        <f aca="false">IF(J85="SOURCE_GROSS",IF(AND(ISNUMBER(E85),ISNUMBER(M85)),ROUND(E85*M85,2),""),IF(ISNUMBER(I85),ROUND(I85+L85,2),""))</f>
        <v>408.22</v>
      </c>
      <c r="O85" s="3" t="s">
        <v>458</v>
      </c>
      <c r="P85" s="3" t="s">
        <v>459</v>
      </c>
      <c r="Q85" s="3" t="s">
        <v>218</v>
      </c>
      <c r="R85" s="7" t="s">
        <v>460</v>
      </c>
      <c r="S85" s="3" t="s">
        <v>148</v>
      </c>
    </row>
    <row r="86" customFormat="false" ht="69.75" hidden="false" customHeight="true" outlineLevel="0" collapsed="false">
      <c r="A86" s="2" t="s">
        <v>46</v>
      </c>
      <c r="B86" s="2" t="s">
        <v>463</v>
      </c>
      <c r="C86" s="2" t="s">
        <v>185</v>
      </c>
      <c r="D86" s="2" t="s">
        <v>464</v>
      </c>
      <c r="E86" s="2" t="n">
        <v>1</v>
      </c>
      <c r="F86" s="2" t="s">
        <v>180</v>
      </c>
      <c r="G86" s="2" t="s">
        <v>465</v>
      </c>
      <c r="H86" s="2" t="n">
        <v>13.4</v>
      </c>
      <c r="I86" s="4" t="n">
        <f aca="false">IF(AND(ISNUMBER(E86),ISNUMBER(H86)),ROUND(E86*H86,2),"")</f>
        <v>13.4</v>
      </c>
      <c r="J86" s="2" t="s">
        <v>143</v>
      </c>
      <c r="K86" s="2" t="n">
        <v>23</v>
      </c>
      <c r="L86" s="4" t="n">
        <f aca="false">IF(AND(J86="PL23_ESTIMATE",ISNUMBER(I86)),ROUND(I86*K86/100,2),"")</f>
        <v>3.08</v>
      </c>
      <c r="M86" s="2"/>
      <c r="N86" s="4" t="n">
        <f aca="false">IF(J86="SOURCE_GROSS",IF(AND(ISNUMBER(E86),ISNUMBER(M86)),ROUND(E86*M86,2),""),IF(ISNUMBER(I86),ROUND(I86+L86,2),""))</f>
        <v>16.48</v>
      </c>
      <c r="O86" s="2" t="s">
        <v>466</v>
      </c>
      <c r="P86" s="2" t="s">
        <v>467</v>
      </c>
      <c r="Q86" s="2" t="s">
        <v>218</v>
      </c>
      <c r="R86" s="6" t="s">
        <v>468</v>
      </c>
      <c r="S86" s="2" t="s">
        <v>148</v>
      </c>
    </row>
    <row r="87" customFormat="false" ht="69.75" hidden="false" customHeight="true" outlineLevel="0" collapsed="false">
      <c r="A87" s="3" t="s">
        <v>51</v>
      </c>
      <c r="B87" s="3" t="s">
        <v>469</v>
      </c>
      <c r="C87" s="3" t="s">
        <v>185</v>
      </c>
      <c r="D87" s="3" t="s">
        <v>464</v>
      </c>
      <c r="E87" s="3" t="n">
        <v>1</v>
      </c>
      <c r="F87" s="3" t="s">
        <v>180</v>
      </c>
      <c r="G87" s="3" t="s">
        <v>465</v>
      </c>
      <c r="H87" s="3" t="n">
        <v>13.4</v>
      </c>
      <c r="I87" s="4" t="n">
        <f aca="false">IF(AND(ISNUMBER(E87),ISNUMBER(H87)),ROUND(E87*H87,2),"")</f>
        <v>13.4</v>
      </c>
      <c r="J87" s="3" t="s">
        <v>143</v>
      </c>
      <c r="K87" s="3" t="n">
        <v>23</v>
      </c>
      <c r="L87" s="4" t="n">
        <f aca="false">IF(AND(J87="PL23_ESTIMATE",ISNUMBER(I87)),ROUND(I87*K87/100,2),"")</f>
        <v>3.08</v>
      </c>
      <c r="M87" s="3"/>
      <c r="N87" s="4" t="n">
        <f aca="false">IF(J87="SOURCE_GROSS",IF(AND(ISNUMBER(E87),ISNUMBER(M87)),ROUND(E87*M87,2),""),IF(ISNUMBER(I87),ROUND(I87+L87,2),""))</f>
        <v>16.48</v>
      </c>
      <c r="O87" s="3" t="s">
        <v>466</v>
      </c>
      <c r="P87" s="3" t="s">
        <v>467</v>
      </c>
      <c r="Q87" s="3" t="s">
        <v>218</v>
      </c>
      <c r="R87" s="7" t="s">
        <v>468</v>
      </c>
      <c r="S87" s="3" t="s">
        <v>148</v>
      </c>
    </row>
    <row r="88" customFormat="false" ht="69.75" hidden="false" customHeight="true" outlineLevel="0" collapsed="false">
      <c r="A88" s="2" t="s">
        <v>52</v>
      </c>
      <c r="B88" s="2" t="s">
        <v>470</v>
      </c>
      <c r="C88" s="2" t="s">
        <v>185</v>
      </c>
      <c r="D88" s="2" t="s">
        <v>464</v>
      </c>
      <c r="E88" s="2" t="n">
        <v>1</v>
      </c>
      <c r="F88" s="2" t="s">
        <v>180</v>
      </c>
      <c r="G88" s="2" t="s">
        <v>465</v>
      </c>
      <c r="H88" s="2" t="n">
        <v>13.4</v>
      </c>
      <c r="I88" s="4" t="n">
        <f aca="false">IF(AND(ISNUMBER(E88),ISNUMBER(H88)),ROUND(E88*H88,2),"")</f>
        <v>13.4</v>
      </c>
      <c r="J88" s="2" t="s">
        <v>143</v>
      </c>
      <c r="K88" s="2" t="n">
        <v>23</v>
      </c>
      <c r="L88" s="4" t="n">
        <f aca="false">IF(AND(J88="PL23_ESTIMATE",ISNUMBER(I88)),ROUND(I88*K88/100,2),"")</f>
        <v>3.08</v>
      </c>
      <c r="M88" s="2"/>
      <c r="N88" s="4" t="n">
        <f aca="false">IF(J88="SOURCE_GROSS",IF(AND(ISNUMBER(E88),ISNUMBER(M88)),ROUND(E88*M88,2),""),IF(ISNUMBER(I88),ROUND(I88+L88,2),""))</f>
        <v>16.48</v>
      </c>
      <c r="O88" s="2" t="s">
        <v>466</v>
      </c>
      <c r="P88" s="2" t="s">
        <v>467</v>
      </c>
      <c r="Q88" s="2" t="s">
        <v>218</v>
      </c>
      <c r="R88" s="6" t="s">
        <v>468</v>
      </c>
      <c r="S88" s="2" t="s">
        <v>148</v>
      </c>
    </row>
    <row r="89" customFormat="false" ht="69.75" hidden="false" customHeight="true" outlineLevel="0" collapsed="false">
      <c r="A89" s="3" t="s">
        <v>46</v>
      </c>
      <c r="B89" s="3" t="s">
        <v>471</v>
      </c>
      <c r="C89" s="3" t="s">
        <v>447</v>
      </c>
      <c r="D89" s="3" t="s">
        <v>472</v>
      </c>
      <c r="E89" s="3"/>
      <c r="F89" s="3" t="s">
        <v>180</v>
      </c>
      <c r="G89" s="3" t="s">
        <v>473</v>
      </c>
      <c r="H89" s="3" t="n">
        <v>10.04</v>
      </c>
      <c r="I89" s="4" t="str">
        <f aca="false">IF(AND(ISNUMBER(E89),ISNUMBER(H89)),ROUND(E89*H89,2),"")</f>
        <v/>
      </c>
      <c r="J89" s="3" t="s">
        <v>143</v>
      </c>
      <c r="K89" s="3" t="n">
        <v>23</v>
      </c>
      <c r="L89" s="4" t="str">
        <f aca="false">IF(AND(J89="PL23_ESTIMATE",ISNUMBER(I89)),ROUND(I89*K89/100,2),"")</f>
        <v/>
      </c>
      <c r="M89" s="3"/>
      <c r="N89" s="4" t="str">
        <f aca="false">IF(J89="SOURCE_GROSS",IF(AND(ISNUMBER(E89),ISNUMBER(M89)),ROUND(E89*M89,2),""),IF(ISNUMBER(I89),ROUND(I89+L89,2),""))</f>
        <v/>
      </c>
      <c r="O89" s="3" t="s">
        <v>474</v>
      </c>
      <c r="P89" s="3" t="s">
        <v>475</v>
      </c>
      <c r="Q89" s="3" t="s">
        <v>218</v>
      </c>
      <c r="R89" s="7" t="s">
        <v>476</v>
      </c>
      <c r="S89" s="3" t="s">
        <v>148</v>
      </c>
    </row>
    <row r="90" customFormat="false" ht="69.75" hidden="false" customHeight="true" outlineLevel="0" collapsed="false">
      <c r="A90" s="2" t="s">
        <v>51</v>
      </c>
      <c r="B90" s="2" t="s">
        <v>477</v>
      </c>
      <c r="C90" s="2" t="s">
        <v>447</v>
      </c>
      <c r="D90" s="2" t="s">
        <v>472</v>
      </c>
      <c r="E90" s="2"/>
      <c r="F90" s="2" t="s">
        <v>180</v>
      </c>
      <c r="G90" s="2" t="s">
        <v>473</v>
      </c>
      <c r="H90" s="2" t="n">
        <v>10.04</v>
      </c>
      <c r="I90" s="4" t="str">
        <f aca="false">IF(AND(ISNUMBER(E90),ISNUMBER(H90)),ROUND(E90*H90,2),"")</f>
        <v/>
      </c>
      <c r="J90" s="2" t="s">
        <v>143</v>
      </c>
      <c r="K90" s="2" t="n">
        <v>23</v>
      </c>
      <c r="L90" s="4" t="str">
        <f aca="false">IF(AND(J90="PL23_ESTIMATE",ISNUMBER(I90)),ROUND(I90*K90/100,2),"")</f>
        <v/>
      </c>
      <c r="M90" s="2"/>
      <c r="N90" s="4" t="str">
        <f aca="false">IF(J90="SOURCE_GROSS",IF(AND(ISNUMBER(E90),ISNUMBER(M90)),ROUND(E90*M90,2),""),IF(ISNUMBER(I90),ROUND(I90+L90,2),""))</f>
        <v/>
      </c>
      <c r="O90" s="2" t="s">
        <v>474</v>
      </c>
      <c r="P90" s="2" t="s">
        <v>475</v>
      </c>
      <c r="Q90" s="2" t="s">
        <v>218</v>
      </c>
      <c r="R90" s="6" t="s">
        <v>476</v>
      </c>
      <c r="S90" s="2" t="s">
        <v>148</v>
      </c>
    </row>
    <row r="91" customFormat="false" ht="69.75" hidden="false" customHeight="true" outlineLevel="0" collapsed="false">
      <c r="A91" s="3" t="s">
        <v>52</v>
      </c>
      <c r="B91" s="3" t="s">
        <v>478</v>
      </c>
      <c r="C91" s="3" t="s">
        <v>447</v>
      </c>
      <c r="D91" s="3" t="s">
        <v>472</v>
      </c>
      <c r="E91" s="3"/>
      <c r="F91" s="3" t="s">
        <v>180</v>
      </c>
      <c r="G91" s="3" t="s">
        <v>473</v>
      </c>
      <c r="H91" s="3" t="n">
        <v>10.04</v>
      </c>
      <c r="I91" s="4" t="str">
        <f aca="false">IF(AND(ISNUMBER(E91),ISNUMBER(H91)),ROUND(E91*H91,2),"")</f>
        <v/>
      </c>
      <c r="J91" s="3" t="s">
        <v>143</v>
      </c>
      <c r="K91" s="3" t="n">
        <v>23</v>
      </c>
      <c r="L91" s="4" t="str">
        <f aca="false">IF(AND(J91="PL23_ESTIMATE",ISNUMBER(I91)),ROUND(I91*K91/100,2),"")</f>
        <v/>
      </c>
      <c r="M91" s="3"/>
      <c r="N91" s="4" t="str">
        <f aca="false">IF(J91="SOURCE_GROSS",IF(AND(ISNUMBER(E91),ISNUMBER(M91)),ROUND(E91*M91,2),""),IF(ISNUMBER(I91),ROUND(I91+L91,2),""))</f>
        <v/>
      </c>
      <c r="O91" s="3" t="s">
        <v>474</v>
      </c>
      <c r="P91" s="3" t="s">
        <v>475</v>
      </c>
      <c r="Q91" s="3" t="s">
        <v>218</v>
      </c>
      <c r="R91" s="7" t="s">
        <v>476</v>
      </c>
      <c r="S91" s="3" t="s">
        <v>148</v>
      </c>
    </row>
    <row r="92" customFormat="false" ht="69.75" hidden="false" customHeight="true" outlineLevel="0" collapsed="false">
      <c r="A92" s="2" t="s">
        <v>46</v>
      </c>
      <c r="B92" s="2" t="s">
        <v>479</v>
      </c>
      <c r="C92" s="2" t="s">
        <v>447</v>
      </c>
      <c r="D92" s="2" t="s">
        <v>480</v>
      </c>
      <c r="E92" s="2"/>
      <c r="F92" s="2" t="s">
        <v>481</v>
      </c>
      <c r="G92" s="2" t="s">
        <v>482</v>
      </c>
      <c r="H92" s="2" t="n">
        <v>15.92</v>
      </c>
      <c r="I92" s="4" t="str">
        <f aca="false">IF(AND(ISNUMBER(E92),ISNUMBER(H92)),ROUND(E92*H92,2),"")</f>
        <v/>
      </c>
      <c r="J92" s="2" t="s">
        <v>143</v>
      </c>
      <c r="K92" s="2" t="n">
        <v>23</v>
      </c>
      <c r="L92" s="4" t="str">
        <f aca="false">IF(AND(J92="PL23_ESTIMATE",ISNUMBER(I92)),ROUND(I92*K92/100,2),"")</f>
        <v/>
      </c>
      <c r="M92" s="2"/>
      <c r="N92" s="4" t="str">
        <f aca="false">IF(J92="SOURCE_GROSS",IF(AND(ISNUMBER(E92),ISNUMBER(M92)),ROUND(E92*M92,2),""),IF(ISNUMBER(I92),ROUND(I92+L92,2),""))</f>
        <v/>
      </c>
      <c r="O92" s="2" t="s">
        <v>483</v>
      </c>
      <c r="P92" s="2" t="s">
        <v>484</v>
      </c>
      <c r="Q92" s="2" t="s">
        <v>218</v>
      </c>
      <c r="R92" s="6" t="s">
        <v>485</v>
      </c>
      <c r="S92" s="2" t="s">
        <v>148</v>
      </c>
    </row>
    <row r="93" customFormat="false" ht="69.75" hidden="false" customHeight="true" outlineLevel="0" collapsed="false">
      <c r="A93" s="3" t="s">
        <v>51</v>
      </c>
      <c r="B93" s="3" t="s">
        <v>486</v>
      </c>
      <c r="C93" s="3" t="s">
        <v>447</v>
      </c>
      <c r="D93" s="3" t="s">
        <v>480</v>
      </c>
      <c r="E93" s="3"/>
      <c r="F93" s="3" t="s">
        <v>481</v>
      </c>
      <c r="G93" s="3" t="s">
        <v>482</v>
      </c>
      <c r="H93" s="3" t="n">
        <v>15.92</v>
      </c>
      <c r="I93" s="4" t="str">
        <f aca="false">IF(AND(ISNUMBER(E93),ISNUMBER(H93)),ROUND(E93*H93,2),"")</f>
        <v/>
      </c>
      <c r="J93" s="3" t="s">
        <v>143</v>
      </c>
      <c r="K93" s="3" t="n">
        <v>23</v>
      </c>
      <c r="L93" s="4" t="str">
        <f aca="false">IF(AND(J93="PL23_ESTIMATE",ISNUMBER(I93)),ROUND(I93*K93/100,2),"")</f>
        <v/>
      </c>
      <c r="M93" s="3"/>
      <c r="N93" s="4" t="str">
        <f aca="false">IF(J93="SOURCE_GROSS",IF(AND(ISNUMBER(E93),ISNUMBER(M93)),ROUND(E93*M93,2),""),IF(ISNUMBER(I93),ROUND(I93+L93,2),""))</f>
        <v/>
      </c>
      <c r="O93" s="3" t="s">
        <v>483</v>
      </c>
      <c r="P93" s="3" t="s">
        <v>484</v>
      </c>
      <c r="Q93" s="3" t="s">
        <v>218</v>
      </c>
      <c r="R93" s="7" t="s">
        <v>485</v>
      </c>
      <c r="S93" s="3" t="s">
        <v>148</v>
      </c>
    </row>
    <row r="94" customFormat="false" ht="69.75" hidden="false" customHeight="true" outlineLevel="0" collapsed="false">
      <c r="A94" s="2" t="s">
        <v>52</v>
      </c>
      <c r="B94" s="2" t="s">
        <v>487</v>
      </c>
      <c r="C94" s="2" t="s">
        <v>447</v>
      </c>
      <c r="D94" s="2" t="s">
        <v>480</v>
      </c>
      <c r="E94" s="2"/>
      <c r="F94" s="2" t="s">
        <v>481</v>
      </c>
      <c r="G94" s="2" t="s">
        <v>482</v>
      </c>
      <c r="H94" s="2" t="n">
        <v>15.92</v>
      </c>
      <c r="I94" s="4" t="str">
        <f aca="false">IF(AND(ISNUMBER(E94),ISNUMBER(H94)),ROUND(E94*H94,2),"")</f>
        <v/>
      </c>
      <c r="J94" s="2" t="s">
        <v>143</v>
      </c>
      <c r="K94" s="2" t="n">
        <v>23</v>
      </c>
      <c r="L94" s="4" t="str">
        <f aca="false">IF(AND(J94="PL23_ESTIMATE",ISNUMBER(I94)),ROUND(I94*K94/100,2),"")</f>
        <v/>
      </c>
      <c r="M94" s="2"/>
      <c r="N94" s="4" t="str">
        <f aca="false">IF(J94="SOURCE_GROSS",IF(AND(ISNUMBER(E94),ISNUMBER(M94)),ROUND(E94*M94,2),""),IF(ISNUMBER(I94),ROUND(I94+L94,2),""))</f>
        <v/>
      </c>
      <c r="O94" s="2" t="s">
        <v>483</v>
      </c>
      <c r="P94" s="2" t="s">
        <v>484</v>
      </c>
      <c r="Q94" s="2" t="s">
        <v>218</v>
      </c>
      <c r="R94" s="6" t="s">
        <v>485</v>
      </c>
      <c r="S94" s="2" t="s">
        <v>148</v>
      </c>
    </row>
    <row r="95" customFormat="false" ht="69.75" hidden="false" customHeight="true" outlineLevel="0" collapsed="false">
      <c r="A95" s="3" t="s">
        <v>60</v>
      </c>
      <c r="B95" s="3" t="s">
        <v>488</v>
      </c>
      <c r="C95" s="3" t="s">
        <v>489</v>
      </c>
      <c r="D95" s="3" t="s">
        <v>490</v>
      </c>
      <c r="E95" s="3" t="n">
        <v>1</v>
      </c>
      <c r="F95" s="3" t="s">
        <v>251</v>
      </c>
      <c r="G95" s="3" t="s">
        <v>491</v>
      </c>
      <c r="H95" s="3" t="n">
        <v>92.4</v>
      </c>
      <c r="I95" s="4" t="n">
        <f aca="false">IF(AND(ISNUMBER(E95),ISNUMBER(H95)),ROUND(E95*H95,2),"")</f>
        <v>92.4</v>
      </c>
      <c r="J95" s="3" t="s">
        <v>143</v>
      </c>
      <c r="K95" s="3" t="n">
        <v>23</v>
      </c>
      <c r="L95" s="4" t="n">
        <f aca="false">IF(AND(J95="PL23_ESTIMATE",ISNUMBER(I95)),ROUND(I95*K95/100,2),"")</f>
        <v>21.25</v>
      </c>
      <c r="M95" s="3"/>
      <c r="N95" s="4" t="n">
        <f aca="false">IF(J95="SOURCE_GROSS",IF(AND(ISNUMBER(E95),ISNUMBER(M95)),ROUND(E95*M95,2),""),IF(ISNUMBER(I95),ROUND(I95+L95,2),""))</f>
        <v>113.65</v>
      </c>
      <c r="O95" s="3" t="s">
        <v>492</v>
      </c>
      <c r="P95" s="3" t="s">
        <v>493</v>
      </c>
      <c r="Q95" s="3" t="s">
        <v>218</v>
      </c>
      <c r="R95" s="7" t="s">
        <v>494</v>
      </c>
      <c r="S95" s="3" t="s">
        <v>148</v>
      </c>
    </row>
    <row r="96" customFormat="false" ht="69.75" hidden="false" customHeight="true" outlineLevel="0" collapsed="false">
      <c r="A96" s="2" t="s">
        <v>65</v>
      </c>
      <c r="B96" s="2" t="s">
        <v>495</v>
      </c>
      <c r="C96" s="2" t="s">
        <v>489</v>
      </c>
      <c r="D96" s="2" t="s">
        <v>490</v>
      </c>
      <c r="E96" s="2" t="n">
        <v>1</v>
      </c>
      <c r="F96" s="2" t="s">
        <v>251</v>
      </c>
      <c r="G96" s="2" t="s">
        <v>491</v>
      </c>
      <c r="H96" s="2" t="n">
        <v>92.4</v>
      </c>
      <c r="I96" s="4" t="n">
        <f aca="false">IF(AND(ISNUMBER(E96),ISNUMBER(H96)),ROUND(E96*H96,2),"")</f>
        <v>92.4</v>
      </c>
      <c r="J96" s="2" t="s">
        <v>143</v>
      </c>
      <c r="K96" s="2" t="n">
        <v>23</v>
      </c>
      <c r="L96" s="4" t="n">
        <f aca="false">IF(AND(J96="PL23_ESTIMATE",ISNUMBER(I96)),ROUND(I96*K96/100,2),"")</f>
        <v>21.25</v>
      </c>
      <c r="M96" s="2"/>
      <c r="N96" s="4" t="n">
        <f aca="false">IF(J96="SOURCE_GROSS",IF(AND(ISNUMBER(E96),ISNUMBER(M96)),ROUND(E96*M96,2),""),IF(ISNUMBER(I96),ROUND(I96+L96,2),""))</f>
        <v>113.65</v>
      </c>
      <c r="O96" s="2" t="s">
        <v>492</v>
      </c>
      <c r="P96" s="2" t="s">
        <v>493</v>
      </c>
      <c r="Q96" s="2" t="s">
        <v>218</v>
      </c>
      <c r="R96" s="6" t="s">
        <v>494</v>
      </c>
      <c r="S96" s="2" t="s">
        <v>148</v>
      </c>
    </row>
    <row r="97" customFormat="false" ht="69.75" hidden="false" customHeight="true" outlineLevel="0" collapsed="false">
      <c r="A97" s="3" t="s">
        <v>66</v>
      </c>
      <c r="B97" s="3" t="s">
        <v>496</v>
      </c>
      <c r="C97" s="3" t="s">
        <v>489</v>
      </c>
      <c r="D97" s="3" t="s">
        <v>490</v>
      </c>
      <c r="E97" s="3" t="n">
        <v>1</v>
      </c>
      <c r="F97" s="3" t="s">
        <v>251</v>
      </c>
      <c r="G97" s="3" t="s">
        <v>491</v>
      </c>
      <c r="H97" s="3" t="n">
        <v>92.4</v>
      </c>
      <c r="I97" s="4" t="n">
        <f aca="false">IF(AND(ISNUMBER(E97),ISNUMBER(H97)),ROUND(E97*H97,2),"")</f>
        <v>92.4</v>
      </c>
      <c r="J97" s="3" t="s">
        <v>143</v>
      </c>
      <c r="K97" s="3" t="n">
        <v>23</v>
      </c>
      <c r="L97" s="4" t="n">
        <f aca="false">IF(AND(J97="PL23_ESTIMATE",ISNUMBER(I97)),ROUND(I97*K97/100,2),"")</f>
        <v>21.25</v>
      </c>
      <c r="M97" s="3"/>
      <c r="N97" s="4" t="n">
        <f aca="false">IF(J97="SOURCE_GROSS",IF(AND(ISNUMBER(E97),ISNUMBER(M97)),ROUND(E97*M97,2),""),IF(ISNUMBER(I97),ROUND(I97+L97,2),""))</f>
        <v>113.65</v>
      </c>
      <c r="O97" s="3" t="s">
        <v>492</v>
      </c>
      <c r="P97" s="3" t="s">
        <v>493</v>
      </c>
      <c r="Q97" s="3" t="s">
        <v>218</v>
      </c>
      <c r="R97" s="7" t="s">
        <v>494</v>
      </c>
      <c r="S97" s="3" t="s">
        <v>148</v>
      </c>
    </row>
    <row r="98" customFormat="false" ht="69.75" hidden="false" customHeight="true" outlineLevel="0" collapsed="false">
      <c r="A98" s="2" t="s">
        <v>60</v>
      </c>
      <c r="B98" s="2" t="s">
        <v>497</v>
      </c>
      <c r="C98" s="2" t="s">
        <v>489</v>
      </c>
      <c r="D98" s="2" t="s">
        <v>498</v>
      </c>
      <c r="E98" s="2" t="n">
        <v>1</v>
      </c>
      <c r="F98" s="2" t="s">
        <v>251</v>
      </c>
      <c r="G98" s="2" t="s">
        <v>499</v>
      </c>
      <c r="H98" s="2" t="n">
        <v>10.88</v>
      </c>
      <c r="I98" s="4" t="n">
        <f aca="false">IF(AND(ISNUMBER(E98),ISNUMBER(H98)),ROUND(E98*H98,2),"")</f>
        <v>10.88</v>
      </c>
      <c r="J98" s="2" t="s">
        <v>143</v>
      </c>
      <c r="K98" s="2" t="n">
        <v>23</v>
      </c>
      <c r="L98" s="4" t="n">
        <f aca="false">IF(AND(J98="PL23_ESTIMATE",ISNUMBER(I98)),ROUND(I98*K98/100,2),"")</f>
        <v>2.5</v>
      </c>
      <c r="M98" s="2"/>
      <c r="N98" s="4" t="n">
        <f aca="false">IF(J98="SOURCE_GROSS",IF(AND(ISNUMBER(E98),ISNUMBER(M98)),ROUND(E98*M98,2),""),IF(ISNUMBER(I98),ROUND(I98+L98,2),""))</f>
        <v>13.38</v>
      </c>
      <c r="O98" s="2" t="s">
        <v>500</v>
      </c>
      <c r="P98" s="2" t="s">
        <v>501</v>
      </c>
      <c r="Q98" s="2" t="s">
        <v>218</v>
      </c>
      <c r="R98" s="6" t="s">
        <v>502</v>
      </c>
      <c r="S98" s="2" t="s">
        <v>148</v>
      </c>
    </row>
    <row r="99" customFormat="false" ht="69.75" hidden="false" customHeight="true" outlineLevel="0" collapsed="false">
      <c r="A99" s="3" t="s">
        <v>65</v>
      </c>
      <c r="B99" s="3" t="s">
        <v>503</v>
      </c>
      <c r="C99" s="3" t="s">
        <v>489</v>
      </c>
      <c r="D99" s="3" t="s">
        <v>498</v>
      </c>
      <c r="E99" s="3" t="n">
        <v>1</v>
      </c>
      <c r="F99" s="3" t="s">
        <v>251</v>
      </c>
      <c r="G99" s="3" t="s">
        <v>499</v>
      </c>
      <c r="H99" s="3" t="n">
        <v>10.88</v>
      </c>
      <c r="I99" s="4" t="n">
        <f aca="false">IF(AND(ISNUMBER(E99),ISNUMBER(H99)),ROUND(E99*H99,2),"")</f>
        <v>10.88</v>
      </c>
      <c r="J99" s="3" t="s">
        <v>143</v>
      </c>
      <c r="K99" s="3" t="n">
        <v>23</v>
      </c>
      <c r="L99" s="4" t="n">
        <f aca="false">IF(AND(J99="PL23_ESTIMATE",ISNUMBER(I99)),ROUND(I99*K99/100,2),"")</f>
        <v>2.5</v>
      </c>
      <c r="M99" s="3"/>
      <c r="N99" s="4" t="n">
        <f aca="false">IF(J99="SOURCE_GROSS",IF(AND(ISNUMBER(E99),ISNUMBER(M99)),ROUND(E99*M99,2),""),IF(ISNUMBER(I99),ROUND(I99+L99,2),""))</f>
        <v>13.38</v>
      </c>
      <c r="O99" s="3" t="s">
        <v>500</v>
      </c>
      <c r="P99" s="3" t="s">
        <v>501</v>
      </c>
      <c r="Q99" s="3" t="s">
        <v>218</v>
      </c>
      <c r="R99" s="7" t="s">
        <v>502</v>
      </c>
      <c r="S99" s="3" t="s">
        <v>148</v>
      </c>
    </row>
    <row r="100" customFormat="false" ht="69.75" hidden="false" customHeight="true" outlineLevel="0" collapsed="false">
      <c r="A100" s="2" t="s">
        <v>66</v>
      </c>
      <c r="B100" s="2" t="s">
        <v>504</v>
      </c>
      <c r="C100" s="2" t="s">
        <v>489</v>
      </c>
      <c r="D100" s="2" t="s">
        <v>498</v>
      </c>
      <c r="E100" s="2" t="n">
        <v>1</v>
      </c>
      <c r="F100" s="2" t="s">
        <v>251</v>
      </c>
      <c r="G100" s="2" t="s">
        <v>499</v>
      </c>
      <c r="H100" s="2" t="n">
        <v>10.88</v>
      </c>
      <c r="I100" s="4" t="n">
        <f aca="false">IF(AND(ISNUMBER(E100),ISNUMBER(H100)),ROUND(E100*H100,2),"")</f>
        <v>10.88</v>
      </c>
      <c r="J100" s="2" t="s">
        <v>143</v>
      </c>
      <c r="K100" s="2" t="n">
        <v>23</v>
      </c>
      <c r="L100" s="4" t="n">
        <f aca="false">IF(AND(J100="PL23_ESTIMATE",ISNUMBER(I100)),ROUND(I100*K100/100,2),"")</f>
        <v>2.5</v>
      </c>
      <c r="M100" s="2"/>
      <c r="N100" s="4" t="n">
        <f aca="false">IF(J100="SOURCE_GROSS",IF(AND(ISNUMBER(E100),ISNUMBER(M100)),ROUND(E100*M100,2),""),IF(ISNUMBER(I100),ROUND(I100+L100,2),""))</f>
        <v>13.38</v>
      </c>
      <c r="O100" s="2" t="s">
        <v>500</v>
      </c>
      <c r="P100" s="2" t="s">
        <v>501</v>
      </c>
      <c r="Q100" s="2" t="s">
        <v>218</v>
      </c>
      <c r="R100" s="6" t="s">
        <v>502</v>
      </c>
      <c r="S100" s="2" t="s">
        <v>148</v>
      </c>
    </row>
    <row r="101" customFormat="false" ht="69.75" hidden="false" customHeight="true" outlineLevel="0" collapsed="false">
      <c r="A101" s="3" t="s">
        <v>60</v>
      </c>
      <c r="B101" s="3" t="s">
        <v>505</v>
      </c>
      <c r="C101" s="3" t="s">
        <v>489</v>
      </c>
      <c r="D101" s="3" t="s">
        <v>506</v>
      </c>
      <c r="E101" s="3" t="n">
        <v>1</v>
      </c>
      <c r="F101" s="3" t="s">
        <v>251</v>
      </c>
      <c r="G101" s="3" t="s">
        <v>507</v>
      </c>
      <c r="H101" s="3" t="n">
        <v>407.42</v>
      </c>
      <c r="I101" s="4" t="n">
        <f aca="false">IF(AND(ISNUMBER(E101),ISNUMBER(H101)),ROUND(E101*H101,2),"")</f>
        <v>407.42</v>
      </c>
      <c r="J101" s="3" t="s">
        <v>143</v>
      </c>
      <c r="K101" s="3" t="n">
        <v>23</v>
      </c>
      <c r="L101" s="4" t="n">
        <f aca="false">IF(AND(J101="PL23_ESTIMATE",ISNUMBER(I101)),ROUND(I101*K101/100,2),"")</f>
        <v>93.71</v>
      </c>
      <c r="M101" s="3"/>
      <c r="N101" s="4" t="n">
        <f aca="false">IF(J101="SOURCE_GROSS",IF(AND(ISNUMBER(E101),ISNUMBER(M101)),ROUND(E101*M101,2),""),IF(ISNUMBER(I101),ROUND(I101+L101,2),""))</f>
        <v>501.13</v>
      </c>
      <c r="O101" s="3" t="s">
        <v>508</v>
      </c>
      <c r="P101" s="3" t="s">
        <v>509</v>
      </c>
      <c r="Q101" s="3" t="s">
        <v>218</v>
      </c>
      <c r="R101" s="7" t="s">
        <v>510</v>
      </c>
      <c r="S101" s="3" t="s">
        <v>148</v>
      </c>
    </row>
    <row r="102" customFormat="false" ht="69.75" hidden="false" customHeight="true" outlineLevel="0" collapsed="false">
      <c r="A102" s="2" t="s">
        <v>65</v>
      </c>
      <c r="B102" s="2" t="s">
        <v>511</v>
      </c>
      <c r="C102" s="2" t="s">
        <v>489</v>
      </c>
      <c r="D102" s="2" t="s">
        <v>506</v>
      </c>
      <c r="E102" s="2" t="n">
        <v>1</v>
      </c>
      <c r="F102" s="2" t="s">
        <v>251</v>
      </c>
      <c r="G102" s="2" t="s">
        <v>507</v>
      </c>
      <c r="H102" s="2" t="n">
        <v>407.42</v>
      </c>
      <c r="I102" s="4" t="n">
        <f aca="false">IF(AND(ISNUMBER(E102),ISNUMBER(H102)),ROUND(E102*H102,2),"")</f>
        <v>407.42</v>
      </c>
      <c r="J102" s="2" t="s">
        <v>143</v>
      </c>
      <c r="K102" s="2" t="n">
        <v>23</v>
      </c>
      <c r="L102" s="4" t="n">
        <f aca="false">IF(AND(J102="PL23_ESTIMATE",ISNUMBER(I102)),ROUND(I102*K102/100,2),"")</f>
        <v>93.71</v>
      </c>
      <c r="M102" s="2"/>
      <c r="N102" s="4" t="n">
        <f aca="false">IF(J102="SOURCE_GROSS",IF(AND(ISNUMBER(E102),ISNUMBER(M102)),ROUND(E102*M102,2),""),IF(ISNUMBER(I102),ROUND(I102+L102,2),""))</f>
        <v>501.13</v>
      </c>
      <c r="O102" s="2" t="s">
        <v>508</v>
      </c>
      <c r="P102" s="2" t="s">
        <v>509</v>
      </c>
      <c r="Q102" s="2" t="s">
        <v>218</v>
      </c>
      <c r="R102" s="6" t="s">
        <v>510</v>
      </c>
      <c r="S102" s="2" t="s">
        <v>148</v>
      </c>
    </row>
    <row r="103" customFormat="false" ht="69.75" hidden="false" customHeight="true" outlineLevel="0" collapsed="false">
      <c r="A103" s="3" t="s">
        <v>66</v>
      </c>
      <c r="B103" s="3" t="s">
        <v>512</v>
      </c>
      <c r="C103" s="3" t="s">
        <v>489</v>
      </c>
      <c r="D103" s="3" t="s">
        <v>506</v>
      </c>
      <c r="E103" s="3" t="n">
        <v>1</v>
      </c>
      <c r="F103" s="3" t="s">
        <v>251</v>
      </c>
      <c r="G103" s="3" t="s">
        <v>507</v>
      </c>
      <c r="H103" s="3" t="n">
        <v>407.42</v>
      </c>
      <c r="I103" s="4" t="n">
        <f aca="false">IF(AND(ISNUMBER(E103),ISNUMBER(H103)),ROUND(E103*H103,2),"")</f>
        <v>407.42</v>
      </c>
      <c r="J103" s="3" t="s">
        <v>143</v>
      </c>
      <c r="K103" s="3" t="n">
        <v>23</v>
      </c>
      <c r="L103" s="4" t="n">
        <f aca="false">IF(AND(J103="PL23_ESTIMATE",ISNUMBER(I103)),ROUND(I103*K103/100,2),"")</f>
        <v>93.71</v>
      </c>
      <c r="M103" s="3"/>
      <c r="N103" s="4" t="n">
        <f aca="false">IF(J103="SOURCE_GROSS",IF(AND(ISNUMBER(E103),ISNUMBER(M103)),ROUND(E103*M103,2),""),IF(ISNUMBER(I103),ROUND(I103+L103,2),""))</f>
        <v>501.13</v>
      </c>
      <c r="O103" s="3" t="s">
        <v>508</v>
      </c>
      <c r="P103" s="3" t="s">
        <v>509</v>
      </c>
      <c r="Q103" s="3" t="s">
        <v>218</v>
      </c>
      <c r="R103" s="7" t="s">
        <v>510</v>
      </c>
      <c r="S103" s="3" t="s">
        <v>148</v>
      </c>
    </row>
    <row r="104" customFormat="false" ht="69.75" hidden="false" customHeight="true" outlineLevel="0" collapsed="false">
      <c r="A104" s="2" t="s">
        <v>88</v>
      </c>
      <c r="B104" s="2" t="s">
        <v>513</v>
      </c>
      <c r="C104" s="2" t="s">
        <v>338</v>
      </c>
      <c r="D104" s="2" t="s">
        <v>514</v>
      </c>
      <c r="E104" s="2" t="n">
        <v>2</v>
      </c>
      <c r="F104" s="2" t="s">
        <v>251</v>
      </c>
      <c r="G104" s="2" t="s">
        <v>515</v>
      </c>
      <c r="H104" s="2" t="n">
        <v>499.66</v>
      </c>
      <c r="I104" s="4" t="n">
        <f aca="false">IF(AND(ISNUMBER(E104),ISNUMBER(H104)),ROUND(E104*H104,2),"")</f>
        <v>999.32</v>
      </c>
      <c r="J104" s="2" t="s">
        <v>143</v>
      </c>
      <c r="K104" s="2" t="n">
        <v>23</v>
      </c>
      <c r="L104" s="4" t="n">
        <f aca="false">IF(AND(J104="PL23_ESTIMATE",ISNUMBER(I104)),ROUND(I104*K104/100,2),"")</f>
        <v>229.84</v>
      </c>
      <c r="M104" s="2"/>
      <c r="N104" s="4" t="n">
        <f aca="false">IF(J104="SOURCE_GROSS",IF(AND(ISNUMBER(E104),ISNUMBER(M104)),ROUND(E104*M104,2),""),IF(ISNUMBER(I104),ROUND(I104+L104,2),""))</f>
        <v>1229.16</v>
      </c>
      <c r="O104" s="2" t="s">
        <v>516</v>
      </c>
      <c r="P104" s="2" t="s">
        <v>517</v>
      </c>
      <c r="Q104" s="2" t="s">
        <v>218</v>
      </c>
      <c r="R104" s="6" t="s">
        <v>518</v>
      </c>
      <c r="S104" s="2" t="s">
        <v>148</v>
      </c>
    </row>
    <row r="105" customFormat="false" ht="69.75" hidden="false" customHeight="true" outlineLevel="0" collapsed="false">
      <c r="A105" s="3" t="s">
        <v>93</v>
      </c>
      <c r="B105" s="3" t="s">
        <v>519</v>
      </c>
      <c r="C105" s="3" t="s">
        <v>338</v>
      </c>
      <c r="D105" s="3" t="s">
        <v>514</v>
      </c>
      <c r="E105" s="3" t="n">
        <v>2</v>
      </c>
      <c r="F105" s="3" t="s">
        <v>251</v>
      </c>
      <c r="G105" s="3" t="s">
        <v>515</v>
      </c>
      <c r="H105" s="3" t="n">
        <v>499.66</v>
      </c>
      <c r="I105" s="4" t="n">
        <f aca="false">IF(AND(ISNUMBER(E105),ISNUMBER(H105)),ROUND(E105*H105,2),"")</f>
        <v>999.32</v>
      </c>
      <c r="J105" s="3" t="s">
        <v>143</v>
      </c>
      <c r="K105" s="3" t="n">
        <v>23</v>
      </c>
      <c r="L105" s="4" t="n">
        <f aca="false">IF(AND(J105="PL23_ESTIMATE",ISNUMBER(I105)),ROUND(I105*K105/100,2),"")</f>
        <v>229.84</v>
      </c>
      <c r="M105" s="3"/>
      <c r="N105" s="4" t="n">
        <f aca="false">IF(J105="SOURCE_GROSS",IF(AND(ISNUMBER(E105),ISNUMBER(M105)),ROUND(E105*M105,2),""),IF(ISNUMBER(I105),ROUND(I105+L105,2),""))</f>
        <v>1229.16</v>
      </c>
      <c r="O105" s="3" t="s">
        <v>516</v>
      </c>
      <c r="P105" s="3" t="s">
        <v>517</v>
      </c>
      <c r="Q105" s="3" t="s">
        <v>218</v>
      </c>
      <c r="R105" s="7" t="s">
        <v>518</v>
      </c>
      <c r="S105" s="3" t="s">
        <v>148</v>
      </c>
    </row>
    <row r="106" customFormat="false" ht="69.75" hidden="false" customHeight="true" outlineLevel="0" collapsed="false">
      <c r="A106" s="2" t="s">
        <v>94</v>
      </c>
      <c r="B106" s="2" t="s">
        <v>520</v>
      </c>
      <c r="C106" s="2" t="s">
        <v>338</v>
      </c>
      <c r="D106" s="2" t="s">
        <v>514</v>
      </c>
      <c r="E106" s="2" t="n">
        <v>2</v>
      </c>
      <c r="F106" s="2" t="s">
        <v>251</v>
      </c>
      <c r="G106" s="2" t="s">
        <v>515</v>
      </c>
      <c r="H106" s="2" t="n">
        <v>499.66</v>
      </c>
      <c r="I106" s="4" t="n">
        <f aca="false">IF(AND(ISNUMBER(E106),ISNUMBER(H106)),ROUND(E106*H106,2),"")</f>
        <v>999.32</v>
      </c>
      <c r="J106" s="2" t="s">
        <v>143</v>
      </c>
      <c r="K106" s="2" t="n">
        <v>23</v>
      </c>
      <c r="L106" s="4" t="n">
        <f aca="false">IF(AND(J106="PL23_ESTIMATE",ISNUMBER(I106)),ROUND(I106*K106/100,2),"")</f>
        <v>229.84</v>
      </c>
      <c r="M106" s="2"/>
      <c r="N106" s="4" t="n">
        <f aca="false">IF(J106="SOURCE_GROSS",IF(AND(ISNUMBER(E106),ISNUMBER(M106)),ROUND(E106*M106,2),""),IF(ISNUMBER(I106),ROUND(I106+L106,2),""))</f>
        <v>1229.16</v>
      </c>
      <c r="O106" s="2" t="s">
        <v>516</v>
      </c>
      <c r="P106" s="2" t="s">
        <v>517</v>
      </c>
      <c r="Q106" s="2" t="s">
        <v>218</v>
      </c>
      <c r="R106" s="6" t="s">
        <v>518</v>
      </c>
      <c r="S106" s="2" t="s">
        <v>148</v>
      </c>
    </row>
    <row r="107" customFormat="false" ht="69.75" hidden="false" customHeight="true" outlineLevel="0" collapsed="false">
      <c r="A107" s="3" t="s">
        <v>88</v>
      </c>
      <c r="B107" s="3" t="s">
        <v>521</v>
      </c>
      <c r="C107" s="3" t="s">
        <v>345</v>
      </c>
      <c r="D107" s="3" t="s">
        <v>522</v>
      </c>
      <c r="E107" s="3" t="n">
        <v>2</v>
      </c>
      <c r="F107" s="3" t="s">
        <v>251</v>
      </c>
      <c r="G107" s="3" t="s">
        <v>523</v>
      </c>
      <c r="H107" s="3" t="n">
        <v>147.86</v>
      </c>
      <c r="I107" s="4" t="n">
        <f aca="false">IF(AND(ISNUMBER(E107),ISNUMBER(H107)),ROUND(E107*H107,2),"")</f>
        <v>295.72</v>
      </c>
      <c r="J107" s="3" t="s">
        <v>143</v>
      </c>
      <c r="K107" s="3" t="n">
        <v>23</v>
      </c>
      <c r="L107" s="4" t="n">
        <f aca="false">IF(AND(J107="PL23_ESTIMATE",ISNUMBER(I107)),ROUND(I107*K107/100,2),"")</f>
        <v>68.02</v>
      </c>
      <c r="M107" s="3"/>
      <c r="N107" s="4" t="n">
        <f aca="false">IF(J107="SOURCE_GROSS",IF(AND(ISNUMBER(E107),ISNUMBER(M107)),ROUND(E107*M107,2),""),IF(ISNUMBER(I107),ROUND(I107+L107,2),""))</f>
        <v>363.74</v>
      </c>
      <c r="O107" s="3" t="s">
        <v>524</v>
      </c>
      <c r="P107" s="3" t="s">
        <v>525</v>
      </c>
      <c r="Q107" s="3" t="s">
        <v>218</v>
      </c>
      <c r="R107" s="7" t="s">
        <v>526</v>
      </c>
      <c r="S107" s="3" t="s">
        <v>148</v>
      </c>
    </row>
    <row r="108" customFormat="false" ht="69.75" hidden="false" customHeight="true" outlineLevel="0" collapsed="false">
      <c r="A108" s="2" t="s">
        <v>93</v>
      </c>
      <c r="B108" s="2" t="s">
        <v>527</v>
      </c>
      <c r="C108" s="2" t="s">
        <v>345</v>
      </c>
      <c r="D108" s="2" t="s">
        <v>522</v>
      </c>
      <c r="E108" s="2" t="n">
        <v>2</v>
      </c>
      <c r="F108" s="2" t="s">
        <v>251</v>
      </c>
      <c r="G108" s="2" t="s">
        <v>523</v>
      </c>
      <c r="H108" s="2" t="n">
        <v>147.86</v>
      </c>
      <c r="I108" s="4" t="n">
        <f aca="false">IF(AND(ISNUMBER(E108),ISNUMBER(H108)),ROUND(E108*H108,2),"")</f>
        <v>295.72</v>
      </c>
      <c r="J108" s="2" t="s">
        <v>143</v>
      </c>
      <c r="K108" s="2" t="n">
        <v>23</v>
      </c>
      <c r="L108" s="4" t="n">
        <f aca="false">IF(AND(J108="PL23_ESTIMATE",ISNUMBER(I108)),ROUND(I108*K108/100,2),"")</f>
        <v>68.02</v>
      </c>
      <c r="M108" s="2"/>
      <c r="N108" s="4" t="n">
        <f aca="false">IF(J108="SOURCE_GROSS",IF(AND(ISNUMBER(E108),ISNUMBER(M108)),ROUND(E108*M108,2),""),IF(ISNUMBER(I108),ROUND(I108+L108,2),""))</f>
        <v>363.74</v>
      </c>
      <c r="O108" s="2" t="s">
        <v>524</v>
      </c>
      <c r="P108" s="2" t="s">
        <v>525</v>
      </c>
      <c r="Q108" s="2" t="s">
        <v>218</v>
      </c>
      <c r="R108" s="6" t="s">
        <v>526</v>
      </c>
      <c r="S108" s="2" t="s">
        <v>148</v>
      </c>
    </row>
    <row r="109" customFormat="false" ht="69.75" hidden="false" customHeight="true" outlineLevel="0" collapsed="false">
      <c r="A109" s="3" t="s">
        <v>94</v>
      </c>
      <c r="B109" s="3" t="s">
        <v>528</v>
      </c>
      <c r="C109" s="3" t="s">
        <v>345</v>
      </c>
      <c r="D109" s="3" t="s">
        <v>522</v>
      </c>
      <c r="E109" s="3" t="n">
        <v>2</v>
      </c>
      <c r="F109" s="3" t="s">
        <v>251</v>
      </c>
      <c r="G109" s="3" t="s">
        <v>523</v>
      </c>
      <c r="H109" s="3" t="n">
        <v>147.86</v>
      </c>
      <c r="I109" s="4" t="n">
        <f aca="false">IF(AND(ISNUMBER(E109),ISNUMBER(H109)),ROUND(E109*H109,2),"")</f>
        <v>295.72</v>
      </c>
      <c r="J109" s="3" t="s">
        <v>143</v>
      </c>
      <c r="K109" s="3" t="n">
        <v>23</v>
      </c>
      <c r="L109" s="4" t="n">
        <f aca="false">IF(AND(J109="PL23_ESTIMATE",ISNUMBER(I109)),ROUND(I109*K109/100,2),"")</f>
        <v>68.02</v>
      </c>
      <c r="M109" s="3"/>
      <c r="N109" s="4" t="n">
        <f aca="false">IF(J109="SOURCE_GROSS",IF(AND(ISNUMBER(E109),ISNUMBER(M109)),ROUND(E109*M109,2),""),IF(ISNUMBER(I109),ROUND(I109+L109,2),""))</f>
        <v>363.74</v>
      </c>
      <c r="O109" s="3" t="s">
        <v>524</v>
      </c>
      <c r="P109" s="3" t="s">
        <v>525</v>
      </c>
      <c r="Q109" s="3" t="s">
        <v>218</v>
      </c>
      <c r="R109" s="7" t="s">
        <v>526</v>
      </c>
      <c r="S109" s="3" t="s">
        <v>148</v>
      </c>
    </row>
    <row r="110" customFormat="false" ht="69.75" hidden="false" customHeight="true" outlineLevel="0" collapsed="false">
      <c r="A110" s="2" t="s">
        <v>95</v>
      </c>
      <c r="B110" s="2" t="s">
        <v>529</v>
      </c>
      <c r="C110" s="2" t="s">
        <v>377</v>
      </c>
      <c r="D110" s="2" t="s">
        <v>530</v>
      </c>
      <c r="E110" s="2" t="n">
        <v>2</v>
      </c>
      <c r="F110" s="2" t="s">
        <v>531</v>
      </c>
      <c r="G110" s="2" t="s">
        <v>532</v>
      </c>
      <c r="H110" s="2" t="n">
        <v>54.58</v>
      </c>
      <c r="I110" s="4" t="n">
        <f aca="false">IF(AND(ISNUMBER(E110),ISNUMBER(H110)),ROUND(E110*H110,2),"")</f>
        <v>109.16</v>
      </c>
      <c r="J110" s="2" t="s">
        <v>143</v>
      </c>
      <c r="K110" s="2" t="n">
        <v>23</v>
      </c>
      <c r="L110" s="4" t="n">
        <f aca="false">IF(AND(J110="PL23_ESTIMATE",ISNUMBER(I110)),ROUND(I110*K110/100,2),"")</f>
        <v>25.11</v>
      </c>
      <c r="M110" s="2"/>
      <c r="N110" s="4" t="n">
        <f aca="false">IF(J110="SOURCE_GROSS",IF(AND(ISNUMBER(E110),ISNUMBER(M110)),ROUND(E110*M110,2),""),IF(ISNUMBER(I110),ROUND(I110+L110,2),""))</f>
        <v>134.27</v>
      </c>
      <c r="O110" s="2" t="s">
        <v>533</v>
      </c>
      <c r="P110" s="2" t="s">
        <v>534</v>
      </c>
      <c r="Q110" s="2" t="s">
        <v>218</v>
      </c>
      <c r="R110" s="6" t="s">
        <v>535</v>
      </c>
      <c r="S110" s="2" t="s">
        <v>148</v>
      </c>
    </row>
    <row r="111" customFormat="false" ht="69.75" hidden="false" customHeight="true" outlineLevel="0" collapsed="false">
      <c r="A111" s="3" t="s">
        <v>100</v>
      </c>
      <c r="B111" s="3" t="s">
        <v>536</v>
      </c>
      <c r="C111" s="3" t="s">
        <v>377</v>
      </c>
      <c r="D111" s="3" t="s">
        <v>530</v>
      </c>
      <c r="E111" s="3" t="n">
        <v>2</v>
      </c>
      <c r="F111" s="3" t="s">
        <v>531</v>
      </c>
      <c r="G111" s="3" t="s">
        <v>532</v>
      </c>
      <c r="H111" s="3" t="n">
        <v>54.58</v>
      </c>
      <c r="I111" s="4" t="n">
        <f aca="false">IF(AND(ISNUMBER(E111),ISNUMBER(H111)),ROUND(E111*H111,2),"")</f>
        <v>109.16</v>
      </c>
      <c r="J111" s="3" t="s">
        <v>143</v>
      </c>
      <c r="K111" s="3" t="n">
        <v>23</v>
      </c>
      <c r="L111" s="4" t="n">
        <f aca="false">IF(AND(J111="PL23_ESTIMATE",ISNUMBER(I111)),ROUND(I111*K111/100,2),"")</f>
        <v>25.11</v>
      </c>
      <c r="M111" s="3"/>
      <c r="N111" s="4" t="n">
        <f aca="false">IF(J111="SOURCE_GROSS",IF(AND(ISNUMBER(E111),ISNUMBER(M111)),ROUND(E111*M111,2),""),IF(ISNUMBER(I111),ROUND(I111+L111,2),""))</f>
        <v>134.27</v>
      </c>
      <c r="O111" s="3" t="s">
        <v>533</v>
      </c>
      <c r="P111" s="3" t="s">
        <v>534</v>
      </c>
      <c r="Q111" s="3" t="s">
        <v>218</v>
      </c>
      <c r="R111" s="7" t="s">
        <v>535</v>
      </c>
      <c r="S111" s="3" t="s">
        <v>148</v>
      </c>
    </row>
    <row r="112" customFormat="false" ht="69.75" hidden="false" customHeight="true" outlineLevel="0" collapsed="false">
      <c r="A112" s="2" t="s">
        <v>101</v>
      </c>
      <c r="B112" s="2" t="s">
        <v>537</v>
      </c>
      <c r="C112" s="2" t="s">
        <v>377</v>
      </c>
      <c r="D112" s="2" t="s">
        <v>530</v>
      </c>
      <c r="E112" s="2" t="n">
        <v>2</v>
      </c>
      <c r="F112" s="2" t="s">
        <v>531</v>
      </c>
      <c r="G112" s="2" t="s">
        <v>532</v>
      </c>
      <c r="H112" s="2" t="n">
        <v>54.58</v>
      </c>
      <c r="I112" s="4" t="n">
        <f aca="false">IF(AND(ISNUMBER(E112),ISNUMBER(H112)),ROUND(E112*H112,2),"")</f>
        <v>109.16</v>
      </c>
      <c r="J112" s="2" t="s">
        <v>143</v>
      </c>
      <c r="K112" s="2" t="n">
        <v>23</v>
      </c>
      <c r="L112" s="4" t="n">
        <f aca="false">IF(AND(J112="PL23_ESTIMATE",ISNUMBER(I112)),ROUND(I112*K112/100,2),"")</f>
        <v>25.11</v>
      </c>
      <c r="M112" s="2"/>
      <c r="N112" s="4" t="n">
        <f aca="false">IF(J112="SOURCE_GROSS",IF(AND(ISNUMBER(E112),ISNUMBER(M112)),ROUND(E112*M112,2),""),IF(ISNUMBER(I112),ROUND(I112+L112,2),""))</f>
        <v>134.27</v>
      </c>
      <c r="O112" s="2" t="s">
        <v>533</v>
      </c>
      <c r="P112" s="2" t="s">
        <v>534</v>
      </c>
      <c r="Q112" s="2" t="s">
        <v>218</v>
      </c>
      <c r="R112" s="6" t="s">
        <v>535</v>
      </c>
      <c r="S112" s="2" t="s">
        <v>148</v>
      </c>
    </row>
    <row r="113" customFormat="false" ht="69.75" hidden="false" customHeight="true" outlineLevel="0" collapsed="false">
      <c r="A113" s="3" t="s">
        <v>95</v>
      </c>
      <c r="B113" s="3" t="s">
        <v>538</v>
      </c>
      <c r="C113" s="3" t="s">
        <v>394</v>
      </c>
      <c r="D113" s="3" t="s">
        <v>539</v>
      </c>
      <c r="E113" s="3" t="n">
        <v>1</v>
      </c>
      <c r="F113" s="3" t="s">
        <v>531</v>
      </c>
      <c r="G113" s="3" t="s">
        <v>540</v>
      </c>
      <c r="H113" s="3"/>
      <c r="I113" s="4" t="str">
        <f aca="false">IF(AND(ISNUMBER(E113),ISNUMBER(H113)),ROUND(E113*H113,2),"")</f>
        <v/>
      </c>
      <c r="J113" s="3" t="s">
        <v>153</v>
      </c>
      <c r="K113" s="3"/>
      <c r="L113" s="4" t="str">
        <f aca="false">IF(AND(J113="PL23_ESTIMATE",ISNUMBER(I113)),ROUND(I113*K113/100,2),"")</f>
        <v/>
      </c>
      <c r="M113" s="3" t="n">
        <v>586.4</v>
      </c>
      <c r="N113" s="4" t="n">
        <f aca="false">IF(J113="SOURCE_GROSS",IF(AND(ISNUMBER(E113),ISNUMBER(M113)),ROUND(E113*M113,2),""),IF(ISNUMBER(I113),ROUND(I113+L113,2),""))</f>
        <v>586.4</v>
      </c>
      <c r="O113" s="3" t="s">
        <v>541</v>
      </c>
      <c r="P113" s="3" t="s">
        <v>542</v>
      </c>
      <c r="Q113" s="3" t="s">
        <v>218</v>
      </c>
      <c r="R113" s="7" t="s">
        <v>543</v>
      </c>
      <c r="S113" s="3" t="s">
        <v>148</v>
      </c>
    </row>
    <row r="114" customFormat="false" ht="69.75" hidden="false" customHeight="true" outlineLevel="0" collapsed="false">
      <c r="A114" s="2" t="s">
        <v>100</v>
      </c>
      <c r="B114" s="2" t="s">
        <v>544</v>
      </c>
      <c r="C114" s="2" t="s">
        <v>394</v>
      </c>
      <c r="D114" s="2" t="s">
        <v>539</v>
      </c>
      <c r="E114" s="2" t="n">
        <v>1</v>
      </c>
      <c r="F114" s="2" t="s">
        <v>531</v>
      </c>
      <c r="G114" s="2" t="s">
        <v>540</v>
      </c>
      <c r="H114" s="2"/>
      <c r="I114" s="4" t="str">
        <f aca="false">IF(AND(ISNUMBER(E114),ISNUMBER(H114)),ROUND(E114*H114,2),"")</f>
        <v/>
      </c>
      <c r="J114" s="2" t="s">
        <v>153</v>
      </c>
      <c r="K114" s="2"/>
      <c r="L114" s="4" t="str">
        <f aca="false">IF(AND(J114="PL23_ESTIMATE",ISNUMBER(I114)),ROUND(I114*K114/100,2),"")</f>
        <v/>
      </c>
      <c r="M114" s="2" t="n">
        <v>586.4</v>
      </c>
      <c r="N114" s="4" t="n">
        <f aca="false">IF(J114="SOURCE_GROSS",IF(AND(ISNUMBER(E114),ISNUMBER(M114)),ROUND(E114*M114,2),""),IF(ISNUMBER(I114),ROUND(I114+L114,2),""))</f>
        <v>586.4</v>
      </c>
      <c r="O114" s="2" t="s">
        <v>541</v>
      </c>
      <c r="P114" s="2" t="s">
        <v>542</v>
      </c>
      <c r="Q114" s="2" t="s">
        <v>218</v>
      </c>
      <c r="R114" s="6" t="s">
        <v>543</v>
      </c>
      <c r="S114" s="2" t="s">
        <v>148</v>
      </c>
    </row>
    <row r="115" customFormat="false" ht="69.75" hidden="false" customHeight="true" outlineLevel="0" collapsed="false">
      <c r="A115" s="3" t="s">
        <v>101</v>
      </c>
      <c r="B115" s="3" t="s">
        <v>545</v>
      </c>
      <c r="C115" s="3" t="s">
        <v>394</v>
      </c>
      <c r="D115" s="3" t="s">
        <v>539</v>
      </c>
      <c r="E115" s="3" t="n">
        <v>1</v>
      </c>
      <c r="F115" s="3" t="s">
        <v>531</v>
      </c>
      <c r="G115" s="3" t="s">
        <v>540</v>
      </c>
      <c r="H115" s="3"/>
      <c r="I115" s="4" t="str">
        <f aca="false">IF(AND(ISNUMBER(E115),ISNUMBER(H115)),ROUND(E115*H115,2),"")</f>
        <v/>
      </c>
      <c r="J115" s="3" t="s">
        <v>153</v>
      </c>
      <c r="K115" s="3"/>
      <c r="L115" s="4" t="str">
        <f aca="false">IF(AND(J115="PL23_ESTIMATE",ISNUMBER(I115)),ROUND(I115*K115/100,2),"")</f>
        <v/>
      </c>
      <c r="M115" s="3" t="n">
        <v>586.4</v>
      </c>
      <c r="N115" s="4" t="n">
        <f aca="false">IF(J115="SOURCE_GROSS",IF(AND(ISNUMBER(E115),ISNUMBER(M115)),ROUND(E115*M115,2),""),IF(ISNUMBER(I115),ROUND(I115+L115,2),""))</f>
        <v>586.4</v>
      </c>
      <c r="O115" s="3" t="s">
        <v>541</v>
      </c>
      <c r="P115" s="3" t="s">
        <v>542</v>
      </c>
      <c r="Q115" s="3" t="s">
        <v>218</v>
      </c>
      <c r="R115" s="7" t="s">
        <v>543</v>
      </c>
      <c r="S115" s="3" t="s">
        <v>148</v>
      </c>
    </row>
    <row r="116" customFormat="false" ht="69.75" hidden="false" customHeight="true" outlineLevel="0" collapsed="false">
      <c r="A116" s="2" t="s">
        <v>81</v>
      </c>
      <c r="B116" s="2" t="s">
        <v>546</v>
      </c>
      <c r="C116" s="2" t="s">
        <v>547</v>
      </c>
      <c r="D116" s="2" t="s">
        <v>548</v>
      </c>
      <c r="E116" s="2" t="n">
        <v>1</v>
      </c>
      <c r="F116" s="2" t="s">
        <v>531</v>
      </c>
      <c r="G116" s="2" t="s">
        <v>549</v>
      </c>
      <c r="H116" s="2" t="n">
        <v>2260.46</v>
      </c>
      <c r="I116" s="4" t="n">
        <f aca="false">IF(AND(ISNUMBER(E116),ISNUMBER(H116)),ROUND(E116*H116,2),"")</f>
        <v>2260.46</v>
      </c>
      <c r="J116" s="2" t="s">
        <v>143</v>
      </c>
      <c r="K116" s="2" t="n">
        <v>23</v>
      </c>
      <c r="L116" s="4" t="n">
        <f aca="false">IF(AND(J116="PL23_ESTIMATE",ISNUMBER(I116)),ROUND(I116*K116/100,2),"")</f>
        <v>519.91</v>
      </c>
      <c r="M116" s="2"/>
      <c r="N116" s="4" t="n">
        <f aca="false">IF(J116="SOURCE_GROSS",IF(AND(ISNUMBER(E116),ISNUMBER(M116)),ROUND(E116*M116,2),""),IF(ISNUMBER(I116),ROUND(I116+L116,2),""))</f>
        <v>2780.37</v>
      </c>
      <c r="O116" s="2" t="s">
        <v>550</v>
      </c>
      <c r="P116" s="2" t="s">
        <v>551</v>
      </c>
      <c r="Q116" s="2" t="s">
        <v>218</v>
      </c>
      <c r="R116" s="6" t="s">
        <v>552</v>
      </c>
      <c r="S116" s="2" t="s">
        <v>553</v>
      </c>
    </row>
    <row r="117" customFormat="false" ht="69.75" hidden="false" customHeight="true" outlineLevel="0" collapsed="false">
      <c r="A117" s="3" t="s">
        <v>86</v>
      </c>
      <c r="B117" s="3" t="s">
        <v>554</v>
      </c>
      <c r="C117" s="3" t="s">
        <v>547</v>
      </c>
      <c r="D117" s="3" t="s">
        <v>548</v>
      </c>
      <c r="E117" s="3" t="n">
        <v>1</v>
      </c>
      <c r="F117" s="3" t="s">
        <v>531</v>
      </c>
      <c r="G117" s="3" t="s">
        <v>549</v>
      </c>
      <c r="H117" s="3" t="n">
        <v>2260.46</v>
      </c>
      <c r="I117" s="4" t="n">
        <f aca="false">IF(AND(ISNUMBER(E117),ISNUMBER(H117)),ROUND(E117*H117,2),"")</f>
        <v>2260.46</v>
      </c>
      <c r="J117" s="3" t="s">
        <v>143</v>
      </c>
      <c r="K117" s="3" t="n">
        <v>23</v>
      </c>
      <c r="L117" s="4" t="n">
        <f aca="false">IF(AND(J117="PL23_ESTIMATE",ISNUMBER(I117)),ROUND(I117*K117/100,2),"")</f>
        <v>519.91</v>
      </c>
      <c r="M117" s="3"/>
      <c r="N117" s="4" t="n">
        <f aca="false">IF(J117="SOURCE_GROSS",IF(AND(ISNUMBER(E117),ISNUMBER(M117)),ROUND(E117*M117,2),""),IF(ISNUMBER(I117),ROUND(I117+L117,2),""))</f>
        <v>2780.37</v>
      </c>
      <c r="O117" s="3" t="s">
        <v>550</v>
      </c>
      <c r="P117" s="3" t="s">
        <v>551</v>
      </c>
      <c r="Q117" s="3" t="s">
        <v>218</v>
      </c>
      <c r="R117" s="7" t="s">
        <v>552</v>
      </c>
      <c r="S117" s="3" t="s">
        <v>553</v>
      </c>
    </row>
    <row r="118" customFormat="false" ht="69.75" hidden="false" customHeight="true" outlineLevel="0" collapsed="false">
      <c r="A118" s="2" t="s">
        <v>87</v>
      </c>
      <c r="B118" s="2" t="s">
        <v>555</v>
      </c>
      <c r="C118" s="2" t="s">
        <v>547</v>
      </c>
      <c r="D118" s="2" t="s">
        <v>548</v>
      </c>
      <c r="E118" s="2" t="n">
        <v>1</v>
      </c>
      <c r="F118" s="2" t="s">
        <v>531</v>
      </c>
      <c r="G118" s="2" t="s">
        <v>549</v>
      </c>
      <c r="H118" s="2" t="n">
        <v>2260.46</v>
      </c>
      <c r="I118" s="4" t="n">
        <f aca="false">IF(AND(ISNUMBER(E118),ISNUMBER(H118)),ROUND(E118*H118,2),"")</f>
        <v>2260.46</v>
      </c>
      <c r="J118" s="2" t="s">
        <v>143</v>
      </c>
      <c r="K118" s="2" t="n">
        <v>23</v>
      </c>
      <c r="L118" s="4" t="n">
        <f aca="false">IF(AND(J118="PL23_ESTIMATE",ISNUMBER(I118)),ROUND(I118*K118/100,2),"")</f>
        <v>519.91</v>
      </c>
      <c r="M118" s="2"/>
      <c r="N118" s="4" t="n">
        <f aca="false">IF(J118="SOURCE_GROSS",IF(AND(ISNUMBER(E118),ISNUMBER(M118)),ROUND(E118*M118,2),""),IF(ISNUMBER(I118),ROUND(I118+L118,2),""))</f>
        <v>2780.37</v>
      </c>
      <c r="O118" s="2" t="s">
        <v>550</v>
      </c>
      <c r="P118" s="2" t="s">
        <v>551</v>
      </c>
      <c r="Q118" s="2" t="s">
        <v>218</v>
      </c>
      <c r="R118" s="6" t="s">
        <v>552</v>
      </c>
      <c r="S118" s="2" t="s">
        <v>553</v>
      </c>
    </row>
    <row r="119" customFormat="false" ht="69.75" hidden="false" customHeight="true" outlineLevel="0" collapsed="false">
      <c r="A119" s="3" t="s">
        <v>109</v>
      </c>
      <c r="B119" s="3" t="s">
        <v>556</v>
      </c>
      <c r="C119" s="3" t="s">
        <v>557</v>
      </c>
      <c r="D119" s="3" t="s">
        <v>558</v>
      </c>
      <c r="E119" s="3" t="n">
        <v>1</v>
      </c>
      <c r="F119" s="3" t="s">
        <v>251</v>
      </c>
      <c r="G119" s="3" t="s">
        <v>559</v>
      </c>
      <c r="H119" s="3" t="n">
        <v>2817.92</v>
      </c>
      <c r="I119" s="4" t="n">
        <f aca="false">IF(AND(ISNUMBER(E119),ISNUMBER(H119)),ROUND(E119*H119,2),"")</f>
        <v>2817.92</v>
      </c>
      <c r="J119" s="3" t="s">
        <v>143</v>
      </c>
      <c r="K119" s="3" t="n">
        <v>23</v>
      </c>
      <c r="L119" s="4" t="n">
        <f aca="false">IF(AND(J119="PL23_ESTIMATE",ISNUMBER(I119)),ROUND(I119*K119/100,2),"")</f>
        <v>648.12</v>
      </c>
      <c r="M119" s="3"/>
      <c r="N119" s="4" t="n">
        <f aca="false">IF(J119="SOURCE_GROSS",IF(AND(ISNUMBER(E119),ISNUMBER(M119)),ROUND(E119*M119,2),""),IF(ISNUMBER(I119),ROUND(I119+L119,2),""))</f>
        <v>3466.04</v>
      </c>
      <c r="O119" s="3" t="s">
        <v>560</v>
      </c>
      <c r="P119" s="3" t="s">
        <v>561</v>
      </c>
      <c r="Q119" s="3" t="s">
        <v>218</v>
      </c>
      <c r="R119" s="7" t="s">
        <v>562</v>
      </c>
      <c r="S119" s="3" t="s">
        <v>148</v>
      </c>
    </row>
    <row r="120" customFormat="false" ht="69.75" hidden="false" customHeight="true" outlineLevel="0" collapsed="false">
      <c r="A120" s="2" t="s">
        <v>114</v>
      </c>
      <c r="B120" s="2" t="s">
        <v>563</v>
      </c>
      <c r="C120" s="2" t="s">
        <v>557</v>
      </c>
      <c r="D120" s="2" t="s">
        <v>558</v>
      </c>
      <c r="E120" s="2" t="n">
        <v>1</v>
      </c>
      <c r="F120" s="2" t="s">
        <v>251</v>
      </c>
      <c r="G120" s="2" t="s">
        <v>559</v>
      </c>
      <c r="H120" s="2" t="n">
        <v>2817.92</v>
      </c>
      <c r="I120" s="4" t="n">
        <f aca="false">IF(AND(ISNUMBER(E120),ISNUMBER(H120)),ROUND(E120*H120,2),"")</f>
        <v>2817.92</v>
      </c>
      <c r="J120" s="2" t="s">
        <v>143</v>
      </c>
      <c r="K120" s="2" t="n">
        <v>23</v>
      </c>
      <c r="L120" s="4" t="n">
        <f aca="false">IF(AND(J120="PL23_ESTIMATE",ISNUMBER(I120)),ROUND(I120*K120/100,2),"")</f>
        <v>648.12</v>
      </c>
      <c r="M120" s="2"/>
      <c r="N120" s="4" t="n">
        <f aca="false">IF(J120="SOURCE_GROSS",IF(AND(ISNUMBER(E120),ISNUMBER(M120)),ROUND(E120*M120,2),""),IF(ISNUMBER(I120),ROUND(I120+L120,2),""))</f>
        <v>3466.04</v>
      </c>
      <c r="O120" s="2" t="s">
        <v>560</v>
      </c>
      <c r="P120" s="2" t="s">
        <v>561</v>
      </c>
      <c r="Q120" s="2" t="s">
        <v>218</v>
      </c>
      <c r="R120" s="6" t="s">
        <v>562</v>
      </c>
      <c r="S120" s="2" t="s">
        <v>148</v>
      </c>
    </row>
    <row r="121" customFormat="false" ht="69.75" hidden="false" customHeight="true" outlineLevel="0" collapsed="false">
      <c r="A121" s="3" t="s">
        <v>115</v>
      </c>
      <c r="B121" s="3" t="s">
        <v>564</v>
      </c>
      <c r="C121" s="3" t="s">
        <v>557</v>
      </c>
      <c r="D121" s="3" t="s">
        <v>558</v>
      </c>
      <c r="E121" s="3" t="n">
        <v>1</v>
      </c>
      <c r="F121" s="3" t="s">
        <v>251</v>
      </c>
      <c r="G121" s="3" t="s">
        <v>559</v>
      </c>
      <c r="H121" s="3" t="n">
        <v>2817.92</v>
      </c>
      <c r="I121" s="4" t="n">
        <f aca="false">IF(AND(ISNUMBER(E121),ISNUMBER(H121)),ROUND(E121*H121,2),"")</f>
        <v>2817.92</v>
      </c>
      <c r="J121" s="3" t="s">
        <v>143</v>
      </c>
      <c r="K121" s="3" t="n">
        <v>23</v>
      </c>
      <c r="L121" s="4" t="n">
        <f aca="false">IF(AND(J121="PL23_ESTIMATE",ISNUMBER(I121)),ROUND(I121*K121/100,2),"")</f>
        <v>648.12</v>
      </c>
      <c r="M121" s="3"/>
      <c r="N121" s="4" t="n">
        <f aca="false">IF(J121="SOURCE_GROSS",IF(AND(ISNUMBER(E121),ISNUMBER(M121)),ROUND(E121*M121,2),""),IF(ISNUMBER(I121),ROUND(I121+L121,2),""))</f>
        <v>3466.04</v>
      </c>
      <c r="O121" s="3" t="s">
        <v>560</v>
      </c>
      <c r="P121" s="3" t="s">
        <v>561</v>
      </c>
      <c r="Q121" s="3" t="s">
        <v>218</v>
      </c>
      <c r="R121" s="7" t="s">
        <v>562</v>
      </c>
      <c r="S121" s="3" t="s">
        <v>148</v>
      </c>
    </row>
    <row r="122" customFormat="false" ht="69.75" hidden="false" customHeight="true" outlineLevel="0" collapsed="false">
      <c r="A122" s="2" t="s">
        <v>109</v>
      </c>
      <c r="B122" s="2" t="s">
        <v>565</v>
      </c>
      <c r="C122" s="2" t="s">
        <v>557</v>
      </c>
      <c r="D122" s="2" t="s">
        <v>566</v>
      </c>
      <c r="E122" s="2" t="n">
        <v>1</v>
      </c>
      <c r="F122" s="2" t="s">
        <v>251</v>
      </c>
      <c r="G122" s="2" t="s">
        <v>567</v>
      </c>
      <c r="H122" s="2" t="n">
        <v>3173.75</v>
      </c>
      <c r="I122" s="4" t="n">
        <f aca="false">IF(AND(ISNUMBER(E122),ISNUMBER(H122)),ROUND(E122*H122,2),"")</f>
        <v>3173.75</v>
      </c>
      <c r="J122" s="2" t="s">
        <v>143</v>
      </c>
      <c r="K122" s="2" t="n">
        <v>23</v>
      </c>
      <c r="L122" s="4" t="n">
        <f aca="false">IF(AND(J122="PL23_ESTIMATE",ISNUMBER(I122)),ROUND(I122*K122/100,2),"")</f>
        <v>729.96</v>
      </c>
      <c r="M122" s="2"/>
      <c r="N122" s="4" t="n">
        <f aca="false">IF(J122="SOURCE_GROSS",IF(AND(ISNUMBER(E122),ISNUMBER(M122)),ROUND(E122*M122,2),""),IF(ISNUMBER(I122),ROUND(I122+L122,2),""))</f>
        <v>3903.71</v>
      </c>
      <c r="O122" s="2" t="s">
        <v>560</v>
      </c>
      <c r="P122" s="2" t="s">
        <v>568</v>
      </c>
      <c r="Q122" s="2" t="s">
        <v>218</v>
      </c>
      <c r="R122" s="6" t="s">
        <v>569</v>
      </c>
      <c r="S122" s="2" t="s">
        <v>148</v>
      </c>
    </row>
    <row r="123" customFormat="false" ht="69.75" hidden="false" customHeight="true" outlineLevel="0" collapsed="false">
      <c r="A123" s="3" t="s">
        <v>114</v>
      </c>
      <c r="B123" s="3" t="s">
        <v>570</v>
      </c>
      <c r="C123" s="3" t="s">
        <v>557</v>
      </c>
      <c r="D123" s="3" t="s">
        <v>566</v>
      </c>
      <c r="E123" s="3" t="n">
        <v>1</v>
      </c>
      <c r="F123" s="3" t="s">
        <v>251</v>
      </c>
      <c r="G123" s="3" t="s">
        <v>567</v>
      </c>
      <c r="H123" s="3" t="n">
        <v>3173.75</v>
      </c>
      <c r="I123" s="4" t="n">
        <f aca="false">IF(AND(ISNUMBER(E123),ISNUMBER(H123)),ROUND(E123*H123,2),"")</f>
        <v>3173.75</v>
      </c>
      <c r="J123" s="3" t="s">
        <v>143</v>
      </c>
      <c r="K123" s="3" t="n">
        <v>23</v>
      </c>
      <c r="L123" s="4" t="n">
        <f aca="false">IF(AND(J123="PL23_ESTIMATE",ISNUMBER(I123)),ROUND(I123*K123/100,2),"")</f>
        <v>729.96</v>
      </c>
      <c r="M123" s="3"/>
      <c r="N123" s="4" t="n">
        <f aca="false">IF(J123="SOURCE_GROSS",IF(AND(ISNUMBER(E123),ISNUMBER(M123)),ROUND(E123*M123,2),""),IF(ISNUMBER(I123),ROUND(I123+L123,2),""))</f>
        <v>3903.71</v>
      </c>
      <c r="O123" s="3" t="s">
        <v>560</v>
      </c>
      <c r="P123" s="3" t="s">
        <v>568</v>
      </c>
      <c r="Q123" s="3" t="s">
        <v>218</v>
      </c>
      <c r="R123" s="7" t="s">
        <v>569</v>
      </c>
      <c r="S123" s="3" t="s">
        <v>148</v>
      </c>
    </row>
    <row r="124" customFormat="false" ht="69.75" hidden="false" customHeight="true" outlineLevel="0" collapsed="false">
      <c r="A124" s="2" t="s">
        <v>115</v>
      </c>
      <c r="B124" s="2" t="s">
        <v>571</v>
      </c>
      <c r="C124" s="2" t="s">
        <v>557</v>
      </c>
      <c r="D124" s="2" t="s">
        <v>566</v>
      </c>
      <c r="E124" s="2" t="n">
        <v>1</v>
      </c>
      <c r="F124" s="2" t="s">
        <v>251</v>
      </c>
      <c r="G124" s="2" t="s">
        <v>567</v>
      </c>
      <c r="H124" s="2" t="n">
        <v>3173.75</v>
      </c>
      <c r="I124" s="4" t="n">
        <f aca="false">IF(AND(ISNUMBER(E124),ISNUMBER(H124)),ROUND(E124*H124,2),"")</f>
        <v>3173.75</v>
      </c>
      <c r="J124" s="2" t="s">
        <v>143</v>
      </c>
      <c r="K124" s="2" t="n">
        <v>23</v>
      </c>
      <c r="L124" s="4" t="n">
        <f aca="false">IF(AND(J124="PL23_ESTIMATE",ISNUMBER(I124)),ROUND(I124*K124/100,2),"")</f>
        <v>729.96</v>
      </c>
      <c r="M124" s="2"/>
      <c r="N124" s="4" t="n">
        <f aca="false">IF(J124="SOURCE_GROSS",IF(AND(ISNUMBER(E124),ISNUMBER(M124)),ROUND(E124*M124,2),""),IF(ISNUMBER(I124),ROUND(I124+L124,2),""))</f>
        <v>3903.71</v>
      </c>
      <c r="O124" s="2" t="s">
        <v>560</v>
      </c>
      <c r="P124" s="2" t="s">
        <v>568</v>
      </c>
      <c r="Q124" s="2" t="s">
        <v>218</v>
      </c>
      <c r="R124" s="6" t="s">
        <v>569</v>
      </c>
      <c r="S124" s="2" t="s">
        <v>148</v>
      </c>
    </row>
    <row r="125" customFormat="false" ht="69.75" hidden="false" customHeight="true" outlineLevel="0" collapsed="false">
      <c r="A125" s="3" t="s">
        <v>109</v>
      </c>
      <c r="B125" s="3" t="s">
        <v>572</v>
      </c>
      <c r="C125" s="3" t="s">
        <v>557</v>
      </c>
      <c r="D125" s="3" t="s">
        <v>573</v>
      </c>
      <c r="E125" s="3" t="n">
        <v>1</v>
      </c>
      <c r="F125" s="3" t="s">
        <v>251</v>
      </c>
      <c r="G125" s="3" t="s">
        <v>574</v>
      </c>
      <c r="H125" s="3" t="n">
        <v>836.27</v>
      </c>
      <c r="I125" s="4" t="n">
        <f aca="false">IF(AND(ISNUMBER(E125),ISNUMBER(H125)),ROUND(E125*H125,2),"")</f>
        <v>836.27</v>
      </c>
      <c r="J125" s="3" t="s">
        <v>143</v>
      </c>
      <c r="K125" s="3" t="n">
        <v>23</v>
      </c>
      <c r="L125" s="4" t="n">
        <f aca="false">IF(AND(J125="PL23_ESTIMATE",ISNUMBER(I125)),ROUND(I125*K125/100,2),"")</f>
        <v>192.34</v>
      </c>
      <c r="M125" s="3"/>
      <c r="N125" s="4" t="n">
        <f aca="false">IF(J125="SOURCE_GROSS",IF(AND(ISNUMBER(E125),ISNUMBER(M125)),ROUND(E125*M125,2),""),IF(ISNUMBER(I125),ROUND(I125+L125,2),""))</f>
        <v>1028.61</v>
      </c>
      <c r="O125" s="3" t="s">
        <v>560</v>
      </c>
      <c r="P125" s="3" t="s">
        <v>575</v>
      </c>
      <c r="Q125" s="3" t="s">
        <v>218</v>
      </c>
      <c r="R125" s="7" t="s">
        <v>576</v>
      </c>
      <c r="S125" s="3" t="s">
        <v>148</v>
      </c>
    </row>
    <row r="126" customFormat="false" ht="69.75" hidden="false" customHeight="true" outlineLevel="0" collapsed="false">
      <c r="A126" s="2" t="s">
        <v>114</v>
      </c>
      <c r="B126" s="2" t="s">
        <v>577</v>
      </c>
      <c r="C126" s="2" t="s">
        <v>557</v>
      </c>
      <c r="D126" s="2" t="s">
        <v>573</v>
      </c>
      <c r="E126" s="2" t="n">
        <v>1</v>
      </c>
      <c r="F126" s="2" t="s">
        <v>251</v>
      </c>
      <c r="G126" s="2" t="s">
        <v>574</v>
      </c>
      <c r="H126" s="2" t="n">
        <v>836.27</v>
      </c>
      <c r="I126" s="4" t="n">
        <f aca="false">IF(AND(ISNUMBER(E126),ISNUMBER(H126)),ROUND(E126*H126,2),"")</f>
        <v>836.27</v>
      </c>
      <c r="J126" s="2" t="s">
        <v>143</v>
      </c>
      <c r="K126" s="2" t="n">
        <v>23</v>
      </c>
      <c r="L126" s="4" t="n">
        <f aca="false">IF(AND(J126="PL23_ESTIMATE",ISNUMBER(I126)),ROUND(I126*K126/100,2),"")</f>
        <v>192.34</v>
      </c>
      <c r="M126" s="2"/>
      <c r="N126" s="4" t="n">
        <f aca="false">IF(J126="SOURCE_GROSS",IF(AND(ISNUMBER(E126),ISNUMBER(M126)),ROUND(E126*M126,2),""),IF(ISNUMBER(I126),ROUND(I126+L126,2),""))</f>
        <v>1028.61</v>
      </c>
      <c r="O126" s="2" t="s">
        <v>560</v>
      </c>
      <c r="P126" s="2" t="s">
        <v>575</v>
      </c>
      <c r="Q126" s="2" t="s">
        <v>218</v>
      </c>
      <c r="R126" s="6" t="s">
        <v>576</v>
      </c>
      <c r="S126" s="2" t="s">
        <v>148</v>
      </c>
    </row>
    <row r="127" customFormat="false" ht="69.75" hidden="false" customHeight="true" outlineLevel="0" collapsed="false">
      <c r="A127" s="3" t="s">
        <v>115</v>
      </c>
      <c r="B127" s="3" t="s">
        <v>578</v>
      </c>
      <c r="C127" s="3" t="s">
        <v>557</v>
      </c>
      <c r="D127" s="3" t="s">
        <v>573</v>
      </c>
      <c r="E127" s="3" t="n">
        <v>1</v>
      </c>
      <c r="F127" s="3" t="s">
        <v>251</v>
      </c>
      <c r="G127" s="3" t="s">
        <v>574</v>
      </c>
      <c r="H127" s="3" t="n">
        <v>836.27</v>
      </c>
      <c r="I127" s="4" t="n">
        <f aca="false">IF(AND(ISNUMBER(E127),ISNUMBER(H127)),ROUND(E127*H127,2),"")</f>
        <v>836.27</v>
      </c>
      <c r="J127" s="3" t="s">
        <v>143</v>
      </c>
      <c r="K127" s="3" t="n">
        <v>23</v>
      </c>
      <c r="L127" s="4" t="n">
        <f aca="false">IF(AND(J127="PL23_ESTIMATE",ISNUMBER(I127)),ROUND(I127*K127/100,2),"")</f>
        <v>192.34</v>
      </c>
      <c r="M127" s="3"/>
      <c r="N127" s="4" t="n">
        <f aca="false">IF(J127="SOURCE_GROSS",IF(AND(ISNUMBER(E127),ISNUMBER(M127)),ROUND(E127*M127,2),""),IF(ISNUMBER(I127),ROUND(I127+L127,2),""))</f>
        <v>1028.61</v>
      </c>
      <c r="O127" s="3" t="s">
        <v>560</v>
      </c>
      <c r="P127" s="3" t="s">
        <v>575</v>
      </c>
      <c r="Q127" s="3" t="s">
        <v>218</v>
      </c>
      <c r="R127" s="7" t="s">
        <v>576</v>
      </c>
      <c r="S127" s="3" t="s">
        <v>148</v>
      </c>
    </row>
    <row r="128" customFormat="false" ht="69.75" hidden="false" customHeight="true" outlineLevel="0" collapsed="false">
      <c r="A128" s="2" t="s">
        <v>109</v>
      </c>
      <c r="B128" s="2" t="s">
        <v>579</v>
      </c>
      <c r="C128" s="2" t="s">
        <v>557</v>
      </c>
      <c r="D128" s="2" t="s">
        <v>580</v>
      </c>
      <c r="E128" s="2" t="n">
        <v>1</v>
      </c>
      <c r="F128" s="2" t="s">
        <v>251</v>
      </c>
      <c r="G128" s="2" t="s">
        <v>581</v>
      </c>
      <c r="H128" s="2" t="n">
        <v>604.57</v>
      </c>
      <c r="I128" s="4" t="n">
        <f aca="false">IF(AND(ISNUMBER(E128),ISNUMBER(H128)),ROUND(E128*H128,2),"")</f>
        <v>604.57</v>
      </c>
      <c r="J128" s="2" t="s">
        <v>143</v>
      </c>
      <c r="K128" s="2" t="n">
        <v>23</v>
      </c>
      <c r="L128" s="4" t="n">
        <f aca="false">IF(AND(J128="PL23_ESTIMATE",ISNUMBER(I128)),ROUND(I128*K128/100,2),"")</f>
        <v>139.05</v>
      </c>
      <c r="M128" s="2"/>
      <c r="N128" s="4" t="n">
        <f aca="false">IF(J128="SOURCE_GROSS",IF(AND(ISNUMBER(E128),ISNUMBER(M128)),ROUND(E128*M128,2),""),IF(ISNUMBER(I128),ROUND(I128+L128,2),""))</f>
        <v>743.62</v>
      </c>
      <c r="O128" s="2" t="s">
        <v>560</v>
      </c>
      <c r="P128" s="2" t="s">
        <v>582</v>
      </c>
      <c r="Q128" s="2" t="s">
        <v>218</v>
      </c>
      <c r="R128" s="6" t="s">
        <v>583</v>
      </c>
      <c r="S128" s="2" t="s">
        <v>148</v>
      </c>
    </row>
    <row r="129" customFormat="false" ht="69.75" hidden="false" customHeight="true" outlineLevel="0" collapsed="false">
      <c r="A129" s="3" t="s">
        <v>114</v>
      </c>
      <c r="B129" s="3" t="s">
        <v>584</v>
      </c>
      <c r="C129" s="3" t="s">
        <v>557</v>
      </c>
      <c r="D129" s="3" t="s">
        <v>580</v>
      </c>
      <c r="E129" s="3" t="n">
        <v>1</v>
      </c>
      <c r="F129" s="3" t="s">
        <v>251</v>
      </c>
      <c r="G129" s="3" t="s">
        <v>581</v>
      </c>
      <c r="H129" s="3" t="n">
        <v>604.57</v>
      </c>
      <c r="I129" s="4" t="n">
        <f aca="false">IF(AND(ISNUMBER(E129),ISNUMBER(H129)),ROUND(E129*H129,2),"")</f>
        <v>604.57</v>
      </c>
      <c r="J129" s="3" t="s">
        <v>143</v>
      </c>
      <c r="K129" s="3" t="n">
        <v>23</v>
      </c>
      <c r="L129" s="4" t="n">
        <f aca="false">IF(AND(J129="PL23_ESTIMATE",ISNUMBER(I129)),ROUND(I129*K129/100,2),"")</f>
        <v>139.05</v>
      </c>
      <c r="M129" s="3"/>
      <c r="N129" s="4" t="n">
        <f aca="false">IF(J129="SOURCE_GROSS",IF(AND(ISNUMBER(E129),ISNUMBER(M129)),ROUND(E129*M129,2),""),IF(ISNUMBER(I129),ROUND(I129+L129,2),""))</f>
        <v>743.62</v>
      </c>
      <c r="O129" s="3" t="s">
        <v>560</v>
      </c>
      <c r="P129" s="3" t="s">
        <v>582</v>
      </c>
      <c r="Q129" s="3" t="s">
        <v>218</v>
      </c>
      <c r="R129" s="7" t="s">
        <v>583</v>
      </c>
      <c r="S129" s="3" t="s">
        <v>148</v>
      </c>
    </row>
    <row r="130" customFormat="false" ht="69.75" hidden="false" customHeight="true" outlineLevel="0" collapsed="false">
      <c r="A130" s="2" t="s">
        <v>115</v>
      </c>
      <c r="B130" s="2" t="s">
        <v>585</v>
      </c>
      <c r="C130" s="2" t="s">
        <v>557</v>
      </c>
      <c r="D130" s="2" t="s">
        <v>580</v>
      </c>
      <c r="E130" s="2" t="n">
        <v>1</v>
      </c>
      <c r="F130" s="2" t="s">
        <v>251</v>
      </c>
      <c r="G130" s="2" t="s">
        <v>581</v>
      </c>
      <c r="H130" s="2" t="n">
        <v>604.57</v>
      </c>
      <c r="I130" s="4" t="n">
        <f aca="false">IF(AND(ISNUMBER(E130),ISNUMBER(H130)),ROUND(E130*H130,2),"")</f>
        <v>604.57</v>
      </c>
      <c r="J130" s="2" t="s">
        <v>143</v>
      </c>
      <c r="K130" s="2" t="n">
        <v>23</v>
      </c>
      <c r="L130" s="4" t="n">
        <f aca="false">IF(AND(J130="PL23_ESTIMATE",ISNUMBER(I130)),ROUND(I130*K130/100,2),"")</f>
        <v>139.05</v>
      </c>
      <c r="M130" s="2"/>
      <c r="N130" s="4" t="n">
        <f aca="false">IF(J130="SOURCE_GROSS",IF(AND(ISNUMBER(E130),ISNUMBER(M130)),ROUND(E130*M130,2),""),IF(ISNUMBER(I130),ROUND(I130+L130,2),""))</f>
        <v>743.62</v>
      </c>
      <c r="O130" s="2" t="s">
        <v>560</v>
      </c>
      <c r="P130" s="2" t="s">
        <v>582</v>
      </c>
      <c r="Q130" s="2" t="s">
        <v>218</v>
      </c>
      <c r="R130" s="6" t="s">
        <v>583</v>
      </c>
      <c r="S130" s="2" t="s">
        <v>148</v>
      </c>
    </row>
    <row r="131" customFormat="false" ht="69.75" hidden="false" customHeight="true" outlineLevel="0" collapsed="false">
      <c r="A131" s="3" t="s">
        <v>109</v>
      </c>
      <c r="B131" s="3" t="s">
        <v>586</v>
      </c>
      <c r="C131" s="3" t="s">
        <v>557</v>
      </c>
      <c r="D131" s="3" t="s">
        <v>587</v>
      </c>
      <c r="E131" s="3"/>
      <c r="F131" s="3" t="s">
        <v>251</v>
      </c>
      <c r="G131" s="3" t="s">
        <v>588</v>
      </c>
      <c r="H131" s="3" t="n">
        <v>351.45</v>
      </c>
      <c r="I131" s="4" t="str">
        <f aca="false">IF(AND(ISNUMBER(E131),ISNUMBER(H131)),ROUND(E131*H131,2),"")</f>
        <v/>
      </c>
      <c r="J131" s="3" t="s">
        <v>143</v>
      </c>
      <c r="K131" s="3" t="n">
        <v>23</v>
      </c>
      <c r="L131" s="4" t="str">
        <f aca="false">IF(AND(J131="PL23_ESTIMATE",ISNUMBER(I131)),ROUND(I131*K131/100,2),"")</f>
        <v/>
      </c>
      <c r="M131" s="3"/>
      <c r="N131" s="4" t="str">
        <f aca="false">IF(J131="SOURCE_GROSS",IF(AND(ISNUMBER(E131),ISNUMBER(M131)),ROUND(E131*M131,2),""),IF(ISNUMBER(I131),ROUND(I131+L131,2),""))</f>
        <v/>
      </c>
      <c r="O131" s="3" t="s">
        <v>589</v>
      </c>
      <c r="P131" s="3" t="s">
        <v>590</v>
      </c>
      <c r="Q131" s="3" t="s">
        <v>218</v>
      </c>
      <c r="R131" s="7" t="s">
        <v>562</v>
      </c>
      <c r="S131" s="3" t="s">
        <v>148</v>
      </c>
    </row>
    <row r="132" customFormat="false" ht="69.75" hidden="false" customHeight="true" outlineLevel="0" collapsed="false">
      <c r="A132" s="2" t="s">
        <v>114</v>
      </c>
      <c r="B132" s="2" t="s">
        <v>591</v>
      </c>
      <c r="C132" s="2" t="s">
        <v>557</v>
      </c>
      <c r="D132" s="2" t="s">
        <v>587</v>
      </c>
      <c r="E132" s="2"/>
      <c r="F132" s="2" t="s">
        <v>251</v>
      </c>
      <c r="G132" s="2" t="s">
        <v>588</v>
      </c>
      <c r="H132" s="2" t="n">
        <v>351.45</v>
      </c>
      <c r="I132" s="4" t="str">
        <f aca="false">IF(AND(ISNUMBER(E132),ISNUMBER(H132)),ROUND(E132*H132,2),"")</f>
        <v/>
      </c>
      <c r="J132" s="2" t="s">
        <v>143</v>
      </c>
      <c r="K132" s="2" t="n">
        <v>23</v>
      </c>
      <c r="L132" s="4" t="str">
        <f aca="false">IF(AND(J132="PL23_ESTIMATE",ISNUMBER(I132)),ROUND(I132*K132/100,2),"")</f>
        <v/>
      </c>
      <c r="M132" s="2"/>
      <c r="N132" s="4" t="str">
        <f aca="false">IF(J132="SOURCE_GROSS",IF(AND(ISNUMBER(E132),ISNUMBER(M132)),ROUND(E132*M132,2),""),IF(ISNUMBER(I132),ROUND(I132+L132,2),""))</f>
        <v/>
      </c>
      <c r="O132" s="2" t="s">
        <v>589</v>
      </c>
      <c r="P132" s="2" t="s">
        <v>590</v>
      </c>
      <c r="Q132" s="2" t="s">
        <v>218</v>
      </c>
      <c r="R132" s="6" t="s">
        <v>562</v>
      </c>
      <c r="S132" s="2" t="s">
        <v>148</v>
      </c>
    </row>
    <row r="133" customFormat="false" ht="69.75" hidden="false" customHeight="true" outlineLevel="0" collapsed="false">
      <c r="A133" s="3" t="s">
        <v>115</v>
      </c>
      <c r="B133" s="3" t="s">
        <v>592</v>
      </c>
      <c r="C133" s="3" t="s">
        <v>557</v>
      </c>
      <c r="D133" s="3" t="s">
        <v>587</v>
      </c>
      <c r="E133" s="3"/>
      <c r="F133" s="3" t="s">
        <v>251</v>
      </c>
      <c r="G133" s="3" t="s">
        <v>588</v>
      </c>
      <c r="H133" s="3" t="n">
        <v>351.45</v>
      </c>
      <c r="I133" s="4" t="str">
        <f aca="false">IF(AND(ISNUMBER(E133),ISNUMBER(H133)),ROUND(E133*H133,2),"")</f>
        <v/>
      </c>
      <c r="J133" s="3" t="s">
        <v>143</v>
      </c>
      <c r="K133" s="3" t="n">
        <v>23</v>
      </c>
      <c r="L133" s="4" t="str">
        <f aca="false">IF(AND(J133="PL23_ESTIMATE",ISNUMBER(I133)),ROUND(I133*K133/100,2),"")</f>
        <v/>
      </c>
      <c r="M133" s="3"/>
      <c r="N133" s="4" t="str">
        <f aca="false">IF(J133="SOURCE_GROSS",IF(AND(ISNUMBER(E133),ISNUMBER(M133)),ROUND(E133*M133,2),""),IF(ISNUMBER(I133),ROUND(I133+L133,2),""))</f>
        <v/>
      </c>
      <c r="O133" s="3" t="s">
        <v>589</v>
      </c>
      <c r="P133" s="3" t="s">
        <v>590</v>
      </c>
      <c r="Q133" s="3" t="s">
        <v>218</v>
      </c>
      <c r="R133" s="7" t="s">
        <v>562</v>
      </c>
      <c r="S133" s="3" t="s">
        <v>148</v>
      </c>
    </row>
    <row r="134" customFormat="false" ht="69.75" hidden="false" customHeight="true" outlineLevel="0" collapsed="false">
      <c r="A134" s="2" t="s">
        <v>109</v>
      </c>
      <c r="B134" s="2" t="s">
        <v>593</v>
      </c>
      <c r="C134" s="2" t="s">
        <v>557</v>
      </c>
      <c r="D134" s="2" t="s">
        <v>594</v>
      </c>
      <c r="E134" s="2"/>
      <c r="F134" s="2" t="s">
        <v>251</v>
      </c>
      <c r="G134" s="2" t="s">
        <v>595</v>
      </c>
      <c r="H134" s="2" t="n">
        <v>570.01</v>
      </c>
      <c r="I134" s="4" t="str">
        <f aca="false">IF(AND(ISNUMBER(E134),ISNUMBER(H134)),ROUND(E134*H134,2),"")</f>
        <v/>
      </c>
      <c r="J134" s="2" t="s">
        <v>143</v>
      </c>
      <c r="K134" s="2" t="n">
        <v>23</v>
      </c>
      <c r="L134" s="4" t="str">
        <f aca="false">IF(AND(J134="PL23_ESTIMATE",ISNUMBER(I134)),ROUND(I134*K134/100,2),"")</f>
        <v/>
      </c>
      <c r="M134" s="2"/>
      <c r="N134" s="4" t="str">
        <f aca="false">IF(J134="SOURCE_GROSS",IF(AND(ISNUMBER(E134),ISNUMBER(M134)),ROUND(E134*M134,2),""),IF(ISNUMBER(I134),ROUND(I134+L134,2),""))</f>
        <v/>
      </c>
      <c r="O134" s="2" t="s">
        <v>589</v>
      </c>
      <c r="P134" s="2" t="s">
        <v>596</v>
      </c>
      <c r="Q134" s="2" t="s">
        <v>218</v>
      </c>
      <c r="R134" s="6" t="s">
        <v>597</v>
      </c>
      <c r="S134" s="2" t="s">
        <v>148</v>
      </c>
    </row>
    <row r="135" customFormat="false" ht="69.75" hidden="false" customHeight="true" outlineLevel="0" collapsed="false">
      <c r="A135" s="3" t="s">
        <v>114</v>
      </c>
      <c r="B135" s="3" t="s">
        <v>598</v>
      </c>
      <c r="C135" s="3" t="s">
        <v>557</v>
      </c>
      <c r="D135" s="3" t="s">
        <v>594</v>
      </c>
      <c r="E135" s="3"/>
      <c r="F135" s="3" t="s">
        <v>251</v>
      </c>
      <c r="G135" s="3" t="s">
        <v>595</v>
      </c>
      <c r="H135" s="3" t="n">
        <v>570.01</v>
      </c>
      <c r="I135" s="4" t="str">
        <f aca="false">IF(AND(ISNUMBER(E135),ISNUMBER(H135)),ROUND(E135*H135,2),"")</f>
        <v/>
      </c>
      <c r="J135" s="3" t="s">
        <v>143</v>
      </c>
      <c r="K135" s="3" t="n">
        <v>23</v>
      </c>
      <c r="L135" s="4" t="str">
        <f aca="false">IF(AND(J135="PL23_ESTIMATE",ISNUMBER(I135)),ROUND(I135*K135/100,2),"")</f>
        <v/>
      </c>
      <c r="M135" s="3"/>
      <c r="N135" s="4" t="str">
        <f aca="false">IF(J135="SOURCE_GROSS",IF(AND(ISNUMBER(E135),ISNUMBER(M135)),ROUND(E135*M135,2),""),IF(ISNUMBER(I135),ROUND(I135+L135,2),""))</f>
        <v/>
      </c>
      <c r="O135" s="3" t="s">
        <v>589</v>
      </c>
      <c r="P135" s="3" t="s">
        <v>596</v>
      </c>
      <c r="Q135" s="3" t="s">
        <v>218</v>
      </c>
      <c r="R135" s="7" t="s">
        <v>597</v>
      </c>
      <c r="S135" s="3" t="s">
        <v>148</v>
      </c>
    </row>
    <row r="136" customFormat="false" ht="69.75" hidden="false" customHeight="true" outlineLevel="0" collapsed="false">
      <c r="A136" s="2" t="s">
        <v>115</v>
      </c>
      <c r="B136" s="2" t="s">
        <v>599</v>
      </c>
      <c r="C136" s="2" t="s">
        <v>557</v>
      </c>
      <c r="D136" s="2" t="s">
        <v>594</v>
      </c>
      <c r="E136" s="2"/>
      <c r="F136" s="2" t="s">
        <v>251</v>
      </c>
      <c r="G136" s="2" t="s">
        <v>595</v>
      </c>
      <c r="H136" s="2" t="n">
        <v>570.01</v>
      </c>
      <c r="I136" s="4" t="str">
        <f aca="false">IF(AND(ISNUMBER(E136),ISNUMBER(H136)),ROUND(E136*H136,2),"")</f>
        <v/>
      </c>
      <c r="J136" s="2" t="s">
        <v>143</v>
      </c>
      <c r="K136" s="2" t="n">
        <v>23</v>
      </c>
      <c r="L136" s="4" t="str">
        <f aca="false">IF(AND(J136="PL23_ESTIMATE",ISNUMBER(I136)),ROUND(I136*K136/100,2),"")</f>
        <v/>
      </c>
      <c r="M136" s="2"/>
      <c r="N136" s="4" t="str">
        <f aca="false">IF(J136="SOURCE_GROSS",IF(AND(ISNUMBER(E136),ISNUMBER(M136)),ROUND(E136*M136,2),""),IF(ISNUMBER(I136),ROUND(I136+L136,2),""))</f>
        <v/>
      </c>
      <c r="O136" s="2" t="s">
        <v>589</v>
      </c>
      <c r="P136" s="2" t="s">
        <v>596</v>
      </c>
      <c r="Q136" s="2" t="s">
        <v>218</v>
      </c>
      <c r="R136" s="6" t="s">
        <v>597</v>
      </c>
      <c r="S136" s="2" t="s">
        <v>148</v>
      </c>
    </row>
    <row r="137" customFormat="false" ht="69.75" hidden="false" customHeight="true" outlineLevel="0" collapsed="false">
      <c r="A137" s="3" t="s">
        <v>109</v>
      </c>
      <c r="B137" s="3" t="s">
        <v>600</v>
      </c>
      <c r="C137" s="3" t="s">
        <v>557</v>
      </c>
      <c r="D137" s="3" t="s">
        <v>601</v>
      </c>
      <c r="E137" s="3"/>
      <c r="F137" s="3" t="s">
        <v>602</v>
      </c>
      <c r="G137" s="3" t="s">
        <v>603</v>
      </c>
      <c r="H137" s="3" t="n">
        <v>150.9</v>
      </c>
      <c r="I137" s="4" t="str">
        <f aca="false">IF(AND(ISNUMBER(E137),ISNUMBER(H137)),ROUND(E137*H137,2),"")</f>
        <v/>
      </c>
      <c r="J137" s="3" t="s">
        <v>143</v>
      </c>
      <c r="K137" s="3" t="n">
        <v>23</v>
      </c>
      <c r="L137" s="4" t="str">
        <f aca="false">IF(AND(J137="PL23_ESTIMATE",ISNUMBER(I137)),ROUND(I137*K137/100,2),"")</f>
        <v/>
      </c>
      <c r="M137" s="3"/>
      <c r="N137" s="4" t="str">
        <f aca="false">IF(J137="SOURCE_GROSS",IF(AND(ISNUMBER(E137),ISNUMBER(M137)),ROUND(E137*M137,2),""),IF(ISNUMBER(I137),ROUND(I137+L137,2),""))</f>
        <v/>
      </c>
      <c r="O137" s="3" t="s">
        <v>589</v>
      </c>
      <c r="P137" s="3" t="s">
        <v>604</v>
      </c>
      <c r="Q137" s="3" t="s">
        <v>218</v>
      </c>
      <c r="R137" s="7" t="s">
        <v>562</v>
      </c>
      <c r="S137" s="3" t="s">
        <v>148</v>
      </c>
    </row>
    <row r="138" customFormat="false" ht="69.75" hidden="false" customHeight="true" outlineLevel="0" collapsed="false">
      <c r="A138" s="2" t="s">
        <v>114</v>
      </c>
      <c r="B138" s="2" t="s">
        <v>605</v>
      </c>
      <c r="C138" s="2" t="s">
        <v>557</v>
      </c>
      <c r="D138" s="2" t="s">
        <v>601</v>
      </c>
      <c r="E138" s="2"/>
      <c r="F138" s="2" t="s">
        <v>602</v>
      </c>
      <c r="G138" s="2" t="s">
        <v>603</v>
      </c>
      <c r="H138" s="2" t="n">
        <v>150.9</v>
      </c>
      <c r="I138" s="4" t="str">
        <f aca="false">IF(AND(ISNUMBER(E138),ISNUMBER(H138)),ROUND(E138*H138,2),"")</f>
        <v/>
      </c>
      <c r="J138" s="2" t="s">
        <v>143</v>
      </c>
      <c r="K138" s="2" t="n">
        <v>23</v>
      </c>
      <c r="L138" s="4" t="str">
        <f aca="false">IF(AND(J138="PL23_ESTIMATE",ISNUMBER(I138)),ROUND(I138*K138/100,2),"")</f>
        <v/>
      </c>
      <c r="M138" s="2"/>
      <c r="N138" s="4" t="str">
        <f aca="false">IF(J138="SOURCE_GROSS",IF(AND(ISNUMBER(E138),ISNUMBER(M138)),ROUND(E138*M138,2),""),IF(ISNUMBER(I138),ROUND(I138+L138,2),""))</f>
        <v/>
      </c>
      <c r="O138" s="2" t="s">
        <v>589</v>
      </c>
      <c r="P138" s="2" t="s">
        <v>604</v>
      </c>
      <c r="Q138" s="2" t="s">
        <v>218</v>
      </c>
      <c r="R138" s="6" t="s">
        <v>562</v>
      </c>
      <c r="S138" s="2" t="s">
        <v>148</v>
      </c>
    </row>
    <row r="139" customFormat="false" ht="69.75" hidden="false" customHeight="true" outlineLevel="0" collapsed="false">
      <c r="A139" s="3" t="s">
        <v>115</v>
      </c>
      <c r="B139" s="3" t="s">
        <v>606</v>
      </c>
      <c r="C139" s="3" t="s">
        <v>557</v>
      </c>
      <c r="D139" s="3" t="s">
        <v>601</v>
      </c>
      <c r="E139" s="3"/>
      <c r="F139" s="3" t="s">
        <v>602</v>
      </c>
      <c r="G139" s="3" t="s">
        <v>603</v>
      </c>
      <c r="H139" s="3" t="n">
        <v>150.9</v>
      </c>
      <c r="I139" s="4" t="str">
        <f aca="false">IF(AND(ISNUMBER(E139),ISNUMBER(H139)),ROUND(E139*H139,2),"")</f>
        <v/>
      </c>
      <c r="J139" s="3" t="s">
        <v>143</v>
      </c>
      <c r="K139" s="3" t="n">
        <v>23</v>
      </c>
      <c r="L139" s="4" t="str">
        <f aca="false">IF(AND(J139="PL23_ESTIMATE",ISNUMBER(I139)),ROUND(I139*K139/100,2),"")</f>
        <v/>
      </c>
      <c r="M139" s="3"/>
      <c r="N139" s="4" t="str">
        <f aca="false">IF(J139="SOURCE_GROSS",IF(AND(ISNUMBER(E139),ISNUMBER(M139)),ROUND(E139*M139,2),""),IF(ISNUMBER(I139),ROUND(I139+L139,2),""))</f>
        <v/>
      </c>
      <c r="O139" s="3" t="s">
        <v>589</v>
      </c>
      <c r="P139" s="3" t="s">
        <v>604</v>
      </c>
      <c r="Q139" s="3" t="s">
        <v>218</v>
      </c>
      <c r="R139" s="7" t="s">
        <v>562</v>
      </c>
      <c r="S139" s="3" t="s">
        <v>148</v>
      </c>
    </row>
  </sheetData>
  <autoFilter ref="A1:S139"/>
  <hyperlinks>
    <hyperlink ref="R2" r:id="rId1" display="https://www.dbmoteurs.fr/sites/default/files/Volvo-Penta-tarifs-prix-achat-moteurs-2023-DB-Moteurs-motorisation-marine-bateau-plaisance.pdf"/>
    <hyperlink ref="R3" r:id="rId2" display="https://www.abma-sneek.nl/yanmar/engines-gears-drives/powerboat-engines?prod_id=650436"/>
    <hyperlink ref="R4" r:id="rId3" display="https://www.etruck.fi/shop-1"/>
    <hyperlink ref="R5" r:id="rId4" display="https://www.manelservice.com/it/gruppi-elettrogeni-marini/3925-vte-paguro-12000-v-ap12023050m0.html"/>
    <hyperlink ref="R6" r:id="rId5" display="https://www.nautiradar.pt/en/products/fischer-panda/panda-12000x-230v-pms-12kva-fixed-engine-speed-marine-generator"/>
    <hyperlink ref="R7" r:id="rId6" display="https://www.jpcdirect.com/product/kohler-12-kilowatt-generator/"/>
    <hyperlink ref="R8" r:id="rId7" display="https://www.svb.de/de/victron-wechselrichter-ladegeraet-multiplus-ii-24-v-3000-va-70-a.html"/>
    <hyperlink ref="R9" r:id="rId8" display="https://www.svb24.com/en/p/victron-isolation-transformer-3600-w-115-230-v.html"/>
    <hyperlink ref="R10" r:id="rId9" display="https://www.svb.de/de/victron-wechselrichter-ladegeraet-multiplus-ii-gx-24-v-3000-va-70-a.html"/>
    <hyperlink ref="R11" r:id="rId10" display="https://www.svb24.com/en/mastervolt-mass-gi-3-5-isolation-transformer-16-a-3-5-kw.html"/>
    <hyperlink ref="R12" r:id="rId11" display="https://www.svb.de/de/mastervolt-wechselrichter-ladegeraet-combimaster-24-v-3000-va-60-a.html?question_sort=oldest"/>
    <hyperlink ref="R13" r:id="rId12" display="https://www.svb24.com/en/mastervolt-mass-gi-3-5-isolation-transformer-16-a-3-5-kw.html"/>
    <hyperlink ref="R14" r:id="rId13" display="https://online-batterien.de/a/exide-er550-dual-versorgungsbatterie-starterbatterie-12v-115ah-550wh/400440"/>
    <hyperlink ref="R15" r:id="rId14" display="https://www.svb24.com/en/vetus-boat-battery-60-ah-to-230-ah.html"/>
    <hyperlink ref="R16" r:id="rId15" display="https://www.svb24.com/en/vetus-boat-battery-60-ah-to-230-ah.html"/>
    <hyperlink ref="R17" r:id="rId16" display="https://www.svb24.com/en/blue-sea-hd-remote-battery-switch-24v.html"/>
    <hyperlink ref="R18" r:id="rId17" display="https://www.nothnagel-marine.de/product_info.php?info=p3857_aquamot---power-battery--dc-battery-als12115-12v-115ah-agm-deep-cycle-battery.html&amp;language=en"/>
    <hyperlink ref="R19" r:id="rId18" display="https://www.svb24.com/en/vetus-boat-battery-60-ah-to-230-ah.html"/>
    <hyperlink ref="R20" r:id="rId19" display="https://www.svb24.com/en/vetus-boat-battery-60-ah-to-230-ah.html"/>
    <hyperlink ref="R21" r:id="rId20" display="https://www.svb24.com/en/blue-sea-hd-remote-battery-switch-24v.html"/>
    <hyperlink ref="R22" r:id="rId21" display="https://ab-marineservice.com/product/12v-115ah-agm-telecom-batt-m8/"/>
    <hyperlink ref="R23" r:id="rId22" display="https://www.svb24.com/en/vetus-boat-battery-60-ah-to-230-ah.html"/>
    <hyperlink ref="R24" r:id="rId23" display="https://www.svb24.com/en/vetus-boat-battery-60-ah-to-230-ah.html"/>
    <hyperlink ref="R25" r:id="rId24" display="https://www.svb24.com/en/blue-sea-hd-remote-battery-switch-24v.html"/>
    <hyperlink ref="R26" r:id="rId25" display="https://www.comptoirnautique.com/groupe-d-eau-a-pressostat/53022-cem-elettromeccanica-autoclave-cem-vase-expansion-inox-20l-24v-50-l-min.html"/>
    <hyperlink ref="R27" r:id="rId26" display="https://cempumps.com/wp-content/uploads/2024/10/Autoclavi_20L-20X.pdf"/>
    <hyperlink ref="R28" r:id="rId27" display="https://www.comptoirnautique.com/groupe-d-eau-hydrophore/22947-gianneschi-groupe-d-eau-ecoinox-1-avec-reservoir-20l-24v-45lmin-7024.html"/>
    <hyperlink ref="R29" r:id="rId28" display="https://www.tyboat.com/achat/P-57388-gianneschi-groupe-d-eau-ecoinox2-3-5-bars-0-45-kw-55-litres-minute-reservoir-20-litres-230-volts.html"/>
    <hyperlink ref="R30" r:id="rId29" display="https://www.enag.fr/english/wp-content/uploads/sites/5/2022/11/FC-GH-EN-C.pdf"/>
    <hyperlink ref="R31" r:id="rId30" display="https://www.enag.fr/english/wp-content/uploads/sites/5/2022/11/FC-GH-EN-C.pdf"/>
    <hyperlink ref="R32" r:id="rId31" display="https://www.aquatec-watermaker.de/wassermacher-produkt-ac150-ac240.html"/>
    <hyperlink ref="R33" r:id="rId32" display="https://mar-nautic.com/schenker-watermaker-zen-150"/>
    <hyperlink ref="R34" r:id="rId33" display="https://www.manelservice.com/en/marine-desalination-systems/17102-osmosea-new12-150c-nautical-watermaker-150-lth.html"/>
    <hyperlink ref="R35" r:id="rId34" display="https://www.tyboat.com/achat/P-8889-quick-chauffe-eau-cylindrique-b3-40-litres-220-volts-1200-watts.html"/>
    <hyperlink ref="R36" r:id="rId35" display="https://www.tyboat.com/achat/P-8880-quick-chauffe-eau-cylindrique-bx-40-litres-220-volts-1200-watts.html"/>
    <hyperlink ref="R37" r:id="rId36" display="https://www.tyboat.com/achat/P-18237-quick-chauffe-eau-cube-inox-bxs-40-litres-220-volts-1200-watts.html"/>
    <hyperlink ref="R38" r:id="rId37" display="https://www.esconet.fi/shop/uc16h-thermowell-uc16h-ilmastointilaite-chiller-230v-16000btu-27518"/>
    <hyperlink ref="R39" r:id="rId38" display="https://www.comptoirnautique.com/climatisation-bateau/91819-frigomar-pompes-a-entrainement-magnetique.html"/>
    <hyperlink ref="R40" r:id="rId39" display="https://mdislandsupply.com/en/climma/879-cws-aquacontrol-161-rc-230150-climma.html"/>
    <hyperlink ref="R41" r:id="rId40" display="https://www.comptoirnautique.com/climatisation-bateau/91819-frigomar-pompes-a-entrainement-magnetique.html"/>
    <hyperlink ref="R42" r:id="rId41" display="https://www.nauticsale.com/en/airconditioning/bluecool-chiller-systems/bluecool-c-series-chillers/"/>
    <hyperlink ref="R43" r:id="rId42" display="https://www.comptoirnautique.com/climatisation-bateau/91819-frigomar-pompes-a-entrainement-magnetique.html"/>
    <hyperlink ref="R44" r:id="rId43" display="https://racorshop.de/product/racor-75500maxm30-turbine-filter-marine/"/>
    <hyperlink ref="R45" r:id="rId44" display="https://www.vetus-shop.com/vetus-raw-water-strainer-type-330-and21632mm-p-1026.html"/>
    <hyperlink ref="R46" r:id="rId45" display="https://www.svb24.com/en/ocean-technologies-engine-compartment-blower-24-v-1000-m3-hour-150-mm-flex-mount.html"/>
    <hyperlink ref="R47" r:id="rId46" display="https://www.svb24.com/en/marco-up3-electric-oil-change-pump.html"/>
    <hyperlink ref="R48" r:id="rId47" display="https://racorshop.de/product/racor-75500maxm30-turbine-filter-marine/"/>
    <hyperlink ref="R49" r:id="rId48" display="https://www.mediawinkel.eu/nl/heavy-duty-waterfilter-32-mm.html"/>
    <hyperlink ref="R50" r:id="rId49" display="https://www.svb24.com/en/ocean-technologies-engine-compartment-blower-24-v-1000-m3-hour-150-mm-flex-mount.html"/>
    <hyperlink ref="R51" r:id="rId50" display="https://www.svb24.com/en/marco-up3-electric-oil-change-pump.html"/>
    <hyperlink ref="R52" r:id="rId51" display="https://racorshop.de/product/racor-75500maxm30-turbine-filter-marine/"/>
    <hyperlink ref="R53" r:id="rId52" display="https://www.mediawinkel.eu/nl/heavy-duty-waterfilter-32-mm.html"/>
    <hyperlink ref="R54" r:id="rId53" display="https://www.svb24.com/en/ocean-technologies-engine-compartment-blower-24-v-1000-m3-hour-150-mm-flex-mount.html"/>
    <hyperlink ref="R55" r:id="rId54" display="https://www.svb24.com/en/marco-up3-electric-oil-change-pump.html"/>
    <hyperlink ref="R56" r:id="rId55" display="https://www.svb24.com/en/rule-heavy-duty-bilge-pump-2000-24v.html"/>
    <hyperlink ref="R57" r:id="rId56" display="https://www.svb24.com/en/whale-gusher-urchin-manual-bilge-pump-type-bp-9005.html"/>
    <hyperlink ref="R58" r:id="rId57" display="https://www.svb24.com/en/johnson-pump-bilge-alert-high-water-alarm-with-ultima-switch.html"/>
    <hyperlink ref="R59" r:id="rId58" display="https://www.nauticabasile.it/eng/osculati/fixed-fireboy-fire-extinguishers-with-clean-agent-and-manualautomatic-activation-46870/31.610.31/"/>
    <hyperlink ref="R60" r:id="rId59" display="https://www.svb24.com/en/rule-heavy-duty-bilge-pump-2000-24v.html"/>
    <hyperlink ref="R61" r:id="rId60" display="https://www.svb24.com/en/whale-gusher-urchin-manual-bilge-pump-type-bp-9005.html"/>
    <hyperlink ref="R62" r:id="rId61" display="https://www.svb24.com/en/johnson-pump-bilge-alert-high-water-alarm-with-ultima-switch.html"/>
    <hyperlink ref="R63" r:id="rId62" display="https://www.nauticabasile.it/eng/osculati/fixed-fireboy-fire-extinguishers-with-clean-agent-and-manualautomatic-activation-46870/31.610.31/"/>
    <hyperlink ref="R64" r:id="rId63" display="https://www.svb24.com/en/rule-heavy-duty-bilge-pump-2000-24v.html"/>
    <hyperlink ref="R65" r:id="rId64" display="https://www.svb24.com/en/whale-gusher-urchin-manual-bilge-pump-type-bp-9005.html"/>
    <hyperlink ref="R66" r:id="rId65" display="https://www.svb24.com/en/johnson-pump-bilge-alert-high-water-alarm-with-ultima-switch.html"/>
    <hyperlink ref="R67" r:id="rId66" display="https://www.nauticabasile.it/eng/osculati/fixed-fireboy-fire-extinguishers-with-clean-agent-and-manualautomatic-activation-46870/31.610.31/"/>
    <hyperlink ref="R68" r:id="rId67" display="https://www.vetus-shop.com/vetus-fuel-tank-quickfit-diesel-40-litre-8mm-p-1786.html"/>
    <hyperlink ref="R69" r:id="rId68" display="https://www.svb24.com/en/jabsco-type-12gpm-waste-water-pump-24v.html"/>
    <hyperlink ref="R70" r:id="rId69" display="https://www.vetus-shop.com/vetus-fuel-tank-quickfit-diesel-40-litre-8mm-p-1786.html"/>
    <hyperlink ref="R71" r:id="rId70" display="https://www.svb24.com/en/jabsco-type-12gpm-waste-water-pump-24v.html"/>
    <hyperlink ref="R72" r:id="rId71" display="https://www.vetus-shop.com/vetus-fuel-tank-quickfit-diesel-40-litre-8mm-p-1786.html"/>
    <hyperlink ref="R73" r:id="rId72" display="https://www.svb24.com/en/jabsco-type-12gpm-waste-water-pump-24v.html"/>
    <hyperlink ref="R74" r:id="rId73" display="https://www.svb24.com/en/pss-shaft-seal-for-50-mm-shaft.html"/>
    <hyperlink ref="R75" r:id="rId74" display="https://www.svb24.com/en/pss-shaft-seal-for-50-mm-shaft.html"/>
    <hyperlink ref="R76" r:id="rId75" display="https://www.svb24.com/en/pss-shaft-seal-for-50-mm-shaft.html"/>
    <hyperlink ref="R77" r:id="rId76" display="https://www.mon-camping-car.com/convertisseur-24v-230v-phoenix-1200va-ve-direct-pur-sinus-victron.html"/>
    <hyperlink ref="R78" r:id="rId77" display="https://www.mon-camping-car.com/convertisseur-24v-230v-phoenix-1200va-ve-direct-pur-sinus-victron.html"/>
    <hyperlink ref="R79" r:id="rId78" display="https://www.mon-camping-car.com/convertisseur-24v-230v-phoenix-1200va-ve-direct-pur-sinus-victron.html"/>
    <hyperlink ref="R80" r:id="rId79" display="https://www.svb24.com/en/philippi-stv207-power-distribution-panel-configurable.html"/>
    <hyperlink ref="R81" r:id="rId80" display="https://www.svb24.com/en/philippi-stv207-power-distribution-panel-configurable.html"/>
    <hyperlink ref="R82" r:id="rId81" display="https://www.svb24.com/en/philippi-stv207-power-distribution-panel-configurable.html"/>
    <hyperlink ref="R83" r:id="rId82" display="https://www.svb24.com/en/philippi-lae-113-shore-connection-unit.html"/>
    <hyperlink ref="R84" r:id="rId83" display="https://www.svb24.com/en/philippi-lae-113-shore-connection-unit.html"/>
    <hyperlink ref="R85" r:id="rId84" display="https://www.svb24.com/en/philippi-lae-113-shore-connection-unit.html"/>
    <hyperlink ref="R86" r:id="rId85" display="https://www.svb24.com/en/cee-shore-power-inlet-16-a-230-v-male.html"/>
    <hyperlink ref="R87" r:id="rId86" display="https://www.svb24.com/en/cee-shore-power-inlet-16-a-230-v-male.html"/>
    <hyperlink ref="R88" r:id="rId87" display="https://www.svb24.com/en/cee-shore-power-inlet-16-a-230-v-male.html"/>
    <hyperlink ref="R89" r:id="rId88" display="https://www.svb24.com/en/mega-fuse-holder-in-line.html"/>
    <hyperlink ref="R90" r:id="rId89" display="https://www.svb24.com/en/mega-fuse-holder-in-line.html"/>
    <hyperlink ref="R91" r:id="rId90" display="https://www.svb24.com/en/mega-fuse-holder-in-line.html"/>
    <hyperlink ref="R92" r:id="rId91" display="https://www.svb24.com/en/mega-fuses-pack-of-5.html"/>
    <hyperlink ref="R93" r:id="rId92" display="https://www.svb24.com/en/mega-fuses-pack-of-5.html"/>
    <hyperlink ref="R94" r:id="rId93" display="https://www.svb24.com/en/mega-fuses-pack-of-5.html"/>
    <hyperlink ref="R95" r:id="rId94" display="https://www.svb24.com/en/p/thermostat-mixing-valve.html"/>
    <hyperlink ref="R96" r:id="rId95" display="https://www.svb24.com/en/p/thermostat-mixing-valve.html"/>
    <hyperlink ref="R97" r:id="rId96" display="https://www.svb24.com/en/p/thermostat-mixing-valve.html"/>
    <hyperlink ref="R98" r:id="rId97" display="https://www.svb24.com/product/510125?filter=4"/>
    <hyperlink ref="R99" r:id="rId98" display="https://www.svb24.com/product/510125?filter=4"/>
    <hyperlink ref="R100" r:id="rId99" display="https://www.svb24.com/product/510125?filter=4"/>
    <hyperlink ref="R101" r:id="rId100" display="https://flutech-marine.com/en/jabsco/jabsco-59530-0000b/"/>
    <hyperlink ref="R102" r:id="rId101" display="https://flutech-marine.com/en/jabsco/jabsco-59530-0000b/"/>
    <hyperlink ref="R103" r:id="rId102" display="https://flutech-marine.com/en/jabsco/jabsco-59530-0000b/"/>
    <hyperlink ref="R104" r:id="rId103" display="https://racorshop.de/product/racor-500mam10-turbine-filter-marine/"/>
    <hyperlink ref="R105" r:id="rId104" display="https://racorshop.de/product/racor-500mam10-turbine-filter-marine/"/>
    <hyperlink ref="R106" r:id="rId105" display="https://racorshop.de/product/racor-500mam10-turbine-filter-marine/"/>
    <hyperlink ref="R107" r:id="rId106" display="https://www.svb24.com/en/seawater-connection-kit-19-mm.html"/>
    <hyperlink ref="R108" r:id="rId107" display="https://www.svb24.com/en/seawater-connection-kit-19-mm.html"/>
    <hyperlink ref="R109" r:id="rId108" display="https://www.svb24.com/en/seawater-connection-kit-19-mm.html"/>
    <hyperlink ref="R110" r:id="rId109" display="https://www.svb24.com/en/rule-rule-a-matic-plus-automatic-float-switch.html"/>
    <hyperlink ref="R111" r:id="rId110" display="https://www.svb24.com/en/rule-rule-a-matic-plus-automatic-float-switch.html"/>
    <hyperlink ref="R112" r:id="rId111" display="https://www.svb24.com/en/rule-rule-a-matic-plus-automatic-float-switch.html"/>
    <hyperlink ref="R113" r:id="rId112" display="https://www.nauticabasile.it/eng/osculati/fireboy-esc-series-automatic-engine-shutdown-systems-46872/?listRef=related"/>
    <hyperlink ref="R114" r:id="rId113" display="https://www.nauticabasile.it/eng/osculati/fireboy-esc-series-automatic-engine-shutdown-systems-46872/?listRef=related"/>
    <hyperlink ref="R115" r:id="rId114" display="https://www.nauticabasile.it/eng/osculati/fireboy-esc-series-automatic-engine-shutdown-systems-46872/?listRef=related"/>
    <hyperlink ref="R116" r:id="rId115" display="https://www.svb24.com/en/webasto-thermo-pro-90-marine-diesel-water-heater-24-v-9-1-kw.html"/>
    <hyperlink ref="R117" r:id="rId116" display="https://www.svb24.com/en/webasto-thermo-pro-90-marine-diesel-water-heater-24-v-9-1-kw.html"/>
    <hyperlink ref="R118" r:id="rId117" display="https://www.svb24.com/en/webasto-thermo-pro-90-marine-diesel-water-heater-24-v-9-1-kw.html"/>
    <hyperlink ref="R119" r:id="rId118" display="https://www.vetus-shop.com/aluminium-hydraulic-tank-70-incl-ht1013-p-2024.html"/>
    <hyperlink ref="R120" r:id="rId119" display="https://www.vetus-shop.com/aluminium-hydraulic-tank-70-incl-ht1013-p-2024.html"/>
    <hyperlink ref="R121" r:id="rId120" display="https://www.vetus-shop.com/aluminium-hydraulic-tank-70-incl-ht1013-p-2024.html"/>
    <hyperlink ref="R122" r:id="rId121" display="https://www.vetus-shop.com/variably-adjustable-piston-pump-45cc-left-handed-saeb-flang-p-2033.html"/>
    <hyperlink ref="R123" r:id="rId122" display="https://www.vetus-shop.com/variably-adjustable-piston-pump-45cc-left-handed-saeb-flang-p-2033.html"/>
    <hyperlink ref="R124" r:id="rId123" display="https://www.vetus-shop.com/variably-adjustable-piston-pump-45cc-left-handed-saeb-flang-p-2033.html"/>
    <hyperlink ref="R125" r:id="rId124" display="https://www.vetus-shop.com/single-step-load-sensing-device-incl-electrical-connection-p-2026.html"/>
    <hyperlink ref="R126" r:id="rId125" display="https://www.vetus-shop.com/single-step-load-sensing-device-incl-electrical-connection-p-2026.html"/>
    <hyperlink ref="R127" r:id="rId126" display="https://www.vetus-shop.com/single-step-load-sensing-device-incl-electrical-connection-p-2026.html"/>
    <hyperlink ref="R128" r:id="rId127" display="https://www.vetus-shop.com/hydraulic-oil-cooler-for-hose-id-and216-32-mm-p-2050.html"/>
    <hyperlink ref="R129" r:id="rId128" display="https://www.vetus-shop.com/hydraulic-oil-cooler-for-hose-id-and216-32-mm-p-2050.html"/>
    <hyperlink ref="R130" r:id="rId129" display="https://www.vetus-shop.com/hydraulic-oil-cooler-for-hose-id-and216-32-mm-p-2050.html"/>
    <hyperlink ref="R131" r:id="rId130" display="https://www.vetus-shop.com/aluminium-hydraulic-tank-70-incl-ht1013-p-2024.html"/>
    <hyperlink ref="R132" r:id="rId131" display="https://www.vetus-shop.com/aluminium-hydraulic-tank-70-incl-ht1013-p-2024.html"/>
    <hyperlink ref="R133" r:id="rId132" display="https://www.vetus-shop.com/aluminium-hydraulic-tank-70-incl-ht1013-p-2024.html"/>
    <hyperlink ref="R134" r:id="rId133" display="https://www.vetus-shop.com/dual-step-solenoid-control-unit-24v-for-anchor-windlass-p-2043.html"/>
    <hyperlink ref="R135" r:id="rId134" display="https://www.vetus-shop.com/dual-step-solenoid-control-unit-24v-for-anchor-windlass-p-2043.html"/>
    <hyperlink ref="R136" r:id="rId135" display="https://www.vetus-shop.com/dual-step-solenoid-control-unit-24v-for-anchor-windlass-p-2043.html"/>
    <hyperlink ref="R137" r:id="rId136" display="https://www.vetus-shop.com/aluminium-hydraulic-tank-70-incl-ht1013-p-2024.html"/>
    <hyperlink ref="R138" r:id="rId137" display="https://www.vetus-shop.com/aluminium-hydraulic-tank-70-incl-ht1013-p-2024.html"/>
    <hyperlink ref="R139" r:id="rId138" display="https://www.vetus-shop.com/aluminium-hydraulic-tank-70-incl-ht1013-p-202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55"/>
    <col collapsed="false" customWidth="true" hidden="false" outlineLevel="0" max="5" min="4" style="0" width="23"/>
    <col collapsed="false" customWidth="true" hidden="false" outlineLevel="0" max="6" min="6" style="0" width="60"/>
    <col collapsed="false" customWidth="true" hidden="false" outlineLevel="0" max="13" min="7" style="0" width="23"/>
    <col collapsed="false" customWidth="true" hidden="false" outlineLevel="0" max="16" min="14" style="0" width="90"/>
    <col collapsed="false" customWidth="true" hidden="false" outlineLevel="0" max="20" min="17" style="0" width="23"/>
  </cols>
  <sheetData>
    <row r="1" customFormat="false" ht="45" hidden="false" customHeight="true" outlineLevel="0" collapsed="false">
      <c r="A1" s="1" t="s">
        <v>607</v>
      </c>
      <c r="B1" s="1" t="s">
        <v>608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619</v>
      </c>
      <c r="N1" s="1" t="s">
        <v>620</v>
      </c>
      <c r="O1" s="1" t="s">
        <v>621</v>
      </c>
      <c r="P1" s="1" t="s">
        <v>622</v>
      </c>
      <c r="Q1" s="1" t="s">
        <v>623</v>
      </c>
      <c r="R1" s="1" t="s">
        <v>624</v>
      </c>
      <c r="S1" s="1" t="s">
        <v>625</v>
      </c>
      <c r="T1" s="1" t="s">
        <v>626</v>
      </c>
    </row>
    <row r="2" customFormat="false" ht="69.75" hidden="false" customHeight="true" outlineLevel="0" collapsed="false">
      <c r="A2" s="2" t="s">
        <v>627</v>
      </c>
      <c r="B2" s="2" t="s">
        <v>139</v>
      </c>
      <c r="C2" s="2" t="s">
        <v>628</v>
      </c>
      <c r="D2" s="2" t="s">
        <v>629</v>
      </c>
      <c r="E2" s="2" t="s">
        <v>630</v>
      </c>
      <c r="F2" s="6" t="s">
        <v>147</v>
      </c>
      <c r="G2" s="2" t="s">
        <v>146</v>
      </c>
      <c r="H2" s="2" t="s">
        <v>631</v>
      </c>
      <c r="I2" s="2" t="s">
        <v>632</v>
      </c>
      <c r="J2" s="2" t="s">
        <v>633</v>
      </c>
      <c r="K2" s="2"/>
      <c r="L2" s="2" t="s">
        <v>634</v>
      </c>
      <c r="M2" s="2" t="s">
        <v>141</v>
      </c>
      <c r="N2" s="2" t="s">
        <v>635</v>
      </c>
      <c r="O2" s="2" t="s">
        <v>636</v>
      </c>
      <c r="P2" s="2" t="s">
        <v>637</v>
      </c>
      <c r="Q2" s="2" t="s">
        <v>638</v>
      </c>
      <c r="R2" s="2" t="s">
        <v>639</v>
      </c>
      <c r="S2" s="2"/>
      <c r="T2" s="2"/>
    </row>
    <row r="3" customFormat="false" ht="69.75" hidden="false" customHeight="true" outlineLevel="0" collapsed="false">
      <c r="A3" s="3" t="s">
        <v>142</v>
      </c>
      <c r="B3" s="3" t="s">
        <v>139</v>
      </c>
      <c r="C3" s="3" t="s">
        <v>140</v>
      </c>
      <c r="D3" s="3" t="s">
        <v>640</v>
      </c>
      <c r="E3" s="3" t="s">
        <v>630</v>
      </c>
      <c r="F3" s="7" t="s">
        <v>147</v>
      </c>
      <c r="G3" s="3" t="s">
        <v>146</v>
      </c>
      <c r="H3" s="3" t="s">
        <v>631</v>
      </c>
      <c r="I3" s="3" t="s">
        <v>641</v>
      </c>
      <c r="J3" s="3" t="s">
        <v>633</v>
      </c>
      <c r="K3" s="3"/>
      <c r="L3" s="3" t="s">
        <v>642</v>
      </c>
      <c r="M3" s="3" t="s">
        <v>141</v>
      </c>
      <c r="N3" s="3" t="s">
        <v>643</v>
      </c>
      <c r="O3" s="3" t="s">
        <v>636</v>
      </c>
      <c r="P3" s="3" t="s">
        <v>637</v>
      </c>
      <c r="Q3" s="3" t="s">
        <v>638</v>
      </c>
      <c r="R3" s="3" t="s">
        <v>639</v>
      </c>
      <c r="S3" s="3"/>
      <c r="T3" s="3"/>
    </row>
    <row r="4" customFormat="false" ht="69.75" hidden="false" customHeight="true" outlineLevel="0" collapsed="false">
      <c r="A4" s="2" t="s">
        <v>644</v>
      </c>
      <c r="B4" s="2" t="s">
        <v>139</v>
      </c>
      <c r="C4" s="2" t="s">
        <v>645</v>
      </c>
      <c r="D4" s="2" t="s">
        <v>646</v>
      </c>
      <c r="E4" s="2" t="s">
        <v>630</v>
      </c>
      <c r="F4" s="6" t="s">
        <v>147</v>
      </c>
      <c r="G4" s="2" t="s">
        <v>146</v>
      </c>
      <c r="H4" s="2" t="s">
        <v>631</v>
      </c>
      <c r="I4" s="2" t="s">
        <v>647</v>
      </c>
      <c r="J4" s="2" t="s">
        <v>633</v>
      </c>
      <c r="K4" s="2"/>
      <c r="L4" s="2" t="s">
        <v>648</v>
      </c>
      <c r="M4" s="2" t="s">
        <v>141</v>
      </c>
      <c r="N4" s="2" t="s">
        <v>649</v>
      </c>
      <c r="O4" s="2" t="s">
        <v>636</v>
      </c>
      <c r="P4" s="2" t="s">
        <v>637</v>
      </c>
      <c r="Q4" s="2" t="s">
        <v>638</v>
      </c>
      <c r="R4" s="2" t="s">
        <v>639</v>
      </c>
      <c r="S4" s="2"/>
      <c r="T4" s="2"/>
    </row>
    <row r="5" customFormat="false" ht="69.75" hidden="false" customHeight="true" outlineLevel="0" collapsed="false">
      <c r="A5" s="3" t="s">
        <v>158</v>
      </c>
      <c r="B5" s="3" t="s">
        <v>139</v>
      </c>
      <c r="C5" s="3" t="s">
        <v>157</v>
      </c>
      <c r="D5" s="3" t="s">
        <v>650</v>
      </c>
      <c r="E5" s="3" t="s">
        <v>630</v>
      </c>
      <c r="F5" s="7" t="s">
        <v>160</v>
      </c>
      <c r="G5" s="3" t="s">
        <v>146</v>
      </c>
      <c r="H5" s="3" t="s">
        <v>631</v>
      </c>
      <c r="I5" s="3"/>
      <c r="J5" s="3" t="s">
        <v>651</v>
      </c>
      <c r="K5" s="3"/>
      <c r="L5" s="3"/>
      <c r="M5" s="3" t="s">
        <v>141</v>
      </c>
      <c r="N5" s="3" t="s">
        <v>652</v>
      </c>
      <c r="O5" s="3" t="s">
        <v>636</v>
      </c>
      <c r="P5" s="3" t="s">
        <v>653</v>
      </c>
      <c r="Q5" s="3" t="s">
        <v>638</v>
      </c>
      <c r="R5" s="3" t="s">
        <v>639</v>
      </c>
      <c r="S5" s="3"/>
      <c r="T5" s="3"/>
    </row>
    <row r="6" customFormat="false" ht="69.75" hidden="false" customHeight="true" outlineLevel="0" collapsed="false">
      <c r="A6" s="2" t="s">
        <v>654</v>
      </c>
      <c r="B6" s="2" t="s">
        <v>162</v>
      </c>
      <c r="C6" s="2" t="s">
        <v>655</v>
      </c>
      <c r="D6" s="2" t="s">
        <v>656</v>
      </c>
      <c r="E6" s="2" t="s">
        <v>630</v>
      </c>
      <c r="F6" s="6" t="s">
        <v>657</v>
      </c>
      <c r="G6" s="2" t="s">
        <v>146</v>
      </c>
      <c r="H6" s="2" t="s">
        <v>10</v>
      </c>
      <c r="I6" s="2" t="s">
        <v>658</v>
      </c>
      <c r="J6" s="2" t="s">
        <v>659</v>
      </c>
      <c r="K6" s="2" t="s">
        <v>660</v>
      </c>
      <c r="L6" s="2" t="s">
        <v>661</v>
      </c>
      <c r="M6" s="2" t="s">
        <v>141</v>
      </c>
      <c r="N6" s="2" t="s">
        <v>662</v>
      </c>
      <c r="O6" s="2" t="s">
        <v>636</v>
      </c>
      <c r="P6" s="2" t="s">
        <v>663</v>
      </c>
      <c r="Q6" s="2" t="s">
        <v>638</v>
      </c>
      <c r="R6" s="2" t="s">
        <v>639</v>
      </c>
      <c r="S6" s="2" t="s">
        <v>664</v>
      </c>
      <c r="T6" s="2" t="s">
        <v>665</v>
      </c>
    </row>
    <row r="7" customFormat="false" ht="69.75" hidden="false" customHeight="true" outlineLevel="0" collapsed="false">
      <c r="A7" s="3" t="s">
        <v>174</v>
      </c>
      <c r="B7" s="3" t="s">
        <v>162</v>
      </c>
      <c r="C7" s="3" t="s">
        <v>173</v>
      </c>
      <c r="D7" s="3" t="s">
        <v>666</v>
      </c>
      <c r="E7" s="3" t="s">
        <v>630</v>
      </c>
      <c r="F7" s="7" t="s">
        <v>176</v>
      </c>
      <c r="G7" s="3" t="s">
        <v>146</v>
      </c>
      <c r="H7" s="3" t="s">
        <v>10</v>
      </c>
      <c r="I7" s="3" t="s">
        <v>667</v>
      </c>
      <c r="J7" s="3" t="s">
        <v>659</v>
      </c>
      <c r="K7" s="3" t="s">
        <v>660</v>
      </c>
      <c r="L7" s="3" t="s">
        <v>668</v>
      </c>
      <c r="M7" s="3" t="s">
        <v>141</v>
      </c>
      <c r="N7" s="3" t="s">
        <v>669</v>
      </c>
      <c r="O7" s="3" t="s">
        <v>636</v>
      </c>
      <c r="P7" s="3" t="s">
        <v>670</v>
      </c>
      <c r="Q7" s="3" t="s">
        <v>638</v>
      </c>
      <c r="R7" s="3" t="s">
        <v>639</v>
      </c>
      <c r="S7" s="3" t="s">
        <v>664</v>
      </c>
      <c r="T7" s="3" t="s">
        <v>665</v>
      </c>
    </row>
    <row r="8" customFormat="false" ht="69.75" hidden="false" customHeight="true" outlineLevel="0" collapsed="false">
      <c r="A8" s="2" t="s">
        <v>164</v>
      </c>
      <c r="B8" s="2" t="s">
        <v>162</v>
      </c>
      <c r="C8" s="2" t="s">
        <v>163</v>
      </c>
      <c r="D8" s="2" t="s">
        <v>671</v>
      </c>
      <c r="E8" s="2" t="s">
        <v>630</v>
      </c>
      <c r="F8" s="6" t="s">
        <v>166</v>
      </c>
      <c r="G8" s="2" t="s">
        <v>146</v>
      </c>
      <c r="H8" s="2" t="s">
        <v>631</v>
      </c>
      <c r="I8" s="2" t="s">
        <v>672</v>
      </c>
      <c r="J8" s="2" t="s">
        <v>673</v>
      </c>
      <c r="K8" s="2" t="s">
        <v>660</v>
      </c>
      <c r="L8" s="2" t="s">
        <v>674</v>
      </c>
      <c r="M8" s="2" t="s">
        <v>141</v>
      </c>
      <c r="N8" s="2" t="s">
        <v>675</v>
      </c>
      <c r="O8" s="2" t="s">
        <v>636</v>
      </c>
      <c r="P8" s="2" t="s">
        <v>676</v>
      </c>
      <c r="Q8" s="2" t="s">
        <v>638</v>
      </c>
      <c r="R8" s="2" t="s">
        <v>639</v>
      </c>
      <c r="S8" s="2"/>
      <c r="T8" s="2"/>
    </row>
    <row r="9" customFormat="false" ht="69.75" hidden="false" customHeight="true" outlineLevel="0" collapsed="false">
      <c r="A9" s="3" t="s">
        <v>677</v>
      </c>
      <c r="B9" s="3" t="s">
        <v>162</v>
      </c>
      <c r="C9" s="3" t="s">
        <v>678</v>
      </c>
      <c r="D9" s="3" t="s">
        <v>679</v>
      </c>
      <c r="E9" s="3" t="s">
        <v>630</v>
      </c>
      <c r="F9" s="7" t="s">
        <v>680</v>
      </c>
      <c r="G9" s="3" t="s">
        <v>146</v>
      </c>
      <c r="H9" s="3" t="s">
        <v>681</v>
      </c>
      <c r="I9" s="3" t="s">
        <v>682</v>
      </c>
      <c r="J9" s="3" t="s">
        <v>683</v>
      </c>
      <c r="K9" s="3"/>
      <c r="L9" s="3"/>
      <c r="M9" s="3" t="s">
        <v>141</v>
      </c>
      <c r="N9" s="3" t="s">
        <v>684</v>
      </c>
      <c r="O9" s="3" t="s">
        <v>636</v>
      </c>
      <c r="P9" s="3" t="s">
        <v>685</v>
      </c>
      <c r="Q9" s="3" t="s">
        <v>638</v>
      </c>
      <c r="R9" s="3" t="s">
        <v>639</v>
      </c>
      <c r="S9" s="3"/>
      <c r="T9" s="3"/>
    </row>
    <row r="10" customFormat="false" ht="69.75" hidden="false" customHeight="true" outlineLevel="0" collapsed="false">
      <c r="A10" s="2" t="s">
        <v>181</v>
      </c>
      <c r="B10" s="2" t="s">
        <v>178</v>
      </c>
      <c r="C10" s="2" t="s">
        <v>179</v>
      </c>
      <c r="D10" s="2" t="s">
        <v>686</v>
      </c>
      <c r="E10" s="2" t="s">
        <v>630</v>
      </c>
      <c r="F10" s="6" t="s">
        <v>183</v>
      </c>
      <c r="G10" s="2" t="s">
        <v>146</v>
      </c>
      <c r="H10" s="2" t="s">
        <v>631</v>
      </c>
      <c r="I10" s="2" t="s">
        <v>687</v>
      </c>
      <c r="J10" s="2" t="s">
        <v>688</v>
      </c>
      <c r="K10" s="2" t="s">
        <v>689</v>
      </c>
      <c r="L10" s="2" t="s">
        <v>690</v>
      </c>
      <c r="M10" s="2" t="s">
        <v>180</v>
      </c>
      <c r="N10" s="2" t="s">
        <v>691</v>
      </c>
      <c r="O10" s="2" t="s">
        <v>636</v>
      </c>
      <c r="P10" s="2" t="s">
        <v>692</v>
      </c>
      <c r="Q10" s="2" t="s">
        <v>638</v>
      </c>
      <c r="R10" s="2" t="s">
        <v>639</v>
      </c>
      <c r="S10" s="2"/>
      <c r="T10" s="2"/>
    </row>
    <row r="11" customFormat="false" ht="69.75" hidden="false" customHeight="true" outlineLevel="0" collapsed="false">
      <c r="A11" s="3" t="s">
        <v>193</v>
      </c>
      <c r="B11" s="3" t="s">
        <v>178</v>
      </c>
      <c r="C11" s="3" t="s">
        <v>192</v>
      </c>
      <c r="D11" s="3" t="s">
        <v>693</v>
      </c>
      <c r="E11" s="3" t="s">
        <v>630</v>
      </c>
      <c r="F11" s="7" t="s">
        <v>195</v>
      </c>
      <c r="G11" s="3" t="s">
        <v>146</v>
      </c>
      <c r="H11" s="3" t="s">
        <v>631</v>
      </c>
      <c r="I11" s="3" t="s">
        <v>694</v>
      </c>
      <c r="J11" s="3" t="s">
        <v>688</v>
      </c>
      <c r="K11" s="3" t="s">
        <v>689</v>
      </c>
      <c r="L11" s="3" t="s">
        <v>695</v>
      </c>
      <c r="M11" s="3" t="s">
        <v>180</v>
      </c>
      <c r="N11" s="3" t="s">
        <v>696</v>
      </c>
      <c r="O11" s="3" t="s">
        <v>636</v>
      </c>
      <c r="P11" s="3" t="s">
        <v>692</v>
      </c>
      <c r="Q11" s="3" t="s">
        <v>638</v>
      </c>
      <c r="R11" s="3" t="s">
        <v>639</v>
      </c>
      <c r="S11" s="3"/>
      <c r="T11" s="3"/>
    </row>
    <row r="12" customFormat="false" ht="69.75" hidden="false" customHeight="true" outlineLevel="0" collapsed="false">
      <c r="A12" s="2" t="s">
        <v>203</v>
      </c>
      <c r="B12" s="2" t="s">
        <v>178</v>
      </c>
      <c r="C12" s="2" t="s">
        <v>202</v>
      </c>
      <c r="D12" s="2" t="s">
        <v>697</v>
      </c>
      <c r="E12" s="2" t="s">
        <v>630</v>
      </c>
      <c r="F12" s="6" t="s">
        <v>205</v>
      </c>
      <c r="G12" s="2" t="s">
        <v>146</v>
      </c>
      <c r="H12" s="2" t="s">
        <v>631</v>
      </c>
      <c r="I12" s="2" t="s">
        <v>698</v>
      </c>
      <c r="J12" s="2" t="s">
        <v>688</v>
      </c>
      <c r="K12" s="2" t="s">
        <v>689</v>
      </c>
      <c r="L12" s="2" t="s">
        <v>699</v>
      </c>
      <c r="M12" s="2" t="s">
        <v>180</v>
      </c>
      <c r="N12" s="2" t="s">
        <v>700</v>
      </c>
      <c r="O12" s="2" t="s">
        <v>636</v>
      </c>
      <c r="P12" s="2" t="s">
        <v>701</v>
      </c>
      <c r="Q12" s="2" t="s">
        <v>638</v>
      </c>
      <c r="R12" s="2" t="s">
        <v>639</v>
      </c>
      <c r="S12" s="2"/>
      <c r="T12" s="2"/>
    </row>
    <row r="13" customFormat="false" ht="69.75" hidden="false" customHeight="true" outlineLevel="0" collapsed="false">
      <c r="A13" s="3" t="s">
        <v>187</v>
      </c>
      <c r="B13" s="3" t="s">
        <v>185</v>
      </c>
      <c r="C13" s="3" t="s">
        <v>186</v>
      </c>
      <c r="D13" s="3" t="s">
        <v>702</v>
      </c>
      <c r="E13" s="3" t="s">
        <v>630</v>
      </c>
      <c r="F13" s="7" t="s">
        <v>190</v>
      </c>
      <c r="G13" s="3" t="s">
        <v>146</v>
      </c>
      <c r="H13" s="3" t="s">
        <v>631</v>
      </c>
      <c r="I13" s="3" t="s">
        <v>703</v>
      </c>
      <c r="J13" s="3" t="s">
        <v>704</v>
      </c>
      <c r="K13" s="3"/>
      <c r="L13" s="3" t="s">
        <v>703</v>
      </c>
      <c r="M13" s="3" t="s">
        <v>180</v>
      </c>
      <c r="N13" s="3" t="s">
        <v>705</v>
      </c>
      <c r="O13" s="3" t="s">
        <v>636</v>
      </c>
      <c r="P13" s="3" t="s">
        <v>706</v>
      </c>
      <c r="Q13" s="3" t="s">
        <v>638</v>
      </c>
      <c r="R13" s="3" t="s">
        <v>639</v>
      </c>
      <c r="S13" s="3"/>
      <c r="T13" s="3"/>
    </row>
    <row r="14" customFormat="false" ht="69.75" hidden="false" customHeight="true" outlineLevel="0" collapsed="false">
      <c r="A14" s="2" t="s">
        <v>198</v>
      </c>
      <c r="B14" s="2" t="s">
        <v>185</v>
      </c>
      <c r="C14" s="2" t="s">
        <v>197</v>
      </c>
      <c r="D14" s="2" t="s">
        <v>707</v>
      </c>
      <c r="E14" s="2" t="s">
        <v>630</v>
      </c>
      <c r="F14" s="6" t="s">
        <v>200</v>
      </c>
      <c r="G14" s="2" t="s">
        <v>146</v>
      </c>
      <c r="H14" s="2" t="s">
        <v>631</v>
      </c>
      <c r="I14" s="2" t="s">
        <v>708</v>
      </c>
      <c r="J14" s="2" t="s">
        <v>704</v>
      </c>
      <c r="K14" s="2"/>
      <c r="L14" s="2" t="s">
        <v>708</v>
      </c>
      <c r="M14" s="2" t="s">
        <v>180</v>
      </c>
      <c r="N14" s="2" t="s">
        <v>709</v>
      </c>
      <c r="O14" s="2" t="s">
        <v>636</v>
      </c>
      <c r="P14" s="2" t="s">
        <v>710</v>
      </c>
      <c r="Q14" s="2" t="s">
        <v>638</v>
      </c>
      <c r="R14" s="2" t="s">
        <v>639</v>
      </c>
      <c r="S14" s="2"/>
      <c r="T14" s="2"/>
    </row>
    <row r="15" customFormat="false" ht="69.75" hidden="false" customHeight="true" outlineLevel="0" collapsed="false">
      <c r="A15" s="3" t="s">
        <v>711</v>
      </c>
      <c r="B15" s="3" t="s">
        <v>185</v>
      </c>
      <c r="C15" s="3" t="s">
        <v>712</v>
      </c>
      <c r="D15" s="3" t="s">
        <v>713</v>
      </c>
      <c r="E15" s="3" t="s">
        <v>630</v>
      </c>
      <c r="F15" s="7" t="s">
        <v>714</v>
      </c>
      <c r="G15" s="3" t="s">
        <v>146</v>
      </c>
      <c r="H15" s="3" t="s">
        <v>631</v>
      </c>
      <c r="I15" s="3" t="s">
        <v>715</v>
      </c>
      <c r="J15" s="3" t="s">
        <v>716</v>
      </c>
      <c r="K15" s="3"/>
      <c r="L15" s="3"/>
      <c r="M15" s="3" t="s">
        <v>180</v>
      </c>
      <c r="N15" s="3" t="s">
        <v>717</v>
      </c>
      <c r="O15" s="3" t="s">
        <v>636</v>
      </c>
      <c r="P15" s="3" t="s">
        <v>718</v>
      </c>
      <c r="Q15" s="3" t="s">
        <v>638</v>
      </c>
      <c r="R15" s="3" t="s">
        <v>639</v>
      </c>
      <c r="S15" s="3"/>
      <c r="T15" s="3"/>
    </row>
    <row r="16" customFormat="false" ht="69.75" hidden="false" customHeight="true" outlineLevel="0" collapsed="false">
      <c r="A16" s="2" t="s">
        <v>210</v>
      </c>
      <c r="B16" s="2" t="s">
        <v>208</v>
      </c>
      <c r="C16" s="2" t="s">
        <v>209</v>
      </c>
      <c r="D16" s="2" t="s">
        <v>719</v>
      </c>
      <c r="E16" s="2" t="s">
        <v>630</v>
      </c>
      <c r="F16" s="6" t="s">
        <v>212</v>
      </c>
      <c r="G16" s="2" t="s">
        <v>146</v>
      </c>
      <c r="H16" s="2" t="s">
        <v>631</v>
      </c>
      <c r="I16" s="2" t="s">
        <v>720</v>
      </c>
      <c r="J16" s="2" t="s">
        <v>688</v>
      </c>
      <c r="K16" s="2" t="s">
        <v>689</v>
      </c>
      <c r="L16" s="2" t="s">
        <v>721</v>
      </c>
      <c r="M16" s="2" t="s">
        <v>180</v>
      </c>
      <c r="N16" s="2" t="s">
        <v>722</v>
      </c>
      <c r="O16" s="2" t="s">
        <v>636</v>
      </c>
      <c r="P16" s="2" t="s">
        <v>723</v>
      </c>
      <c r="Q16" s="2" t="s">
        <v>638</v>
      </c>
      <c r="R16" s="2" t="s">
        <v>639</v>
      </c>
      <c r="S16" s="2"/>
      <c r="T16" s="2"/>
    </row>
    <row r="17" customFormat="false" ht="69.75" hidden="false" customHeight="true" outlineLevel="0" collapsed="false">
      <c r="A17" s="3" t="s">
        <v>234</v>
      </c>
      <c r="B17" s="3" t="s">
        <v>208</v>
      </c>
      <c r="C17" s="3" t="s">
        <v>233</v>
      </c>
      <c r="D17" s="3" t="s">
        <v>724</v>
      </c>
      <c r="E17" s="3" t="s">
        <v>630</v>
      </c>
      <c r="F17" s="7" t="s">
        <v>236</v>
      </c>
      <c r="G17" s="3" t="s">
        <v>146</v>
      </c>
      <c r="H17" s="3" t="s">
        <v>631</v>
      </c>
      <c r="I17" s="3" t="s">
        <v>725</v>
      </c>
      <c r="J17" s="3" t="s">
        <v>688</v>
      </c>
      <c r="K17" s="3" t="s">
        <v>689</v>
      </c>
      <c r="L17" s="3" t="s">
        <v>726</v>
      </c>
      <c r="M17" s="3" t="s">
        <v>180</v>
      </c>
      <c r="N17" s="3" t="s">
        <v>727</v>
      </c>
      <c r="O17" s="3" t="s">
        <v>636</v>
      </c>
      <c r="P17" s="3" t="s">
        <v>723</v>
      </c>
      <c r="Q17" s="3" t="s">
        <v>638</v>
      </c>
      <c r="R17" s="3" t="s">
        <v>639</v>
      </c>
      <c r="S17" s="3"/>
      <c r="T17" s="3"/>
    </row>
    <row r="18" customFormat="false" ht="69.75" hidden="false" customHeight="true" outlineLevel="0" collapsed="false">
      <c r="A18" s="2" t="s">
        <v>242</v>
      </c>
      <c r="B18" s="2" t="s">
        <v>208</v>
      </c>
      <c r="C18" s="2" t="s">
        <v>241</v>
      </c>
      <c r="D18" s="2" t="s">
        <v>728</v>
      </c>
      <c r="E18" s="2" t="s">
        <v>630</v>
      </c>
      <c r="F18" s="6" t="s">
        <v>244</v>
      </c>
      <c r="G18" s="2" t="s">
        <v>146</v>
      </c>
      <c r="H18" s="2" t="s">
        <v>631</v>
      </c>
      <c r="I18" s="2" t="s">
        <v>729</v>
      </c>
      <c r="J18" s="2" t="s">
        <v>688</v>
      </c>
      <c r="K18" s="2" t="s">
        <v>730</v>
      </c>
      <c r="L18" s="2" t="s">
        <v>731</v>
      </c>
      <c r="M18" s="2" t="s">
        <v>180</v>
      </c>
      <c r="N18" s="2" t="s">
        <v>732</v>
      </c>
      <c r="O18" s="2" t="s">
        <v>636</v>
      </c>
      <c r="P18" s="2" t="s">
        <v>723</v>
      </c>
      <c r="Q18" s="2" t="s">
        <v>638</v>
      </c>
      <c r="R18" s="2" t="s">
        <v>639</v>
      </c>
      <c r="S18" s="2"/>
      <c r="T18" s="2"/>
    </row>
    <row r="19" customFormat="false" ht="69.75" hidden="false" customHeight="true" outlineLevel="0" collapsed="false">
      <c r="A19" s="3" t="s">
        <v>733</v>
      </c>
      <c r="B19" s="3" t="s">
        <v>447</v>
      </c>
      <c r="C19" s="3" t="s">
        <v>734</v>
      </c>
      <c r="D19" s="3" t="s">
        <v>735</v>
      </c>
      <c r="E19" s="3" t="s">
        <v>630</v>
      </c>
      <c r="F19" s="7" t="s">
        <v>736</v>
      </c>
      <c r="G19" s="3" t="s">
        <v>146</v>
      </c>
      <c r="H19" s="3" t="s">
        <v>631</v>
      </c>
      <c r="I19" s="3" t="s">
        <v>737</v>
      </c>
      <c r="J19" s="3" t="s">
        <v>704</v>
      </c>
      <c r="K19" s="3"/>
      <c r="L19" s="3" t="s">
        <v>737</v>
      </c>
      <c r="M19" s="3" t="s">
        <v>180</v>
      </c>
      <c r="N19" s="3" t="s">
        <v>738</v>
      </c>
      <c r="O19" s="3" t="s">
        <v>636</v>
      </c>
      <c r="P19" s="3" t="s">
        <v>710</v>
      </c>
      <c r="Q19" s="3" t="s">
        <v>638</v>
      </c>
      <c r="R19" s="3" t="s">
        <v>639</v>
      </c>
      <c r="S19" s="3"/>
      <c r="T19" s="3"/>
    </row>
    <row r="20" customFormat="false" ht="69.75" hidden="false" customHeight="true" outlineLevel="0" collapsed="false">
      <c r="A20" s="2" t="s">
        <v>739</v>
      </c>
      <c r="B20" s="2" t="s">
        <v>447</v>
      </c>
      <c r="C20" s="2" t="s">
        <v>740</v>
      </c>
      <c r="D20" s="2" t="s">
        <v>741</v>
      </c>
      <c r="E20" s="2" t="s">
        <v>630</v>
      </c>
      <c r="F20" s="6" t="s">
        <v>452</v>
      </c>
      <c r="G20" s="2" t="s">
        <v>146</v>
      </c>
      <c r="H20" s="2" t="s">
        <v>631</v>
      </c>
      <c r="I20" s="2" t="s">
        <v>742</v>
      </c>
      <c r="J20" s="2" t="s">
        <v>704</v>
      </c>
      <c r="K20" s="2"/>
      <c r="L20" s="2" t="s">
        <v>742</v>
      </c>
      <c r="M20" s="2" t="s">
        <v>180</v>
      </c>
      <c r="N20" s="2" t="s">
        <v>743</v>
      </c>
      <c r="O20" s="2" t="s">
        <v>636</v>
      </c>
      <c r="P20" s="2" t="s">
        <v>710</v>
      </c>
      <c r="Q20" s="2" t="s">
        <v>638</v>
      </c>
      <c r="R20" s="2" t="s">
        <v>639</v>
      </c>
      <c r="S20" s="2"/>
      <c r="T20" s="2"/>
    </row>
    <row r="21" customFormat="false" ht="69.75" hidden="false" customHeight="true" outlineLevel="0" collapsed="false">
      <c r="A21" s="3" t="s">
        <v>744</v>
      </c>
      <c r="B21" s="3" t="s">
        <v>447</v>
      </c>
      <c r="C21" s="3" t="s">
        <v>745</v>
      </c>
      <c r="D21" s="3" t="s">
        <v>746</v>
      </c>
      <c r="E21" s="3" t="s">
        <v>630</v>
      </c>
      <c r="F21" s="7" t="s">
        <v>460</v>
      </c>
      <c r="G21" s="3" t="s">
        <v>146</v>
      </c>
      <c r="H21" s="3" t="s">
        <v>631</v>
      </c>
      <c r="I21" s="3" t="s">
        <v>747</v>
      </c>
      <c r="J21" s="3" t="s">
        <v>704</v>
      </c>
      <c r="K21" s="3"/>
      <c r="L21" s="3" t="s">
        <v>747</v>
      </c>
      <c r="M21" s="3" t="s">
        <v>180</v>
      </c>
      <c r="N21" s="3" t="s">
        <v>748</v>
      </c>
      <c r="O21" s="3" t="s">
        <v>636</v>
      </c>
      <c r="P21" s="3" t="s">
        <v>710</v>
      </c>
      <c r="Q21" s="3" t="s">
        <v>638</v>
      </c>
      <c r="R21" s="3" t="s">
        <v>639</v>
      </c>
      <c r="S21" s="3"/>
      <c r="T21" s="3"/>
    </row>
    <row r="22" customFormat="false" ht="69.75" hidden="false" customHeight="true" outlineLevel="0" collapsed="false">
      <c r="A22" s="2" t="s">
        <v>749</v>
      </c>
      <c r="B22" s="2" t="s">
        <v>226</v>
      </c>
      <c r="C22" s="2" t="s">
        <v>750</v>
      </c>
      <c r="D22" s="2" t="s">
        <v>751</v>
      </c>
      <c r="E22" s="2" t="s">
        <v>630</v>
      </c>
      <c r="F22" s="6" t="s">
        <v>231</v>
      </c>
      <c r="G22" s="2" t="s">
        <v>146</v>
      </c>
      <c r="H22" s="2" t="s">
        <v>631</v>
      </c>
      <c r="I22" s="2" t="s">
        <v>752</v>
      </c>
      <c r="J22" s="2" t="s">
        <v>704</v>
      </c>
      <c r="K22" s="2"/>
      <c r="L22" s="2" t="s">
        <v>752</v>
      </c>
      <c r="M22" s="2" t="s">
        <v>180</v>
      </c>
      <c r="N22" s="2" t="s">
        <v>753</v>
      </c>
      <c r="O22" s="2" t="s">
        <v>636</v>
      </c>
      <c r="P22" s="2" t="s">
        <v>710</v>
      </c>
      <c r="Q22" s="2" t="s">
        <v>638</v>
      </c>
      <c r="R22" s="2" t="s">
        <v>639</v>
      </c>
      <c r="S22" s="2"/>
      <c r="T22" s="2"/>
    </row>
    <row r="23" customFormat="false" ht="69.75" hidden="false" customHeight="true" outlineLevel="0" collapsed="false">
      <c r="A23" s="3" t="s">
        <v>754</v>
      </c>
      <c r="B23" s="3" t="s">
        <v>226</v>
      </c>
      <c r="C23" s="3" t="s">
        <v>755</v>
      </c>
      <c r="D23" s="3" t="s">
        <v>756</v>
      </c>
      <c r="E23" s="3" t="s">
        <v>630</v>
      </c>
      <c r="F23" s="7" t="s">
        <v>757</v>
      </c>
      <c r="G23" s="3" t="s">
        <v>146</v>
      </c>
      <c r="H23" s="3" t="s">
        <v>631</v>
      </c>
      <c r="I23" s="3" t="s">
        <v>758</v>
      </c>
      <c r="J23" s="3" t="s">
        <v>704</v>
      </c>
      <c r="K23" s="3"/>
      <c r="L23" s="3" t="s">
        <v>758</v>
      </c>
      <c r="M23" s="3" t="s">
        <v>180</v>
      </c>
      <c r="N23" s="3" t="s">
        <v>759</v>
      </c>
      <c r="O23" s="3" t="s">
        <v>636</v>
      </c>
      <c r="P23" s="3" t="s">
        <v>710</v>
      </c>
      <c r="Q23" s="3" t="s">
        <v>638</v>
      </c>
      <c r="R23" s="3" t="s">
        <v>639</v>
      </c>
      <c r="S23" s="3"/>
      <c r="T23" s="3"/>
    </row>
    <row r="24" customFormat="false" ht="69.75" hidden="false" customHeight="true" outlineLevel="0" collapsed="false">
      <c r="A24" s="2" t="s">
        <v>760</v>
      </c>
      <c r="B24" s="2" t="s">
        <v>438</v>
      </c>
      <c r="C24" s="2" t="s">
        <v>761</v>
      </c>
      <c r="D24" s="2" t="s">
        <v>762</v>
      </c>
      <c r="E24" s="2" t="s">
        <v>630</v>
      </c>
      <c r="F24" s="2"/>
      <c r="G24" s="2" t="s">
        <v>146</v>
      </c>
      <c r="H24" s="2"/>
      <c r="I24" s="2"/>
      <c r="J24" s="2" t="s">
        <v>763</v>
      </c>
      <c r="K24" s="2"/>
      <c r="L24" s="2"/>
      <c r="M24" s="2" t="s">
        <v>764</v>
      </c>
      <c r="N24" s="2" t="s">
        <v>765</v>
      </c>
      <c r="O24" s="2" t="s">
        <v>636</v>
      </c>
      <c r="P24" s="2" t="s">
        <v>766</v>
      </c>
      <c r="Q24" s="2" t="s">
        <v>638</v>
      </c>
      <c r="R24" s="2" t="s">
        <v>639</v>
      </c>
      <c r="S24" s="2"/>
      <c r="T24" s="2"/>
    </row>
    <row r="25" customFormat="false" ht="69.75" hidden="false" customHeight="true" outlineLevel="0" collapsed="false">
      <c r="A25" s="3" t="s">
        <v>767</v>
      </c>
      <c r="B25" s="3" t="s">
        <v>214</v>
      </c>
      <c r="C25" s="3" t="s">
        <v>761</v>
      </c>
      <c r="D25" s="3" t="s">
        <v>762</v>
      </c>
      <c r="E25" s="3" t="s">
        <v>630</v>
      </c>
      <c r="F25" s="3"/>
      <c r="G25" s="3" t="s">
        <v>146</v>
      </c>
      <c r="H25" s="3"/>
      <c r="I25" s="3"/>
      <c r="J25" s="3" t="s">
        <v>763</v>
      </c>
      <c r="K25" s="3"/>
      <c r="L25" s="3"/>
      <c r="M25" s="3" t="s">
        <v>180</v>
      </c>
      <c r="N25" s="3" t="s">
        <v>768</v>
      </c>
      <c r="O25" s="3" t="s">
        <v>636</v>
      </c>
      <c r="P25" s="3" t="s">
        <v>769</v>
      </c>
      <c r="Q25" s="3" t="s">
        <v>638</v>
      </c>
      <c r="R25" s="3" t="s">
        <v>639</v>
      </c>
      <c r="S25" s="3"/>
      <c r="T25" s="3"/>
    </row>
    <row r="26" customFormat="false" ht="69.75" hidden="false" customHeight="true" outlineLevel="0" collapsed="false">
      <c r="A26" s="2" t="s">
        <v>770</v>
      </c>
      <c r="B26" s="2" t="s">
        <v>221</v>
      </c>
      <c r="C26" s="2" t="s">
        <v>761</v>
      </c>
      <c r="D26" s="2" t="s">
        <v>762</v>
      </c>
      <c r="E26" s="2" t="s">
        <v>630</v>
      </c>
      <c r="F26" s="2"/>
      <c r="G26" s="2" t="s">
        <v>146</v>
      </c>
      <c r="H26" s="2"/>
      <c r="I26" s="2"/>
      <c r="J26" s="2" t="s">
        <v>763</v>
      </c>
      <c r="K26" s="2"/>
      <c r="L26" s="2"/>
      <c r="M26" s="2" t="s">
        <v>180</v>
      </c>
      <c r="N26" s="2" t="s">
        <v>771</v>
      </c>
      <c r="O26" s="2" t="s">
        <v>636</v>
      </c>
      <c r="P26" s="2" t="s">
        <v>769</v>
      </c>
      <c r="Q26" s="2" t="s">
        <v>638</v>
      </c>
      <c r="R26" s="2" t="s">
        <v>639</v>
      </c>
      <c r="S26" s="2"/>
      <c r="T26" s="2"/>
    </row>
    <row r="27" customFormat="false" ht="69.75" hidden="false" customHeight="true" outlineLevel="0" collapsed="false">
      <c r="A27" s="3" t="s">
        <v>283</v>
      </c>
      <c r="B27" s="3" t="s">
        <v>281</v>
      </c>
      <c r="C27" s="3" t="s">
        <v>282</v>
      </c>
      <c r="D27" s="3" t="s">
        <v>772</v>
      </c>
      <c r="E27" s="3" t="s">
        <v>630</v>
      </c>
      <c r="F27" s="7" t="s">
        <v>285</v>
      </c>
      <c r="G27" s="3" t="s">
        <v>146</v>
      </c>
      <c r="H27" s="3" t="s">
        <v>631</v>
      </c>
      <c r="I27" s="3" t="s">
        <v>773</v>
      </c>
      <c r="J27" s="3" t="s">
        <v>774</v>
      </c>
      <c r="K27" s="3" t="s">
        <v>689</v>
      </c>
      <c r="L27" s="3" t="s">
        <v>775</v>
      </c>
      <c r="M27" s="3" t="s">
        <v>251</v>
      </c>
      <c r="N27" s="3" t="s">
        <v>776</v>
      </c>
      <c r="O27" s="3" t="s">
        <v>636</v>
      </c>
      <c r="P27" s="3" t="s">
        <v>777</v>
      </c>
      <c r="Q27" s="3" t="s">
        <v>638</v>
      </c>
      <c r="R27" s="3" t="s">
        <v>639</v>
      </c>
      <c r="S27" s="3"/>
      <c r="T27" s="3"/>
    </row>
    <row r="28" customFormat="false" ht="69.75" hidden="false" customHeight="true" outlineLevel="0" collapsed="false">
      <c r="A28" s="2" t="s">
        <v>288</v>
      </c>
      <c r="B28" s="2" t="s">
        <v>281</v>
      </c>
      <c r="C28" s="2" t="s">
        <v>287</v>
      </c>
      <c r="D28" s="2" t="s">
        <v>778</v>
      </c>
      <c r="E28" s="2" t="s">
        <v>630</v>
      </c>
      <c r="F28" s="6" t="s">
        <v>290</v>
      </c>
      <c r="G28" s="2" t="s">
        <v>146</v>
      </c>
      <c r="H28" s="2" t="s">
        <v>631</v>
      </c>
      <c r="I28" s="2" t="s">
        <v>779</v>
      </c>
      <c r="J28" s="2" t="s">
        <v>780</v>
      </c>
      <c r="K28" s="2" t="s">
        <v>660</v>
      </c>
      <c r="L28" s="2" t="s">
        <v>781</v>
      </c>
      <c r="M28" s="2" t="s">
        <v>251</v>
      </c>
      <c r="N28" s="2" t="s">
        <v>782</v>
      </c>
      <c r="O28" s="2" t="s">
        <v>636</v>
      </c>
      <c r="P28" s="2" t="s">
        <v>783</v>
      </c>
      <c r="Q28" s="2" t="s">
        <v>638</v>
      </c>
      <c r="R28" s="2" t="s">
        <v>639</v>
      </c>
      <c r="S28" s="2"/>
      <c r="T28" s="2"/>
    </row>
    <row r="29" customFormat="false" ht="69.75" hidden="false" customHeight="true" outlineLevel="0" collapsed="false">
      <c r="A29" s="3" t="s">
        <v>293</v>
      </c>
      <c r="B29" s="3" t="s">
        <v>281</v>
      </c>
      <c r="C29" s="3" t="s">
        <v>292</v>
      </c>
      <c r="D29" s="3" t="s">
        <v>784</v>
      </c>
      <c r="E29" s="3" t="s">
        <v>630</v>
      </c>
      <c r="F29" s="7" t="s">
        <v>295</v>
      </c>
      <c r="G29" s="3" t="s">
        <v>146</v>
      </c>
      <c r="H29" s="3" t="s">
        <v>631</v>
      </c>
      <c r="I29" s="3"/>
      <c r="J29" s="3"/>
      <c r="K29" s="3"/>
      <c r="L29" s="3"/>
      <c r="M29" s="3" t="s">
        <v>251</v>
      </c>
      <c r="N29" s="3" t="s">
        <v>785</v>
      </c>
      <c r="O29" s="3" t="s">
        <v>636</v>
      </c>
      <c r="P29" s="3" t="s">
        <v>786</v>
      </c>
      <c r="Q29" s="3" t="s">
        <v>638</v>
      </c>
      <c r="R29" s="3" t="s">
        <v>639</v>
      </c>
      <c r="S29" s="3"/>
      <c r="T29" s="3"/>
    </row>
    <row r="30" customFormat="false" ht="69.75" hidden="false" customHeight="true" outlineLevel="0" collapsed="false">
      <c r="A30" s="2" t="s">
        <v>252</v>
      </c>
      <c r="B30" s="2" t="s">
        <v>249</v>
      </c>
      <c r="C30" s="2" t="s">
        <v>250</v>
      </c>
      <c r="D30" s="2" t="s">
        <v>787</v>
      </c>
      <c r="E30" s="2" t="s">
        <v>630</v>
      </c>
      <c r="F30" s="6" t="s">
        <v>254</v>
      </c>
      <c r="G30" s="2" t="s">
        <v>146</v>
      </c>
      <c r="H30" s="2" t="s">
        <v>631</v>
      </c>
      <c r="I30" s="2" t="s">
        <v>788</v>
      </c>
      <c r="J30" s="2" t="s">
        <v>789</v>
      </c>
      <c r="K30" s="2"/>
      <c r="L30" s="2" t="s">
        <v>790</v>
      </c>
      <c r="M30" s="2" t="s">
        <v>251</v>
      </c>
      <c r="N30" s="2" t="s">
        <v>791</v>
      </c>
      <c r="O30" s="2" t="s">
        <v>636</v>
      </c>
      <c r="P30" s="2" t="s">
        <v>792</v>
      </c>
      <c r="Q30" s="2" t="s">
        <v>638</v>
      </c>
      <c r="R30" s="2" t="s">
        <v>639</v>
      </c>
      <c r="S30" s="2"/>
      <c r="T30" s="2"/>
    </row>
    <row r="31" customFormat="false" ht="69.75" hidden="false" customHeight="true" outlineLevel="0" collapsed="false">
      <c r="A31" s="3" t="s">
        <v>263</v>
      </c>
      <c r="B31" s="3" t="s">
        <v>249</v>
      </c>
      <c r="C31" s="3" t="s">
        <v>262</v>
      </c>
      <c r="D31" s="3" t="s">
        <v>793</v>
      </c>
      <c r="E31" s="3" t="s">
        <v>630</v>
      </c>
      <c r="F31" s="7" t="s">
        <v>265</v>
      </c>
      <c r="G31" s="3" t="s">
        <v>146</v>
      </c>
      <c r="H31" s="3" t="s">
        <v>631</v>
      </c>
      <c r="I31" s="3" t="s">
        <v>794</v>
      </c>
      <c r="J31" s="3" t="s">
        <v>789</v>
      </c>
      <c r="K31" s="3"/>
      <c r="L31" s="3" t="s">
        <v>795</v>
      </c>
      <c r="M31" s="3" t="s">
        <v>251</v>
      </c>
      <c r="N31" s="3" t="s">
        <v>796</v>
      </c>
      <c r="O31" s="3" t="s">
        <v>636</v>
      </c>
      <c r="P31" s="3" t="s">
        <v>797</v>
      </c>
      <c r="Q31" s="3" t="s">
        <v>638</v>
      </c>
      <c r="R31" s="3" t="s">
        <v>639</v>
      </c>
      <c r="S31" s="3"/>
      <c r="T31" s="3"/>
    </row>
    <row r="32" customFormat="false" ht="69.75" hidden="false" customHeight="true" outlineLevel="0" collapsed="false">
      <c r="A32" s="2" t="s">
        <v>273</v>
      </c>
      <c r="B32" s="2" t="s">
        <v>249</v>
      </c>
      <c r="C32" s="2" t="s">
        <v>272</v>
      </c>
      <c r="D32" s="2" t="s">
        <v>798</v>
      </c>
      <c r="E32" s="2" t="s">
        <v>630</v>
      </c>
      <c r="F32" s="6" t="s">
        <v>275</v>
      </c>
      <c r="G32" s="2" t="s">
        <v>146</v>
      </c>
      <c r="H32" s="2" t="s">
        <v>631</v>
      </c>
      <c r="I32" s="2"/>
      <c r="J32" s="2"/>
      <c r="K32" s="2"/>
      <c r="L32" s="2"/>
      <c r="M32" s="2" t="s">
        <v>251</v>
      </c>
      <c r="N32" s="2" t="s">
        <v>799</v>
      </c>
      <c r="O32" s="2" t="s">
        <v>636</v>
      </c>
      <c r="P32" s="2" t="s">
        <v>800</v>
      </c>
      <c r="Q32" s="2" t="s">
        <v>638</v>
      </c>
      <c r="R32" s="2" t="s">
        <v>639</v>
      </c>
      <c r="S32" s="2"/>
      <c r="T32" s="2"/>
    </row>
    <row r="33" customFormat="false" ht="69.75" hidden="false" customHeight="true" outlineLevel="0" collapsed="false">
      <c r="A33" s="3" t="s">
        <v>258</v>
      </c>
      <c r="B33" s="3" t="s">
        <v>256</v>
      </c>
      <c r="C33" s="3" t="s">
        <v>257</v>
      </c>
      <c r="D33" s="3" t="s">
        <v>801</v>
      </c>
      <c r="E33" s="3" t="s">
        <v>630</v>
      </c>
      <c r="F33" s="7" t="s">
        <v>260</v>
      </c>
      <c r="G33" s="3" t="s">
        <v>146</v>
      </c>
      <c r="H33" s="3" t="s">
        <v>631</v>
      </c>
      <c r="I33" s="3"/>
      <c r="J33" s="3"/>
      <c r="K33" s="3"/>
      <c r="L33" s="3"/>
      <c r="M33" s="3" t="s">
        <v>251</v>
      </c>
      <c r="N33" s="3" t="s">
        <v>802</v>
      </c>
      <c r="O33" s="3" t="s">
        <v>636</v>
      </c>
      <c r="P33" s="3" t="s">
        <v>803</v>
      </c>
      <c r="Q33" s="3" t="s">
        <v>638</v>
      </c>
      <c r="R33" s="3" t="s">
        <v>639</v>
      </c>
      <c r="S33" s="3"/>
      <c r="T33" s="3"/>
    </row>
    <row r="34" customFormat="false" ht="69.75" hidden="false" customHeight="true" outlineLevel="0" collapsed="false">
      <c r="A34" s="2" t="s">
        <v>268</v>
      </c>
      <c r="B34" s="2" t="s">
        <v>256</v>
      </c>
      <c r="C34" s="2" t="s">
        <v>267</v>
      </c>
      <c r="D34" s="2" t="s">
        <v>804</v>
      </c>
      <c r="E34" s="2" t="s">
        <v>630</v>
      </c>
      <c r="F34" s="6" t="s">
        <v>270</v>
      </c>
      <c r="G34" s="2" t="s">
        <v>146</v>
      </c>
      <c r="H34" s="2" t="s">
        <v>631</v>
      </c>
      <c r="I34" s="2" t="s">
        <v>805</v>
      </c>
      <c r="J34" s="2" t="s">
        <v>789</v>
      </c>
      <c r="K34" s="2"/>
      <c r="L34" s="2" t="s">
        <v>806</v>
      </c>
      <c r="M34" s="2" t="s">
        <v>251</v>
      </c>
      <c r="N34" s="2" t="s">
        <v>807</v>
      </c>
      <c r="O34" s="2" t="s">
        <v>636</v>
      </c>
      <c r="P34" s="2" t="s">
        <v>808</v>
      </c>
      <c r="Q34" s="2" t="s">
        <v>638</v>
      </c>
      <c r="R34" s="2" t="s">
        <v>639</v>
      </c>
      <c r="S34" s="2"/>
      <c r="T34" s="2"/>
    </row>
    <row r="35" customFormat="false" ht="69.75" hidden="false" customHeight="true" outlineLevel="0" collapsed="false">
      <c r="A35" s="3" t="s">
        <v>278</v>
      </c>
      <c r="B35" s="3" t="s">
        <v>256</v>
      </c>
      <c r="C35" s="3" t="s">
        <v>277</v>
      </c>
      <c r="D35" s="3" t="s">
        <v>809</v>
      </c>
      <c r="E35" s="3" t="s">
        <v>630</v>
      </c>
      <c r="F35" s="7" t="s">
        <v>275</v>
      </c>
      <c r="G35" s="3" t="s">
        <v>146</v>
      </c>
      <c r="H35" s="3" t="s">
        <v>631</v>
      </c>
      <c r="I35" s="3"/>
      <c r="J35" s="3"/>
      <c r="K35" s="3"/>
      <c r="L35" s="3"/>
      <c r="M35" s="3" t="s">
        <v>251</v>
      </c>
      <c r="N35" s="3" t="s">
        <v>810</v>
      </c>
      <c r="O35" s="3" t="s">
        <v>636</v>
      </c>
      <c r="P35" s="3" t="s">
        <v>803</v>
      </c>
      <c r="Q35" s="3" t="s">
        <v>638</v>
      </c>
      <c r="R35" s="3" t="s">
        <v>639</v>
      </c>
      <c r="S35" s="3"/>
      <c r="T35" s="3"/>
    </row>
    <row r="36" customFormat="false" ht="69.75" hidden="false" customHeight="true" outlineLevel="0" collapsed="false">
      <c r="A36" s="2" t="s">
        <v>315</v>
      </c>
      <c r="B36" s="2" t="s">
        <v>313</v>
      </c>
      <c r="C36" s="2" t="s">
        <v>314</v>
      </c>
      <c r="D36" s="2" t="s">
        <v>811</v>
      </c>
      <c r="E36" s="2" t="s">
        <v>630</v>
      </c>
      <c r="F36" s="6" t="s">
        <v>317</v>
      </c>
      <c r="G36" s="2" t="s">
        <v>146</v>
      </c>
      <c r="H36" s="2" t="s">
        <v>631</v>
      </c>
      <c r="I36" s="2" t="s">
        <v>812</v>
      </c>
      <c r="J36" s="2" t="s">
        <v>813</v>
      </c>
      <c r="K36" s="2" t="s">
        <v>814</v>
      </c>
      <c r="L36" s="2" t="s">
        <v>815</v>
      </c>
      <c r="M36" s="2" t="s">
        <v>251</v>
      </c>
      <c r="N36" s="2" t="s">
        <v>816</v>
      </c>
      <c r="O36" s="2" t="s">
        <v>636</v>
      </c>
      <c r="P36" s="2" t="s">
        <v>817</v>
      </c>
      <c r="Q36" s="2" t="s">
        <v>638</v>
      </c>
      <c r="R36" s="2" t="s">
        <v>639</v>
      </c>
      <c r="S36" s="2"/>
      <c r="T36" s="2"/>
    </row>
    <row r="37" customFormat="false" ht="69.75" hidden="false" customHeight="true" outlineLevel="0" collapsed="false">
      <c r="A37" s="3" t="s">
        <v>327</v>
      </c>
      <c r="B37" s="3" t="s">
        <v>313</v>
      </c>
      <c r="C37" s="3" t="s">
        <v>326</v>
      </c>
      <c r="D37" s="3" t="s">
        <v>818</v>
      </c>
      <c r="E37" s="3" t="s">
        <v>630</v>
      </c>
      <c r="F37" s="7" t="s">
        <v>329</v>
      </c>
      <c r="G37" s="3" t="s">
        <v>146</v>
      </c>
      <c r="H37" s="3" t="s">
        <v>631</v>
      </c>
      <c r="I37" s="3" t="s">
        <v>819</v>
      </c>
      <c r="J37" s="3" t="s">
        <v>820</v>
      </c>
      <c r="K37" s="3"/>
      <c r="L37" s="3" t="s">
        <v>821</v>
      </c>
      <c r="M37" s="3" t="s">
        <v>251</v>
      </c>
      <c r="N37" s="3" t="s">
        <v>822</v>
      </c>
      <c r="O37" s="3" t="s">
        <v>636</v>
      </c>
      <c r="P37" s="3" t="s">
        <v>823</v>
      </c>
      <c r="Q37" s="3" t="s">
        <v>638</v>
      </c>
      <c r="R37" s="3" t="s">
        <v>639</v>
      </c>
      <c r="S37" s="3"/>
      <c r="T37" s="3"/>
    </row>
    <row r="38" customFormat="false" ht="69.75" hidden="false" customHeight="true" outlineLevel="0" collapsed="false">
      <c r="A38" s="2" t="s">
        <v>333</v>
      </c>
      <c r="B38" s="2" t="s">
        <v>313</v>
      </c>
      <c r="C38" s="2" t="s">
        <v>332</v>
      </c>
      <c r="D38" s="2" t="s">
        <v>824</v>
      </c>
      <c r="E38" s="2" t="s">
        <v>630</v>
      </c>
      <c r="F38" s="6" t="s">
        <v>335</v>
      </c>
      <c r="G38" s="2" t="s">
        <v>146</v>
      </c>
      <c r="H38" s="2" t="s">
        <v>631</v>
      </c>
      <c r="I38" s="2"/>
      <c r="J38" s="2"/>
      <c r="K38" s="2"/>
      <c r="L38" s="2"/>
      <c r="M38" s="2" t="s">
        <v>251</v>
      </c>
      <c r="N38" s="2" t="s">
        <v>825</v>
      </c>
      <c r="O38" s="2" t="s">
        <v>636</v>
      </c>
      <c r="P38" s="2" t="s">
        <v>826</v>
      </c>
      <c r="Q38" s="2" t="s">
        <v>638</v>
      </c>
      <c r="R38" s="2" t="s">
        <v>639</v>
      </c>
      <c r="S38" s="2"/>
      <c r="T38" s="2"/>
    </row>
    <row r="39" customFormat="false" ht="69.75" hidden="false" customHeight="true" outlineLevel="0" collapsed="false">
      <c r="A39" s="3" t="s">
        <v>299</v>
      </c>
      <c r="B39" s="3" t="s">
        <v>297</v>
      </c>
      <c r="C39" s="3" t="s">
        <v>298</v>
      </c>
      <c r="D39" s="3" t="s">
        <v>827</v>
      </c>
      <c r="E39" s="3" t="s">
        <v>630</v>
      </c>
      <c r="F39" s="7" t="s">
        <v>302</v>
      </c>
      <c r="G39" s="3" t="s">
        <v>146</v>
      </c>
      <c r="H39" s="3" t="s">
        <v>631</v>
      </c>
      <c r="I39" s="3" t="s">
        <v>828</v>
      </c>
      <c r="J39" s="3" t="s">
        <v>789</v>
      </c>
      <c r="K39" s="3"/>
      <c r="L39" s="3" t="s">
        <v>829</v>
      </c>
      <c r="M39" s="3" t="s">
        <v>251</v>
      </c>
      <c r="N39" s="3" t="s">
        <v>830</v>
      </c>
      <c r="O39" s="3" t="s">
        <v>636</v>
      </c>
      <c r="P39" s="3" t="s">
        <v>831</v>
      </c>
      <c r="Q39" s="3" t="s">
        <v>638</v>
      </c>
      <c r="R39" s="3" t="s">
        <v>639</v>
      </c>
      <c r="S39" s="3"/>
      <c r="T39" s="3"/>
    </row>
    <row r="40" customFormat="false" ht="69.75" hidden="false" customHeight="true" outlineLevel="0" collapsed="false">
      <c r="A40" s="2" t="s">
        <v>832</v>
      </c>
      <c r="B40" s="2" t="s">
        <v>297</v>
      </c>
      <c r="C40" s="2" t="s">
        <v>833</v>
      </c>
      <c r="D40" s="2" t="s">
        <v>834</v>
      </c>
      <c r="E40" s="2" t="s">
        <v>630</v>
      </c>
      <c r="F40" s="6" t="s">
        <v>307</v>
      </c>
      <c r="G40" s="2" t="s">
        <v>146</v>
      </c>
      <c r="H40" s="2" t="s">
        <v>631</v>
      </c>
      <c r="I40" s="2" t="s">
        <v>835</v>
      </c>
      <c r="J40" s="2" t="s">
        <v>789</v>
      </c>
      <c r="K40" s="2"/>
      <c r="L40" s="2" t="s">
        <v>836</v>
      </c>
      <c r="M40" s="2" t="s">
        <v>251</v>
      </c>
      <c r="N40" s="2" t="s">
        <v>830</v>
      </c>
      <c r="O40" s="2" t="s">
        <v>636</v>
      </c>
      <c r="P40" s="2" t="s">
        <v>831</v>
      </c>
      <c r="Q40" s="2" t="s">
        <v>638</v>
      </c>
      <c r="R40" s="2" t="s">
        <v>639</v>
      </c>
      <c r="S40" s="2"/>
      <c r="T40" s="2"/>
    </row>
    <row r="41" customFormat="false" ht="69.75" hidden="false" customHeight="true" outlineLevel="0" collapsed="false">
      <c r="A41" s="3" t="s">
        <v>310</v>
      </c>
      <c r="B41" s="3" t="s">
        <v>297</v>
      </c>
      <c r="C41" s="3" t="s">
        <v>309</v>
      </c>
      <c r="D41" s="3" t="s">
        <v>837</v>
      </c>
      <c r="E41" s="3" t="s">
        <v>630</v>
      </c>
      <c r="F41" s="7" t="s">
        <v>311</v>
      </c>
      <c r="G41" s="3" t="s">
        <v>146</v>
      </c>
      <c r="H41" s="3" t="s">
        <v>631</v>
      </c>
      <c r="I41" s="3" t="s">
        <v>838</v>
      </c>
      <c r="J41" s="3" t="s">
        <v>789</v>
      </c>
      <c r="K41" s="3"/>
      <c r="L41" s="3" t="s">
        <v>839</v>
      </c>
      <c r="M41" s="3" t="s">
        <v>251</v>
      </c>
      <c r="N41" s="3" t="s">
        <v>830</v>
      </c>
      <c r="O41" s="3" t="s">
        <v>636</v>
      </c>
      <c r="P41" s="3" t="s">
        <v>831</v>
      </c>
      <c r="Q41" s="3" t="s">
        <v>638</v>
      </c>
      <c r="R41" s="3" t="s">
        <v>639</v>
      </c>
      <c r="S41" s="3"/>
      <c r="T41" s="3"/>
    </row>
    <row r="42" customFormat="false" ht="69.75" hidden="false" customHeight="true" outlineLevel="0" collapsed="false">
      <c r="A42" s="2" t="s">
        <v>840</v>
      </c>
      <c r="B42" s="2" t="s">
        <v>319</v>
      </c>
      <c r="C42" s="2" t="s">
        <v>841</v>
      </c>
      <c r="D42" s="2" t="s">
        <v>842</v>
      </c>
      <c r="E42" s="2" t="s">
        <v>630</v>
      </c>
      <c r="F42" s="6" t="s">
        <v>324</v>
      </c>
      <c r="G42" s="2" t="s">
        <v>146</v>
      </c>
      <c r="H42" s="2" t="s">
        <v>631</v>
      </c>
      <c r="I42" s="2" t="s">
        <v>843</v>
      </c>
      <c r="J42" s="2" t="s">
        <v>789</v>
      </c>
      <c r="K42" s="2"/>
      <c r="L42" s="2" t="s">
        <v>844</v>
      </c>
      <c r="M42" s="2" t="s">
        <v>251</v>
      </c>
      <c r="N42" s="2" t="s">
        <v>845</v>
      </c>
      <c r="O42" s="2" t="s">
        <v>636</v>
      </c>
      <c r="P42" s="2" t="s">
        <v>846</v>
      </c>
      <c r="Q42" s="2" t="s">
        <v>638</v>
      </c>
      <c r="R42" s="2" t="s">
        <v>639</v>
      </c>
      <c r="S42" s="2"/>
      <c r="T42" s="2"/>
    </row>
    <row r="43" customFormat="false" ht="69.75" hidden="false" customHeight="true" outlineLevel="0" collapsed="false">
      <c r="A43" s="3" t="s">
        <v>847</v>
      </c>
      <c r="B43" s="3" t="s">
        <v>489</v>
      </c>
      <c r="C43" s="3" t="s">
        <v>848</v>
      </c>
      <c r="D43" s="3" t="s">
        <v>849</v>
      </c>
      <c r="E43" s="3" t="s">
        <v>630</v>
      </c>
      <c r="F43" s="7" t="s">
        <v>850</v>
      </c>
      <c r="G43" s="3" t="s">
        <v>146</v>
      </c>
      <c r="H43" s="3" t="s">
        <v>631</v>
      </c>
      <c r="I43" s="3" t="s">
        <v>851</v>
      </c>
      <c r="J43" s="3" t="s">
        <v>789</v>
      </c>
      <c r="K43" s="3"/>
      <c r="L43" s="3" t="s">
        <v>852</v>
      </c>
      <c r="M43" s="3" t="s">
        <v>251</v>
      </c>
      <c r="N43" s="3" t="s">
        <v>853</v>
      </c>
      <c r="O43" s="3" t="s">
        <v>636</v>
      </c>
      <c r="P43" s="3" t="s">
        <v>854</v>
      </c>
      <c r="Q43" s="3" t="s">
        <v>638</v>
      </c>
      <c r="R43" s="3" t="s">
        <v>639</v>
      </c>
      <c r="S43" s="3"/>
      <c r="T43" s="3"/>
    </row>
    <row r="44" customFormat="false" ht="69.75" hidden="false" customHeight="true" outlineLevel="0" collapsed="false">
      <c r="A44" s="2" t="s">
        <v>855</v>
      </c>
      <c r="B44" s="2" t="s">
        <v>489</v>
      </c>
      <c r="C44" s="2" t="s">
        <v>856</v>
      </c>
      <c r="D44" s="2" t="s">
        <v>857</v>
      </c>
      <c r="E44" s="2" t="s">
        <v>630</v>
      </c>
      <c r="F44" s="6" t="s">
        <v>858</v>
      </c>
      <c r="G44" s="2" t="s">
        <v>146</v>
      </c>
      <c r="H44" s="2" t="s">
        <v>631</v>
      </c>
      <c r="I44" s="2" t="s">
        <v>859</v>
      </c>
      <c r="J44" s="2" t="s">
        <v>860</v>
      </c>
      <c r="K44" s="2"/>
      <c r="L44" s="2"/>
      <c r="M44" s="2" t="s">
        <v>251</v>
      </c>
      <c r="N44" s="2" t="s">
        <v>861</v>
      </c>
      <c r="O44" s="2" t="s">
        <v>636</v>
      </c>
      <c r="P44" s="2" t="s">
        <v>862</v>
      </c>
      <c r="Q44" s="2" t="s">
        <v>638</v>
      </c>
      <c r="R44" s="2" t="s">
        <v>639</v>
      </c>
      <c r="S44" s="2"/>
      <c r="T44" s="2"/>
    </row>
    <row r="45" customFormat="false" ht="69.75" hidden="false" customHeight="true" outlineLevel="0" collapsed="false">
      <c r="A45" s="3" t="s">
        <v>863</v>
      </c>
      <c r="B45" s="3" t="s">
        <v>557</v>
      </c>
      <c r="C45" s="3" t="s">
        <v>864</v>
      </c>
      <c r="D45" s="3" t="s">
        <v>865</v>
      </c>
      <c r="E45" s="3" t="s">
        <v>630</v>
      </c>
      <c r="F45" s="7" t="s">
        <v>562</v>
      </c>
      <c r="G45" s="3" t="s">
        <v>146</v>
      </c>
      <c r="H45" s="3" t="s">
        <v>10</v>
      </c>
      <c r="I45" s="3" t="s">
        <v>866</v>
      </c>
      <c r="J45" s="3" t="s">
        <v>704</v>
      </c>
      <c r="K45" s="3"/>
      <c r="L45" s="3" t="s">
        <v>867</v>
      </c>
      <c r="M45" s="3" t="s">
        <v>251</v>
      </c>
      <c r="N45" s="3" t="s">
        <v>868</v>
      </c>
      <c r="O45" s="3" t="s">
        <v>636</v>
      </c>
      <c r="P45" s="3" t="s">
        <v>869</v>
      </c>
      <c r="Q45" s="3" t="s">
        <v>638</v>
      </c>
      <c r="R45" s="3" t="s">
        <v>639</v>
      </c>
      <c r="S45" s="3" t="s">
        <v>664</v>
      </c>
      <c r="T45" s="3" t="s">
        <v>665</v>
      </c>
    </row>
    <row r="46" customFormat="false" ht="69.75" hidden="false" customHeight="true" outlineLevel="0" collapsed="false">
      <c r="A46" s="2" t="s">
        <v>870</v>
      </c>
      <c r="B46" s="2" t="s">
        <v>557</v>
      </c>
      <c r="C46" s="2" t="s">
        <v>871</v>
      </c>
      <c r="D46" s="2" t="s">
        <v>872</v>
      </c>
      <c r="E46" s="2" t="s">
        <v>630</v>
      </c>
      <c r="F46" s="6" t="s">
        <v>873</v>
      </c>
      <c r="G46" s="2" t="s">
        <v>146</v>
      </c>
      <c r="H46" s="2" t="s">
        <v>10</v>
      </c>
      <c r="I46" s="2" t="s">
        <v>874</v>
      </c>
      <c r="J46" s="2" t="s">
        <v>704</v>
      </c>
      <c r="K46" s="2"/>
      <c r="L46" s="2" t="s">
        <v>875</v>
      </c>
      <c r="M46" s="2" t="s">
        <v>251</v>
      </c>
      <c r="N46" s="2" t="s">
        <v>876</v>
      </c>
      <c r="O46" s="2" t="s">
        <v>636</v>
      </c>
      <c r="P46" s="2" t="s">
        <v>869</v>
      </c>
      <c r="Q46" s="2" t="s">
        <v>638</v>
      </c>
      <c r="R46" s="2" t="s">
        <v>639</v>
      </c>
      <c r="S46" s="2" t="s">
        <v>664</v>
      </c>
      <c r="T46" s="2" t="s">
        <v>665</v>
      </c>
    </row>
    <row r="47" customFormat="false" ht="69.75" hidden="false" customHeight="true" outlineLevel="0" collapsed="false">
      <c r="A47" s="3" t="s">
        <v>877</v>
      </c>
      <c r="B47" s="3" t="s">
        <v>557</v>
      </c>
      <c r="C47" s="3" t="s">
        <v>878</v>
      </c>
      <c r="D47" s="3" t="s">
        <v>879</v>
      </c>
      <c r="E47" s="3" t="s">
        <v>630</v>
      </c>
      <c r="F47" s="7" t="s">
        <v>562</v>
      </c>
      <c r="G47" s="3" t="s">
        <v>146</v>
      </c>
      <c r="H47" s="3" t="s">
        <v>10</v>
      </c>
      <c r="I47" s="3" t="s">
        <v>880</v>
      </c>
      <c r="J47" s="3" t="s">
        <v>704</v>
      </c>
      <c r="K47" s="3"/>
      <c r="L47" s="3" t="s">
        <v>881</v>
      </c>
      <c r="M47" s="3" t="s">
        <v>251</v>
      </c>
      <c r="N47" s="3" t="s">
        <v>882</v>
      </c>
      <c r="O47" s="3" t="s">
        <v>636</v>
      </c>
      <c r="P47" s="3" t="s">
        <v>869</v>
      </c>
      <c r="Q47" s="3" t="s">
        <v>638</v>
      </c>
      <c r="R47" s="3" t="s">
        <v>639</v>
      </c>
      <c r="S47" s="3" t="s">
        <v>664</v>
      </c>
      <c r="T47" s="3" t="s">
        <v>665</v>
      </c>
    </row>
    <row r="48" customFormat="false" ht="69.75" hidden="false" customHeight="true" outlineLevel="0" collapsed="false">
      <c r="A48" s="2" t="s">
        <v>883</v>
      </c>
      <c r="B48" s="2" t="s">
        <v>557</v>
      </c>
      <c r="C48" s="2" t="s">
        <v>884</v>
      </c>
      <c r="D48" s="2" t="s">
        <v>885</v>
      </c>
      <c r="E48" s="2" t="s">
        <v>630</v>
      </c>
      <c r="F48" s="6" t="s">
        <v>562</v>
      </c>
      <c r="G48" s="2" t="s">
        <v>146</v>
      </c>
      <c r="H48" s="2" t="s">
        <v>10</v>
      </c>
      <c r="I48" s="2" t="s">
        <v>886</v>
      </c>
      <c r="J48" s="2" t="s">
        <v>704</v>
      </c>
      <c r="K48" s="2"/>
      <c r="L48" s="2" t="s">
        <v>887</v>
      </c>
      <c r="M48" s="2" t="s">
        <v>251</v>
      </c>
      <c r="N48" s="2" t="s">
        <v>888</v>
      </c>
      <c r="O48" s="2" t="s">
        <v>636</v>
      </c>
      <c r="P48" s="2" t="s">
        <v>869</v>
      </c>
      <c r="Q48" s="2" t="s">
        <v>638</v>
      </c>
      <c r="R48" s="2" t="s">
        <v>639</v>
      </c>
      <c r="S48" s="2" t="s">
        <v>664</v>
      </c>
      <c r="T48" s="2" t="s">
        <v>665</v>
      </c>
    </row>
    <row r="49" customFormat="false" ht="69.75" hidden="false" customHeight="true" outlineLevel="0" collapsed="false">
      <c r="A49" s="3" t="s">
        <v>889</v>
      </c>
      <c r="B49" s="3" t="s">
        <v>557</v>
      </c>
      <c r="C49" s="3" t="s">
        <v>890</v>
      </c>
      <c r="D49" s="3" t="s">
        <v>891</v>
      </c>
      <c r="E49" s="3" t="s">
        <v>630</v>
      </c>
      <c r="F49" s="7" t="s">
        <v>873</v>
      </c>
      <c r="G49" s="3" t="s">
        <v>146</v>
      </c>
      <c r="H49" s="3" t="s">
        <v>10</v>
      </c>
      <c r="I49" s="3" t="s">
        <v>892</v>
      </c>
      <c r="J49" s="3" t="s">
        <v>704</v>
      </c>
      <c r="K49" s="3"/>
      <c r="L49" s="3" t="s">
        <v>893</v>
      </c>
      <c r="M49" s="3" t="s">
        <v>251</v>
      </c>
      <c r="N49" s="3" t="s">
        <v>894</v>
      </c>
      <c r="O49" s="3" t="s">
        <v>636</v>
      </c>
      <c r="P49" s="3" t="s">
        <v>869</v>
      </c>
      <c r="Q49" s="3" t="s">
        <v>638</v>
      </c>
      <c r="R49" s="3" t="s">
        <v>639</v>
      </c>
      <c r="S49" s="3" t="s">
        <v>664</v>
      </c>
      <c r="T49" s="3" t="s">
        <v>665</v>
      </c>
    </row>
    <row r="50" customFormat="false" ht="69.75" hidden="false" customHeight="true" outlineLevel="0" collapsed="false">
      <c r="A50" s="2" t="s">
        <v>895</v>
      </c>
      <c r="B50" s="2" t="s">
        <v>557</v>
      </c>
      <c r="C50" s="2" t="s">
        <v>896</v>
      </c>
      <c r="D50" s="2" t="s">
        <v>897</v>
      </c>
      <c r="E50" s="2" t="s">
        <v>630</v>
      </c>
      <c r="F50" s="6" t="s">
        <v>562</v>
      </c>
      <c r="G50" s="2" t="s">
        <v>146</v>
      </c>
      <c r="H50" s="2" t="s">
        <v>10</v>
      </c>
      <c r="I50" s="2" t="s">
        <v>898</v>
      </c>
      <c r="J50" s="2" t="s">
        <v>704</v>
      </c>
      <c r="K50" s="2"/>
      <c r="L50" s="2" t="s">
        <v>899</v>
      </c>
      <c r="M50" s="2" t="s">
        <v>251</v>
      </c>
      <c r="N50" s="2" t="s">
        <v>900</v>
      </c>
      <c r="O50" s="2" t="s">
        <v>636</v>
      </c>
      <c r="P50" s="2" t="s">
        <v>901</v>
      </c>
      <c r="Q50" s="2" t="s">
        <v>638</v>
      </c>
      <c r="R50" s="2" t="s">
        <v>639</v>
      </c>
      <c r="S50" s="2" t="s">
        <v>664</v>
      </c>
      <c r="T50" s="2" t="s">
        <v>665</v>
      </c>
    </row>
    <row r="51" customFormat="false" ht="69.75" hidden="false" customHeight="true" outlineLevel="0" collapsed="false">
      <c r="A51" s="3" t="s">
        <v>902</v>
      </c>
      <c r="B51" s="3" t="s">
        <v>557</v>
      </c>
      <c r="C51" s="3" t="s">
        <v>903</v>
      </c>
      <c r="D51" s="3" t="s">
        <v>904</v>
      </c>
      <c r="E51" s="3" t="s">
        <v>630</v>
      </c>
      <c r="F51" s="3"/>
      <c r="G51" s="3" t="s">
        <v>146</v>
      </c>
      <c r="H51" s="3" t="s">
        <v>631</v>
      </c>
      <c r="I51" s="3"/>
      <c r="J51" s="3" t="s">
        <v>651</v>
      </c>
      <c r="K51" s="3"/>
      <c r="L51" s="3"/>
      <c r="M51" s="3" t="s">
        <v>251</v>
      </c>
      <c r="N51" s="3" t="s">
        <v>905</v>
      </c>
      <c r="O51" s="3" t="s">
        <v>636</v>
      </c>
      <c r="P51" s="3" t="s">
        <v>906</v>
      </c>
      <c r="Q51" s="3" t="s">
        <v>638</v>
      </c>
      <c r="R51" s="3" t="s">
        <v>639</v>
      </c>
      <c r="S51" s="3"/>
      <c r="T51" s="3"/>
    </row>
    <row r="52" customFormat="false" ht="69.75" hidden="false" customHeight="true" outlineLevel="0" collapsed="false">
      <c r="A52" s="2" t="s">
        <v>907</v>
      </c>
      <c r="B52" s="2" t="s">
        <v>557</v>
      </c>
      <c r="C52" s="2" t="s">
        <v>908</v>
      </c>
      <c r="D52" s="2" t="s">
        <v>909</v>
      </c>
      <c r="E52" s="2" t="s">
        <v>630</v>
      </c>
      <c r="F52" s="2"/>
      <c r="G52" s="2" t="s">
        <v>146</v>
      </c>
      <c r="H52" s="2" t="s">
        <v>631</v>
      </c>
      <c r="I52" s="2"/>
      <c r="J52" s="2" t="s">
        <v>651</v>
      </c>
      <c r="K52" s="2"/>
      <c r="L52" s="2"/>
      <c r="M52" s="2" t="s">
        <v>251</v>
      </c>
      <c r="N52" s="2" t="s">
        <v>910</v>
      </c>
      <c r="O52" s="2" t="s">
        <v>636</v>
      </c>
      <c r="P52" s="2" t="s">
        <v>911</v>
      </c>
      <c r="Q52" s="2" t="s">
        <v>638</v>
      </c>
      <c r="R52" s="2" t="s">
        <v>639</v>
      </c>
      <c r="S52" s="2"/>
      <c r="T52" s="2"/>
    </row>
    <row r="53" customFormat="false" ht="69.75" hidden="false" customHeight="true" outlineLevel="0" collapsed="false">
      <c r="A53" s="3" t="s">
        <v>912</v>
      </c>
      <c r="B53" s="3" t="s">
        <v>338</v>
      </c>
      <c r="C53" s="3" t="s">
        <v>913</v>
      </c>
      <c r="D53" s="3" t="s">
        <v>914</v>
      </c>
      <c r="E53" s="3" t="s">
        <v>630</v>
      </c>
      <c r="F53" s="7" t="s">
        <v>343</v>
      </c>
      <c r="G53" s="3" t="s">
        <v>146</v>
      </c>
      <c r="H53" s="3" t="s">
        <v>631</v>
      </c>
      <c r="I53" s="3" t="s">
        <v>915</v>
      </c>
      <c r="J53" s="3" t="s">
        <v>916</v>
      </c>
      <c r="K53" s="3" t="s">
        <v>689</v>
      </c>
      <c r="L53" s="3" t="s">
        <v>917</v>
      </c>
      <c r="M53" s="3" t="s">
        <v>251</v>
      </c>
      <c r="N53" s="3" t="s">
        <v>918</v>
      </c>
      <c r="O53" s="3" t="s">
        <v>636</v>
      </c>
      <c r="P53" s="3" t="s">
        <v>919</v>
      </c>
      <c r="Q53" s="3" t="s">
        <v>638</v>
      </c>
      <c r="R53" s="3" t="s">
        <v>639</v>
      </c>
      <c r="S53" s="3"/>
      <c r="T53" s="3"/>
    </row>
    <row r="54" customFormat="false" ht="69.75" hidden="false" customHeight="true" outlineLevel="0" collapsed="false">
      <c r="A54" s="2" t="s">
        <v>347</v>
      </c>
      <c r="B54" s="2" t="s">
        <v>345</v>
      </c>
      <c r="C54" s="2" t="s">
        <v>346</v>
      </c>
      <c r="D54" s="2" t="s">
        <v>920</v>
      </c>
      <c r="E54" s="2" t="s">
        <v>630</v>
      </c>
      <c r="F54" s="6" t="s">
        <v>349</v>
      </c>
      <c r="G54" s="2" t="s">
        <v>146</v>
      </c>
      <c r="H54" s="2" t="s">
        <v>10</v>
      </c>
      <c r="I54" s="2" t="s">
        <v>921</v>
      </c>
      <c r="J54" s="2" t="s">
        <v>704</v>
      </c>
      <c r="K54" s="2"/>
      <c r="L54" s="2" t="s">
        <v>922</v>
      </c>
      <c r="M54" s="2" t="s">
        <v>251</v>
      </c>
      <c r="N54" s="2" t="s">
        <v>923</v>
      </c>
      <c r="O54" s="2" t="s">
        <v>636</v>
      </c>
      <c r="P54" s="2" t="s">
        <v>924</v>
      </c>
      <c r="Q54" s="2" t="s">
        <v>638</v>
      </c>
      <c r="R54" s="2" t="s">
        <v>639</v>
      </c>
      <c r="S54" s="2" t="s">
        <v>664</v>
      </c>
      <c r="T54" s="2" t="s">
        <v>665</v>
      </c>
    </row>
    <row r="55" customFormat="false" ht="69.75" hidden="false" customHeight="true" outlineLevel="0" collapsed="false">
      <c r="A55" s="3" t="s">
        <v>925</v>
      </c>
      <c r="B55" s="3" t="s">
        <v>345</v>
      </c>
      <c r="C55" s="3" t="s">
        <v>926</v>
      </c>
      <c r="D55" s="3" t="s">
        <v>927</v>
      </c>
      <c r="E55" s="3" t="s">
        <v>630</v>
      </c>
      <c r="F55" s="7" t="s">
        <v>369</v>
      </c>
      <c r="G55" s="3" t="s">
        <v>146</v>
      </c>
      <c r="H55" s="3" t="s">
        <v>631</v>
      </c>
      <c r="I55" s="3" t="s">
        <v>928</v>
      </c>
      <c r="J55" s="3" t="s">
        <v>704</v>
      </c>
      <c r="K55" s="3"/>
      <c r="L55" s="3" t="s">
        <v>928</v>
      </c>
      <c r="M55" s="3" t="s">
        <v>251</v>
      </c>
      <c r="N55" s="3" t="s">
        <v>929</v>
      </c>
      <c r="O55" s="3" t="s">
        <v>636</v>
      </c>
      <c r="P55" s="3" t="s">
        <v>924</v>
      </c>
      <c r="Q55" s="3" t="s">
        <v>638</v>
      </c>
      <c r="R55" s="3" t="s">
        <v>639</v>
      </c>
      <c r="S55" s="3"/>
      <c r="T55" s="3"/>
    </row>
    <row r="56" customFormat="false" ht="69.75" hidden="false" customHeight="true" outlineLevel="0" collapsed="false">
      <c r="A56" s="2" t="s">
        <v>930</v>
      </c>
      <c r="B56" s="2" t="s">
        <v>377</v>
      </c>
      <c r="C56" s="2" t="s">
        <v>931</v>
      </c>
      <c r="D56" s="2" t="s">
        <v>932</v>
      </c>
      <c r="E56" s="2" t="s">
        <v>630</v>
      </c>
      <c r="F56" s="6" t="s">
        <v>933</v>
      </c>
      <c r="G56" s="2" t="s">
        <v>146</v>
      </c>
      <c r="H56" s="2" t="s">
        <v>10</v>
      </c>
      <c r="I56" s="2" t="s">
        <v>934</v>
      </c>
      <c r="J56" s="2" t="s">
        <v>704</v>
      </c>
      <c r="K56" s="2"/>
      <c r="L56" s="2" t="s">
        <v>935</v>
      </c>
      <c r="M56" s="2" t="s">
        <v>251</v>
      </c>
      <c r="N56" s="2" t="s">
        <v>936</v>
      </c>
      <c r="O56" s="2" t="s">
        <v>636</v>
      </c>
      <c r="P56" s="2" t="s">
        <v>924</v>
      </c>
      <c r="Q56" s="2" t="s">
        <v>638</v>
      </c>
      <c r="R56" s="2" t="s">
        <v>639</v>
      </c>
      <c r="S56" s="2" t="s">
        <v>664</v>
      </c>
      <c r="T56" s="2" t="s">
        <v>665</v>
      </c>
    </row>
    <row r="57" customFormat="false" ht="69.75" hidden="false" customHeight="true" outlineLevel="0" collapsed="false">
      <c r="A57" s="3" t="s">
        <v>937</v>
      </c>
      <c r="B57" s="3" t="s">
        <v>377</v>
      </c>
      <c r="C57" s="3" t="s">
        <v>384</v>
      </c>
      <c r="D57" s="3" t="s">
        <v>938</v>
      </c>
      <c r="E57" s="3" t="s">
        <v>630</v>
      </c>
      <c r="F57" s="7" t="s">
        <v>939</v>
      </c>
      <c r="G57" s="3" t="s">
        <v>146</v>
      </c>
      <c r="H57" s="3" t="s">
        <v>10</v>
      </c>
      <c r="I57" s="3" t="s">
        <v>940</v>
      </c>
      <c r="J57" s="3" t="s">
        <v>704</v>
      </c>
      <c r="K57" s="3"/>
      <c r="L57" s="3" t="s">
        <v>941</v>
      </c>
      <c r="M57" s="3" t="s">
        <v>251</v>
      </c>
      <c r="N57" s="3" t="s">
        <v>942</v>
      </c>
      <c r="O57" s="3" t="s">
        <v>636</v>
      </c>
      <c r="P57" s="3" t="s">
        <v>924</v>
      </c>
      <c r="Q57" s="3" t="s">
        <v>638</v>
      </c>
      <c r="R57" s="3" t="s">
        <v>639</v>
      </c>
      <c r="S57" s="3" t="s">
        <v>664</v>
      </c>
      <c r="T57" s="3" t="s">
        <v>665</v>
      </c>
    </row>
    <row r="58" customFormat="false" ht="69.75" hidden="false" customHeight="true" outlineLevel="0" collapsed="false">
      <c r="A58" s="2" t="s">
        <v>943</v>
      </c>
      <c r="B58" s="2" t="s">
        <v>377</v>
      </c>
      <c r="C58" s="2" t="s">
        <v>944</v>
      </c>
      <c r="D58" s="2" t="s">
        <v>945</v>
      </c>
      <c r="E58" s="2" t="s">
        <v>630</v>
      </c>
      <c r="F58" s="6" t="s">
        <v>933</v>
      </c>
      <c r="G58" s="2" t="s">
        <v>146</v>
      </c>
      <c r="H58" s="2" t="s">
        <v>10</v>
      </c>
      <c r="I58" s="2" t="s">
        <v>946</v>
      </c>
      <c r="J58" s="2" t="s">
        <v>704</v>
      </c>
      <c r="K58" s="2"/>
      <c r="L58" s="2" t="s">
        <v>947</v>
      </c>
      <c r="M58" s="2" t="s">
        <v>251</v>
      </c>
      <c r="N58" s="2" t="s">
        <v>948</v>
      </c>
      <c r="O58" s="2" t="s">
        <v>636</v>
      </c>
      <c r="P58" s="2" t="s">
        <v>924</v>
      </c>
      <c r="Q58" s="2" t="s">
        <v>638</v>
      </c>
      <c r="R58" s="2" t="s">
        <v>639</v>
      </c>
      <c r="S58" s="2" t="s">
        <v>664</v>
      </c>
      <c r="T58" s="2" t="s">
        <v>665</v>
      </c>
    </row>
    <row r="59" customFormat="false" ht="69.75" hidden="false" customHeight="true" outlineLevel="0" collapsed="false">
      <c r="A59" s="3" t="s">
        <v>949</v>
      </c>
      <c r="B59" s="3" t="s">
        <v>351</v>
      </c>
      <c r="C59" s="3" t="s">
        <v>950</v>
      </c>
      <c r="D59" s="3" t="s">
        <v>951</v>
      </c>
      <c r="E59" s="3" t="s">
        <v>630</v>
      </c>
      <c r="F59" s="7" t="s">
        <v>952</v>
      </c>
      <c r="G59" s="3" t="s">
        <v>146</v>
      </c>
      <c r="H59" s="3" t="s">
        <v>10</v>
      </c>
      <c r="I59" s="3" t="s">
        <v>953</v>
      </c>
      <c r="J59" s="3" t="s">
        <v>954</v>
      </c>
      <c r="K59" s="3"/>
      <c r="L59" s="3"/>
      <c r="M59" s="3" t="s">
        <v>251</v>
      </c>
      <c r="N59" s="3" t="s">
        <v>955</v>
      </c>
      <c r="O59" s="3" t="s">
        <v>636</v>
      </c>
      <c r="P59" s="3" t="s">
        <v>956</v>
      </c>
      <c r="Q59" s="3" t="s">
        <v>638</v>
      </c>
      <c r="R59" s="3" t="s">
        <v>639</v>
      </c>
      <c r="S59" s="3" t="s">
        <v>664</v>
      </c>
      <c r="T59" s="3" t="s">
        <v>665</v>
      </c>
    </row>
    <row r="60" customFormat="false" ht="69.75" hidden="false" customHeight="true" outlineLevel="0" collapsed="false">
      <c r="A60" s="2" t="s">
        <v>957</v>
      </c>
      <c r="B60" s="2" t="s">
        <v>358</v>
      </c>
      <c r="C60" s="2" t="s">
        <v>958</v>
      </c>
      <c r="D60" s="2" t="s">
        <v>959</v>
      </c>
      <c r="E60" s="2" t="s">
        <v>630</v>
      </c>
      <c r="F60" s="6" t="s">
        <v>960</v>
      </c>
      <c r="G60" s="2" t="s">
        <v>146</v>
      </c>
      <c r="H60" s="2" t="s">
        <v>10</v>
      </c>
      <c r="I60" s="2" t="s">
        <v>961</v>
      </c>
      <c r="J60" s="2" t="s">
        <v>704</v>
      </c>
      <c r="K60" s="2"/>
      <c r="L60" s="2" t="s">
        <v>962</v>
      </c>
      <c r="M60" s="2" t="s">
        <v>251</v>
      </c>
      <c r="N60" s="2" t="s">
        <v>963</v>
      </c>
      <c r="O60" s="2" t="s">
        <v>636</v>
      </c>
      <c r="P60" s="2" t="s">
        <v>924</v>
      </c>
      <c r="Q60" s="2" t="s">
        <v>638</v>
      </c>
      <c r="R60" s="2" t="s">
        <v>639</v>
      </c>
      <c r="S60" s="2" t="s">
        <v>664</v>
      </c>
      <c r="T60" s="2" t="s">
        <v>665</v>
      </c>
    </row>
    <row r="61" customFormat="false" ht="69.75" hidden="false" customHeight="true" outlineLevel="0" collapsed="false">
      <c r="A61" s="3" t="s">
        <v>411</v>
      </c>
      <c r="B61" s="3" t="s">
        <v>409</v>
      </c>
      <c r="C61" s="3" t="s">
        <v>410</v>
      </c>
      <c r="D61" s="3" t="s">
        <v>964</v>
      </c>
      <c r="E61" s="3" t="s">
        <v>630</v>
      </c>
      <c r="F61" s="7" t="s">
        <v>414</v>
      </c>
      <c r="G61" s="3" t="s">
        <v>146</v>
      </c>
      <c r="H61" s="3" t="s">
        <v>10</v>
      </c>
      <c r="I61" s="3" t="s">
        <v>965</v>
      </c>
      <c r="J61" s="3" t="s">
        <v>704</v>
      </c>
      <c r="K61" s="3"/>
      <c r="L61" s="3" t="s">
        <v>966</v>
      </c>
      <c r="M61" s="3" t="s">
        <v>251</v>
      </c>
      <c r="N61" s="3" t="s">
        <v>967</v>
      </c>
      <c r="O61" s="3" t="s">
        <v>636</v>
      </c>
      <c r="P61" s="3" t="s">
        <v>924</v>
      </c>
      <c r="Q61" s="3" t="s">
        <v>638</v>
      </c>
      <c r="R61" s="3" t="s">
        <v>639</v>
      </c>
      <c r="S61" s="3" t="s">
        <v>664</v>
      </c>
      <c r="T61" s="3" t="s">
        <v>665</v>
      </c>
    </row>
    <row r="62" customFormat="false" ht="69.75" hidden="false" customHeight="true" outlineLevel="0" collapsed="false">
      <c r="A62" s="2" t="s">
        <v>423</v>
      </c>
      <c r="B62" s="2" t="s">
        <v>409</v>
      </c>
      <c r="C62" s="2" t="s">
        <v>422</v>
      </c>
      <c r="D62" s="2" t="s">
        <v>968</v>
      </c>
      <c r="E62" s="2" t="s">
        <v>630</v>
      </c>
      <c r="F62" s="6" t="s">
        <v>414</v>
      </c>
      <c r="G62" s="2" t="s">
        <v>146</v>
      </c>
      <c r="H62" s="2" t="s">
        <v>10</v>
      </c>
      <c r="I62" s="2" t="s">
        <v>969</v>
      </c>
      <c r="J62" s="2" t="s">
        <v>704</v>
      </c>
      <c r="K62" s="2"/>
      <c r="L62" s="2" t="s">
        <v>970</v>
      </c>
      <c r="M62" s="2" t="s">
        <v>251</v>
      </c>
      <c r="N62" s="2" t="s">
        <v>971</v>
      </c>
      <c r="O62" s="2" t="s">
        <v>636</v>
      </c>
      <c r="P62" s="2" t="s">
        <v>924</v>
      </c>
      <c r="Q62" s="2" t="s">
        <v>638</v>
      </c>
      <c r="R62" s="2" t="s">
        <v>639</v>
      </c>
      <c r="S62" s="2" t="s">
        <v>664</v>
      </c>
      <c r="T62" s="2" t="s">
        <v>665</v>
      </c>
    </row>
    <row r="63" customFormat="false" ht="69.75" hidden="false" customHeight="true" outlineLevel="0" collapsed="false">
      <c r="A63" s="3" t="s">
        <v>972</v>
      </c>
      <c r="B63" s="3" t="s">
        <v>416</v>
      </c>
      <c r="C63" s="3" t="s">
        <v>973</v>
      </c>
      <c r="D63" s="3" t="s">
        <v>974</v>
      </c>
      <c r="E63" s="3" t="s">
        <v>630</v>
      </c>
      <c r="F63" s="7" t="s">
        <v>975</v>
      </c>
      <c r="G63" s="3" t="s">
        <v>146</v>
      </c>
      <c r="H63" s="3" t="s">
        <v>10</v>
      </c>
      <c r="I63" s="3" t="s">
        <v>976</v>
      </c>
      <c r="J63" s="3" t="s">
        <v>704</v>
      </c>
      <c r="K63" s="3"/>
      <c r="L63" s="3" t="s">
        <v>977</v>
      </c>
      <c r="M63" s="3" t="s">
        <v>251</v>
      </c>
      <c r="N63" s="3" t="s">
        <v>978</v>
      </c>
      <c r="O63" s="3" t="s">
        <v>636</v>
      </c>
      <c r="P63" s="3" t="s">
        <v>924</v>
      </c>
      <c r="Q63" s="3" t="s">
        <v>638</v>
      </c>
      <c r="R63" s="3" t="s">
        <v>639</v>
      </c>
      <c r="S63" s="3" t="s">
        <v>664</v>
      </c>
      <c r="T63" s="3" t="s">
        <v>665</v>
      </c>
    </row>
    <row r="64" customFormat="false" ht="69.75" hidden="false" customHeight="true" outlineLevel="0" collapsed="false">
      <c r="A64" s="2" t="s">
        <v>979</v>
      </c>
      <c r="B64" s="2" t="s">
        <v>394</v>
      </c>
      <c r="C64" s="2" t="s">
        <v>980</v>
      </c>
      <c r="D64" s="2" t="s">
        <v>981</v>
      </c>
      <c r="E64" s="2" t="s">
        <v>630</v>
      </c>
      <c r="F64" s="6" t="s">
        <v>982</v>
      </c>
      <c r="G64" s="2" t="s">
        <v>146</v>
      </c>
      <c r="H64" s="2" t="s">
        <v>631</v>
      </c>
      <c r="I64" s="2" t="s">
        <v>983</v>
      </c>
      <c r="J64" s="2" t="s">
        <v>954</v>
      </c>
      <c r="K64" s="2"/>
      <c r="L64" s="2"/>
      <c r="M64" s="2" t="s">
        <v>251</v>
      </c>
      <c r="N64" s="2" t="s">
        <v>984</v>
      </c>
      <c r="O64" s="2" t="s">
        <v>636</v>
      </c>
      <c r="P64" s="2" t="s">
        <v>985</v>
      </c>
      <c r="Q64" s="2" t="s">
        <v>638</v>
      </c>
      <c r="R64" s="2" t="s">
        <v>639</v>
      </c>
      <c r="S64" s="2"/>
      <c r="T64" s="2"/>
    </row>
    <row r="65" customFormat="false" ht="69.75" hidden="false" customHeight="true" outlineLevel="0" collapsed="false">
      <c r="A65" s="3" t="s">
        <v>986</v>
      </c>
      <c r="B65" s="3" t="s">
        <v>547</v>
      </c>
      <c r="C65" s="3" t="s">
        <v>987</v>
      </c>
      <c r="D65" s="3" t="s">
        <v>988</v>
      </c>
      <c r="E65" s="3" t="s">
        <v>630</v>
      </c>
      <c r="F65" s="7" t="s">
        <v>989</v>
      </c>
      <c r="G65" s="3" t="s">
        <v>146</v>
      </c>
      <c r="H65" s="3" t="s">
        <v>631</v>
      </c>
      <c r="I65" s="3" t="s">
        <v>990</v>
      </c>
      <c r="J65" s="3" t="s">
        <v>991</v>
      </c>
      <c r="K65" s="3"/>
      <c r="L65" s="3"/>
      <c r="M65" s="3" t="s">
        <v>251</v>
      </c>
      <c r="N65" s="3" t="s">
        <v>992</v>
      </c>
      <c r="O65" s="3" t="s">
        <v>636</v>
      </c>
      <c r="P65" s="3" t="s">
        <v>993</v>
      </c>
      <c r="Q65" s="3" t="s">
        <v>638</v>
      </c>
      <c r="R65" s="3" t="s">
        <v>639</v>
      </c>
      <c r="S65" s="3"/>
      <c r="T65" s="3"/>
    </row>
    <row r="66" customFormat="false" ht="69.75" hidden="false" customHeight="true" outlineLevel="0" collapsed="false">
      <c r="A66" s="2" t="s">
        <v>994</v>
      </c>
      <c r="B66" s="2" t="s">
        <v>547</v>
      </c>
      <c r="C66" s="2" t="s">
        <v>995</v>
      </c>
      <c r="D66" s="2" t="s">
        <v>996</v>
      </c>
      <c r="E66" s="2" t="s">
        <v>630</v>
      </c>
      <c r="F66" s="6" t="s">
        <v>997</v>
      </c>
      <c r="G66" s="2" t="s">
        <v>146</v>
      </c>
      <c r="H66" s="2" t="s">
        <v>10</v>
      </c>
      <c r="I66" s="2" t="s">
        <v>998</v>
      </c>
      <c r="J66" s="2" t="s">
        <v>704</v>
      </c>
      <c r="K66" s="2"/>
      <c r="L66" s="2" t="s">
        <v>999</v>
      </c>
      <c r="M66" s="2" t="s">
        <v>251</v>
      </c>
      <c r="N66" s="2" t="s">
        <v>1000</v>
      </c>
      <c r="O66" s="2" t="s">
        <v>636</v>
      </c>
      <c r="P66" s="2" t="s">
        <v>1001</v>
      </c>
      <c r="Q66" s="2" t="s">
        <v>638</v>
      </c>
      <c r="R66" s="2" t="s">
        <v>639</v>
      </c>
      <c r="S66" s="2" t="s">
        <v>664</v>
      </c>
      <c r="T66" s="2" t="s">
        <v>665</v>
      </c>
    </row>
    <row r="67" customFormat="false" ht="69.75" hidden="false" customHeight="true" outlineLevel="0" collapsed="false">
      <c r="A67" s="3" t="s">
        <v>152</v>
      </c>
      <c r="B67" s="3" t="s">
        <v>150</v>
      </c>
      <c r="C67" s="3" t="s">
        <v>151</v>
      </c>
      <c r="D67" s="3" t="s">
        <v>1002</v>
      </c>
      <c r="E67" s="3" t="s">
        <v>630</v>
      </c>
      <c r="F67" s="7" t="s">
        <v>155</v>
      </c>
      <c r="G67" s="3" t="s">
        <v>146</v>
      </c>
      <c r="H67" s="3" t="s">
        <v>631</v>
      </c>
      <c r="I67" s="3" t="s">
        <v>1003</v>
      </c>
      <c r="J67" s="3" t="s">
        <v>1004</v>
      </c>
      <c r="K67" s="3"/>
      <c r="L67" s="3"/>
      <c r="M67" s="3" t="s">
        <v>141</v>
      </c>
      <c r="N67" s="3" t="s">
        <v>1005</v>
      </c>
      <c r="O67" s="3" t="s">
        <v>636</v>
      </c>
      <c r="P67" s="3" t="s">
        <v>1006</v>
      </c>
      <c r="Q67" s="3" t="s">
        <v>638</v>
      </c>
      <c r="R67" s="3" t="s">
        <v>639</v>
      </c>
      <c r="S67" s="3"/>
      <c r="T67" s="3"/>
    </row>
    <row r="68" customFormat="false" ht="69.75" hidden="false" customHeight="true" outlineLevel="0" collapsed="false">
      <c r="A68" s="2" t="s">
        <v>1007</v>
      </c>
      <c r="B68" s="2" t="s">
        <v>1008</v>
      </c>
      <c r="C68" s="2" t="s">
        <v>1009</v>
      </c>
      <c r="D68" s="2" t="s">
        <v>1010</v>
      </c>
      <c r="E68" s="2" t="s">
        <v>630</v>
      </c>
      <c r="F68" s="6" t="s">
        <v>1011</v>
      </c>
      <c r="G68" s="2" t="s">
        <v>146</v>
      </c>
      <c r="H68" s="2" t="s">
        <v>631</v>
      </c>
      <c r="I68" s="2" t="s">
        <v>1012</v>
      </c>
      <c r="J68" s="2" t="s">
        <v>1013</v>
      </c>
      <c r="K68" s="2"/>
      <c r="L68" s="2" t="s">
        <v>1014</v>
      </c>
      <c r="M68" s="2" t="s">
        <v>1015</v>
      </c>
      <c r="N68" s="2" t="s">
        <v>1016</v>
      </c>
      <c r="O68" s="2" t="s">
        <v>636</v>
      </c>
      <c r="P68" s="2" t="s">
        <v>1017</v>
      </c>
      <c r="Q68" s="2" t="s">
        <v>638</v>
      </c>
      <c r="R68" s="2" t="s">
        <v>639</v>
      </c>
      <c r="S68" s="2"/>
      <c r="T68" s="2"/>
    </row>
    <row r="69" customFormat="false" ht="69.75" hidden="false" customHeight="true" outlineLevel="0" collapsed="false">
      <c r="A69" s="3" t="s">
        <v>1018</v>
      </c>
      <c r="B69" s="3" t="s">
        <v>150</v>
      </c>
      <c r="C69" s="3" t="s">
        <v>1019</v>
      </c>
      <c r="D69" s="3" t="s">
        <v>1020</v>
      </c>
      <c r="E69" s="3" t="s">
        <v>630</v>
      </c>
      <c r="F69" s="3"/>
      <c r="G69" s="3" t="s">
        <v>146</v>
      </c>
      <c r="H69" s="3" t="s">
        <v>631</v>
      </c>
      <c r="I69" s="3"/>
      <c r="J69" s="3" t="s">
        <v>651</v>
      </c>
      <c r="K69" s="3"/>
      <c r="L69" s="3"/>
      <c r="M69" s="3" t="s">
        <v>141</v>
      </c>
      <c r="N69" s="3" t="s">
        <v>1021</v>
      </c>
      <c r="O69" s="3" t="s">
        <v>636</v>
      </c>
      <c r="P69" s="3" t="s">
        <v>1022</v>
      </c>
      <c r="Q69" s="3" t="s">
        <v>638</v>
      </c>
      <c r="R69" s="3" t="s">
        <v>639</v>
      </c>
      <c r="S69" s="3"/>
      <c r="T69" s="3"/>
    </row>
    <row r="70" customFormat="false" ht="69.75" hidden="false" customHeight="true" outlineLevel="0" collapsed="false">
      <c r="A70" s="2" t="s">
        <v>1023</v>
      </c>
      <c r="B70" s="2" t="s">
        <v>162</v>
      </c>
      <c r="C70" s="2" t="s">
        <v>1024</v>
      </c>
      <c r="D70" s="2" t="s">
        <v>1025</v>
      </c>
      <c r="E70" s="2" t="s">
        <v>630</v>
      </c>
      <c r="F70" s="6" t="s">
        <v>657</v>
      </c>
      <c r="G70" s="2" t="s">
        <v>146</v>
      </c>
      <c r="H70" s="2" t="s">
        <v>10</v>
      </c>
      <c r="I70" s="2" t="s">
        <v>1026</v>
      </c>
      <c r="J70" s="2" t="s">
        <v>1027</v>
      </c>
      <c r="K70" s="2" t="s">
        <v>660</v>
      </c>
      <c r="L70" s="2" t="s">
        <v>661</v>
      </c>
      <c r="M70" s="2" t="s">
        <v>141</v>
      </c>
      <c r="N70" s="2" t="s">
        <v>1028</v>
      </c>
      <c r="O70" s="2" t="s">
        <v>636</v>
      </c>
      <c r="P70" s="2" t="s">
        <v>1029</v>
      </c>
      <c r="Q70" s="2" t="s">
        <v>638</v>
      </c>
      <c r="R70" s="2" t="s">
        <v>639</v>
      </c>
      <c r="S70" s="2" t="s">
        <v>664</v>
      </c>
      <c r="T70" s="2" t="s">
        <v>665</v>
      </c>
    </row>
    <row r="71" customFormat="false" ht="69.75" hidden="false" customHeight="true" outlineLevel="0" collapsed="false">
      <c r="A71" s="3" t="s">
        <v>169</v>
      </c>
      <c r="B71" s="3" t="s">
        <v>162</v>
      </c>
      <c r="C71" s="3" t="s">
        <v>168</v>
      </c>
      <c r="D71" s="3" t="s">
        <v>1030</v>
      </c>
      <c r="E71" s="3" t="s">
        <v>630</v>
      </c>
      <c r="F71" s="7" t="s">
        <v>171</v>
      </c>
      <c r="G71" s="3" t="s">
        <v>146</v>
      </c>
      <c r="H71" s="3" t="s">
        <v>631</v>
      </c>
      <c r="I71" s="3" t="s">
        <v>1031</v>
      </c>
      <c r="J71" s="3" t="s">
        <v>704</v>
      </c>
      <c r="K71" s="3"/>
      <c r="L71" s="3" t="s">
        <v>1031</v>
      </c>
      <c r="M71" s="3" t="s">
        <v>141</v>
      </c>
      <c r="N71" s="3" t="s">
        <v>1032</v>
      </c>
      <c r="O71" s="3" t="s">
        <v>636</v>
      </c>
      <c r="P71" s="3" t="s">
        <v>1033</v>
      </c>
      <c r="Q71" s="3" t="s">
        <v>638</v>
      </c>
      <c r="R71" s="3" t="s">
        <v>639</v>
      </c>
      <c r="S71" s="3"/>
      <c r="T71" s="3"/>
    </row>
    <row r="72" customFormat="false" ht="69.75" hidden="false" customHeight="true" outlineLevel="0" collapsed="false">
      <c r="A72" s="2" t="s">
        <v>1034</v>
      </c>
      <c r="B72" s="2" t="s">
        <v>162</v>
      </c>
      <c r="C72" s="2" t="s">
        <v>1035</v>
      </c>
      <c r="D72" s="2" t="s">
        <v>1036</v>
      </c>
      <c r="E72" s="2" t="s">
        <v>630</v>
      </c>
      <c r="F72" s="6" t="s">
        <v>1037</v>
      </c>
      <c r="G72" s="2" t="s">
        <v>146</v>
      </c>
      <c r="H72" s="2" t="s">
        <v>631</v>
      </c>
      <c r="I72" s="2" t="s">
        <v>1038</v>
      </c>
      <c r="J72" s="2" t="s">
        <v>704</v>
      </c>
      <c r="K72" s="2"/>
      <c r="L72" s="2" t="s">
        <v>1038</v>
      </c>
      <c r="M72" s="2" t="s">
        <v>141</v>
      </c>
      <c r="N72" s="2" t="s">
        <v>1039</v>
      </c>
      <c r="O72" s="2" t="s">
        <v>636</v>
      </c>
      <c r="P72" s="2" t="s">
        <v>1040</v>
      </c>
      <c r="Q72" s="2" t="s">
        <v>638</v>
      </c>
      <c r="R72" s="2" t="s">
        <v>639</v>
      </c>
      <c r="S72" s="2"/>
      <c r="T72" s="2"/>
    </row>
    <row r="73" customFormat="false" ht="69.75" hidden="false" customHeight="true" outlineLevel="0" collapsed="false">
      <c r="A73" s="3" t="s">
        <v>379</v>
      </c>
      <c r="B73" s="3" t="s">
        <v>377</v>
      </c>
      <c r="C73" s="3" t="s">
        <v>378</v>
      </c>
      <c r="D73" s="3" t="s">
        <v>1041</v>
      </c>
      <c r="E73" s="3" t="s">
        <v>1042</v>
      </c>
      <c r="F73" s="7" t="s">
        <v>382</v>
      </c>
      <c r="G73" s="3" t="s">
        <v>218</v>
      </c>
      <c r="H73" s="3" t="s">
        <v>631</v>
      </c>
      <c r="I73" s="3" t="s">
        <v>1043</v>
      </c>
      <c r="J73" s="3" t="s">
        <v>1044</v>
      </c>
      <c r="K73" s="3"/>
      <c r="L73" s="3" t="s">
        <v>1043</v>
      </c>
      <c r="M73" s="3" t="s">
        <v>531</v>
      </c>
      <c r="N73" s="3" t="s">
        <v>1045</v>
      </c>
      <c r="O73" s="3" t="s">
        <v>1046</v>
      </c>
      <c r="P73" s="3" t="s">
        <v>1047</v>
      </c>
      <c r="Q73" s="3" t="s">
        <v>1048</v>
      </c>
      <c r="R73" s="3" t="s">
        <v>1049</v>
      </c>
      <c r="S73" s="3"/>
      <c r="T73" s="3"/>
    </row>
    <row r="74" customFormat="false" ht="69.75" hidden="false" customHeight="true" outlineLevel="0" collapsed="false">
      <c r="A74" s="2" t="s">
        <v>385</v>
      </c>
      <c r="B74" s="2" t="s">
        <v>377</v>
      </c>
      <c r="C74" s="2" t="s">
        <v>384</v>
      </c>
      <c r="D74" s="2" t="s">
        <v>1050</v>
      </c>
      <c r="E74" s="2" t="s">
        <v>1042</v>
      </c>
      <c r="F74" s="6" t="s">
        <v>387</v>
      </c>
      <c r="G74" s="2" t="s">
        <v>218</v>
      </c>
      <c r="H74" s="2" t="s">
        <v>631</v>
      </c>
      <c r="I74" s="2" t="s">
        <v>1051</v>
      </c>
      <c r="J74" s="2" t="s">
        <v>1044</v>
      </c>
      <c r="K74" s="2"/>
      <c r="L74" s="2" t="s">
        <v>1051</v>
      </c>
      <c r="M74" s="2" t="s">
        <v>531</v>
      </c>
      <c r="N74" s="2" t="s">
        <v>1052</v>
      </c>
      <c r="O74" s="2" t="s">
        <v>1053</v>
      </c>
      <c r="P74" s="2" t="s">
        <v>1054</v>
      </c>
      <c r="Q74" s="2" t="s">
        <v>1048</v>
      </c>
      <c r="R74" s="2" t="s">
        <v>1049</v>
      </c>
      <c r="S74" s="2"/>
      <c r="T74" s="2"/>
    </row>
    <row r="75" customFormat="false" ht="69.75" hidden="false" customHeight="true" outlineLevel="0" collapsed="false">
      <c r="A75" s="3" t="s">
        <v>1055</v>
      </c>
      <c r="B75" s="3" t="s">
        <v>377</v>
      </c>
      <c r="C75" s="3" t="s">
        <v>1056</v>
      </c>
      <c r="D75" s="3" t="s">
        <v>1057</v>
      </c>
      <c r="E75" s="3" t="s">
        <v>1042</v>
      </c>
      <c r="F75" s="7" t="s">
        <v>1058</v>
      </c>
      <c r="G75" s="3" t="s">
        <v>218</v>
      </c>
      <c r="H75" s="3" t="s">
        <v>631</v>
      </c>
      <c r="I75" s="3" t="s">
        <v>1059</v>
      </c>
      <c r="J75" s="3" t="s">
        <v>1044</v>
      </c>
      <c r="K75" s="3"/>
      <c r="L75" s="3" t="s">
        <v>1059</v>
      </c>
      <c r="M75" s="3" t="s">
        <v>531</v>
      </c>
      <c r="N75" s="3" t="s">
        <v>1060</v>
      </c>
      <c r="O75" s="3" t="s">
        <v>1061</v>
      </c>
      <c r="P75" s="3" t="s">
        <v>1062</v>
      </c>
      <c r="Q75" s="3" t="s">
        <v>1048</v>
      </c>
      <c r="R75" s="3" t="s">
        <v>1049</v>
      </c>
      <c r="S75" s="3"/>
      <c r="T75" s="3"/>
    </row>
    <row r="76" customFormat="false" ht="69.75" hidden="false" customHeight="true" outlineLevel="0" collapsed="false">
      <c r="A76" s="2" t="s">
        <v>353</v>
      </c>
      <c r="B76" s="2" t="s">
        <v>351</v>
      </c>
      <c r="C76" s="2" t="s">
        <v>352</v>
      </c>
      <c r="D76" s="2" t="s">
        <v>1063</v>
      </c>
      <c r="E76" s="2" t="s">
        <v>1042</v>
      </c>
      <c r="F76" s="6" t="s">
        <v>356</v>
      </c>
      <c r="G76" s="2" t="s">
        <v>218</v>
      </c>
      <c r="H76" s="2" t="s">
        <v>631</v>
      </c>
      <c r="I76" s="2" t="s">
        <v>1064</v>
      </c>
      <c r="J76" s="2" t="s">
        <v>1044</v>
      </c>
      <c r="K76" s="2"/>
      <c r="L76" s="2" t="s">
        <v>1064</v>
      </c>
      <c r="M76" s="2" t="s">
        <v>531</v>
      </c>
      <c r="N76" s="2" t="s">
        <v>1065</v>
      </c>
      <c r="O76" s="2" t="s">
        <v>1066</v>
      </c>
      <c r="P76" s="2" t="s">
        <v>1067</v>
      </c>
      <c r="Q76" s="2" t="s">
        <v>1048</v>
      </c>
      <c r="R76" s="2" t="s">
        <v>1049</v>
      </c>
      <c r="S76" s="2"/>
      <c r="T76" s="2"/>
    </row>
    <row r="77" customFormat="false" ht="69.75" hidden="false" customHeight="true" outlineLevel="0" collapsed="false">
      <c r="A77" s="3" t="s">
        <v>360</v>
      </c>
      <c r="B77" s="3" t="s">
        <v>358</v>
      </c>
      <c r="C77" s="3" t="s">
        <v>359</v>
      </c>
      <c r="D77" s="3" t="s">
        <v>1068</v>
      </c>
      <c r="E77" s="3" t="s">
        <v>1042</v>
      </c>
      <c r="F77" s="7" t="s">
        <v>363</v>
      </c>
      <c r="G77" s="3" t="s">
        <v>218</v>
      </c>
      <c r="H77" s="3" t="s">
        <v>631</v>
      </c>
      <c r="I77" s="3" t="s">
        <v>1069</v>
      </c>
      <c r="J77" s="3" t="s">
        <v>1044</v>
      </c>
      <c r="K77" s="3"/>
      <c r="L77" s="3" t="s">
        <v>1069</v>
      </c>
      <c r="M77" s="3" t="s">
        <v>531</v>
      </c>
      <c r="N77" s="3" t="s">
        <v>1070</v>
      </c>
      <c r="O77" s="3" t="s">
        <v>1071</v>
      </c>
      <c r="P77" s="3" t="s">
        <v>1072</v>
      </c>
      <c r="Q77" s="3" t="s">
        <v>1048</v>
      </c>
      <c r="R77" s="3" t="s">
        <v>1049</v>
      </c>
      <c r="S77" s="3"/>
      <c r="T77" s="3"/>
    </row>
    <row r="78" customFormat="false" ht="69.75" hidden="false" customHeight="true" outlineLevel="0" collapsed="false">
      <c r="A78" s="2" t="s">
        <v>418</v>
      </c>
      <c r="B78" s="2" t="s">
        <v>416</v>
      </c>
      <c r="C78" s="2" t="s">
        <v>417</v>
      </c>
      <c r="D78" s="2" t="s">
        <v>1073</v>
      </c>
      <c r="E78" s="2" t="s">
        <v>1042</v>
      </c>
      <c r="F78" s="6" t="s">
        <v>420</v>
      </c>
      <c r="G78" s="2" t="s">
        <v>218</v>
      </c>
      <c r="H78" s="2" t="s">
        <v>631</v>
      </c>
      <c r="I78" s="2" t="s">
        <v>1074</v>
      </c>
      <c r="J78" s="2" t="s">
        <v>1044</v>
      </c>
      <c r="K78" s="2"/>
      <c r="L78" s="2" t="s">
        <v>1074</v>
      </c>
      <c r="M78" s="2" t="s">
        <v>531</v>
      </c>
      <c r="N78" s="2" t="s">
        <v>1075</v>
      </c>
      <c r="O78" s="2" t="s">
        <v>1076</v>
      </c>
      <c r="P78" s="2" t="s">
        <v>1077</v>
      </c>
      <c r="Q78" s="2" t="s">
        <v>1048</v>
      </c>
      <c r="R78" s="2" t="s">
        <v>1049</v>
      </c>
      <c r="S78" s="2"/>
      <c r="T78" s="2"/>
    </row>
    <row r="79" customFormat="false" ht="69.75" hidden="false" customHeight="true" outlineLevel="0" collapsed="false">
      <c r="A79" s="3" t="s">
        <v>532</v>
      </c>
      <c r="B79" s="3" t="s">
        <v>377</v>
      </c>
      <c r="C79" s="3" t="s">
        <v>530</v>
      </c>
      <c r="D79" s="3" t="s">
        <v>1078</v>
      </c>
      <c r="E79" s="3" t="s">
        <v>1042</v>
      </c>
      <c r="F79" s="7" t="s">
        <v>535</v>
      </c>
      <c r="G79" s="3" t="s">
        <v>218</v>
      </c>
      <c r="H79" s="3" t="s">
        <v>631</v>
      </c>
      <c r="I79" s="3" t="s">
        <v>1079</v>
      </c>
      <c r="J79" s="3" t="s">
        <v>1044</v>
      </c>
      <c r="K79" s="3"/>
      <c r="L79" s="3" t="s">
        <v>1079</v>
      </c>
      <c r="M79" s="3" t="s">
        <v>531</v>
      </c>
      <c r="N79" s="3" t="s">
        <v>1080</v>
      </c>
      <c r="O79" s="3" t="s">
        <v>1081</v>
      </c>
      <c r="P79" s="3" t="s">
        <v>1082</v>
      </c>
      <c r="Q79" s="3" t="s">
        <v>1083</v>
      </c>
      <c r="R79" s="3" t="s">
        <v>1049</v>
      </c>
      <c r="S79" s="3"/>
      <c r="T79" s="3"/>
    </row>
    <row r="80" customFormat="false" ht="69.75" hidden="false" customHeight="true" outlineLevel="0" collapsed="false">
      <c r="A80" s="2" t="s">
        <v>390</v>
      </c>
      <c r="B80" s="2" t="s">
        <v>377</v>
      </c>
      <c r="C80" s="2" t="s">
        <v>389</v>
      </c>
      <c r="D80" s="2" t="s">
        <v>1084</v>
      </c>
      <c r="E80" s="2" t="s">
        <v>1042</v>
      </c>
      <c r="F80" s="6" t="s">
        <v>392</v>
      </c>
      <c r="G80" s="2" t="s">
        <v>218</v>
      </c>
      <c r="H80" s="2" t="s">
        <v>631</v>
      </c>
      <c r="I80" s="2" t="s">
        <v>1085</v>
      </c>
      <c r="J80" s="2" t="s">
        <v>1044</v>
      </c>
      <c r="K80" s="2"/>
      <c r="L80" s="2" t="s">
        <v>1085</v>
      </c>
      <c r="M80" s="2" t="s">
        <v>531</v>
      </c>
      <c r="N80" s="2" t="s">
        <v>1086</v>
      </c>
      <c r="O80" s="2" t="s">
        <v>1087</v>
      </c>
      <c r="P80" s="2" t="s">
        <v>1088</v>
      </c>
      <c r="Q80" s="2" t="s">
        <v>1083</v>
      </c>
      <c r="R80" s="2" t="s">
        <v>1049</v>
      </c>
      <c r="S80" s="2"/>
      <c r="T80" s="2"/>
    </row>
    <row r="81" customFormat="false" ht="69.75" hidden="false" customHeight="true" outlineLevel="0" collapsed="false">
      <c r="A81" s="3" t="s">
        <v>1089</v>
      </c>
      <c r="B81" s="3" t="s">
        <v>409</v>
      </c>
      <c r="C81" s="3" t="s">
        <v>1090</v>
      </c>
      <c r="D81" s="3" t="s">
        <v>1091</v>
      </c>
      <c r="E81" s="3" t="s">
        <v>1042</v>
      </c>
      <c r="F81" s="7" t="s">
        <v>1092</v>
      </c>
      <c r="G81" s="3" t="s">
        <v>218</v>
      </c>
      <c r="H81" s="3" t="s">
        <v>631</v>
      </c>
      <c r="I81" s="3" t="s">
        <v>1093</v>
      </c>
      <c r="J81" s="3" t="s">
        <v>1044</v>
      </c>
      <c r="K81" s="3"/>
      <c r="L81" s="3" t="s">
        <v>1093</v>
      </c>
      <c r="M81" s="3" t="s">
        <v>531</v>
      </c>
      <c r="N81" s="3" t="s">
        <v>1094</v>
      </c>
      <c r="O81" s="3" t="s">
        <v>1095</v>
      </c>
      <c r="P81" s="3" t="s">
        <v>1096</v>
      </c>
      <c r="Q81" s="3" t="s">
        <v>1083</v>
      </c>
      <c r="R81" s="3" t="s">
        <v>1049</v>
      </c>
      <c r="S81" s="3"/>
      <c r="T81" s="3"/>
    </row>
    <row r="82" customFormat="false" ht="69.75" hidden="false" customHeight="true" outlineLevel="0" collapsed="false">
      <c r="A82" s="2" t="s">
        <v>1097</v>
      </c>
      <c r="B82" s="2" t="s">
        <v>394</v>
      </c>
      <c r="C82" s="2" t="s">
        <v>1098</v>
      </c>
      <c r="D82" s="2" t="s">
        <v>1099</v>
      </c>
      <c r="E82" s="2" t="s">
        <v>1100</v>
      </c>
      <c r="F82" s="6" t="s">
        <v>1101</v>
      </c>
      <c r="G82" s="2" t="s">
        <v>218</v>
      </c>
      <c r="H82" s="2" t="s">
        <v>631</v>
      </c>
      <c r="I82" s="2" t="s">
        <v>1102</v>
      </c>
      <c r="J82" s="2" t="s">
        <v>1103</v>
      </c>
      <c r="K82" s="2"/>
      <c r="L82" s="2"/>
      <c r="M82" s="2" t="s">
        <v>531</v>
      </c>
      <c r="N82" s="2" t="s">
        <v>1104</v>
      </c>
      <c r="O82" s="2" t="s">
        <v>1105</v>
      </c>
      <c r="P82" s="2" t="s">
        <v>1106</v>
      </c>
      <c r="Q82" s="2" t="s">
        <v>1107</v>
      </c>
      <c r="R82" s="2" t="s">
        <v>1049</v>
      </c>
      <c r="S82" s="2"/>
      <c r="T82" s="2"/>
    </row>
    <row r="83" customFormat="false" ht="69.75" hidden="false" customHeight="true" outlineLevel="0" collapsed="false">
      <c r="A83" s="3" t="s">
        <v>540</v>
      </c>
      <c r="B83" s="3" t="s">
        <v>394</v>
      </c>
      <c r="C83" s="3" t="s">
        <v>539</v>
      </c>
      <c r="D83" s="3" t="s">
        <v>1108</v>
      </c>
      <c r="E83" s="3" t="s">
        <v>1100</v>
      </c>
      <c r="F83" s="7" t="s">
        <v>543</v>
      </c>
      <c r="G83" s="3" t="s">
        <v>218</v>
      </c>
      <c r="H83" s="3" t="s">
        <v>631</v>
      </c>
      <c r="I83" s="3" t="s">
        <v>1109</v>
      </c>
      <c r="J83" s="3" t="s">
        <v>1103</v>
      </c>
      <c r="K83" s="3"/>
      <c r="L83" s="3"/>
      <c r="M83" s="3" t="s">
        <v>531</v>
      </c>
      <c r="N83" s="3" t="s">
        <v>1110</v>
      </c>
      <c r="O83" s="3" t="s">
        <v>1111</v>
      </c>
      <c r="P83" s="3" t="s">
        <v>1112</v>
      </c>
      <c r="Q83" s="3" t="s">
        <v>1113</v>
      </c>
      <c r="R83" s="3" t="s">
        <v>1049</v>
      </c>
      <c r="S83" s="3"/>
      <c r="T83" s="3"/>
    </row>
    <row r="84" customFormat="false" ht="69.75" hidden="false" customHeight="true" outlineLevel="0" collapsed="false">
      <c r="A84" s="2" t="s">
        <v>549</v>
      </c>
      <c r="B84" s="2" t="s">
        <v>547</v>
      </c>
      <c r="C84" s="2" t="s">
        <v>548</v>
      </c>
      <c r="D84" s="2" t="s">
        <v>1114</v>
      </c>
      <c r="E84" s="2" t="s">
        <v>1042</v>
      </c>
      <c r="F84" s="6" t="s">
        <v>552</v>
      </c>
      <c r="G84" s="2" t="s">
        <v>218</v>
      </c>
      <c r="H84" s="2" t="s">
        <v>631</v>
      </c>
      <c r="I84" s="2" t="s">
        <v>1115</v>
      </c>
      <c r="J84" s="2" t="s">
        <v>1044</v>
      </c>
      <c r="K84" s="2"/>
      <c r="L84" s="2" t="s">
        <v>1115</v>
      </c>
      <c r="M84" s="2" t="s">
        <v>531</v>
      </c>
      <c r="N84" s="2" t="s">
        <v>1116</v>
      </c>
      <c r="O84" s="2" t="s">
        <v>1117</v>
      </c>
      <c r="P84" s="2" t="s">
        <v>1118</v>
      </c>
      <c r="Q84" s="2" t="s">
        <v>1083</v>
      </c>
      <c r="R84" s="2" t="s">
        <v>1049</v>
      </c>
      <c r="S84" s="2"/>
      <c r="T84" s="2"/>
    </row>
    <row r="85" customFormat="false" ht="69.75" hidden="false" customHeight="true" outlineLevel="0" collapsed="false">
      <c r="A85" s="3" t="s">
        <v>1119</v>
      </c>
      <c r="B85" s="3" t="s">
        <v>547</v>
      </c>
      <c r="C85" s="3" t="s">
        <v>1120</v>
      </c>
      <c r="D85" s="3" t="s">
        <v>1121</v>
      </c>
      <c r="E85" s="3" t="s">
        <v>1122</v>
      </c>
      <c r="F85" s="7" t="s">
        <v>1123</v>
      </c>
      <c r="G85" s="3" t="s">
        <v>218</v>
      </c>
      <c r="H85" s="3" t="s">
        <v>631</v>
      </c>
      <c r="I85" s="3" t="s">
        <v>1124</v>
      </c>
      <c r="J85" s="3" t="s">
        <v>1103</v>
      </c>
      <c r="K85" s="3" t="s">
        <v>689</v>
      </c>
      <c r="L85" s="3" t="s">
        <v>1125</v>
      </c>
      <c r="M85" s="3" t="s">
        <v>531</v>
      </c>
      <c r="N85" s="3" t="s">
        <v>1126</v>
      </c>
      <c r="O85" s="3" t="s">
        <v>1127</v>
      </c>
      <c r="P85" s="3" t="s">
        <v>1128</v>
      </c>
      <c r="Q85" s="3" t="s">
        <v>1129</v>
      </c>
      <c r="R85" s="3" t="s">
        <v>1049</v>
      </c>
      <c r="S85" s="3"/>
      <c r="T85" s="3"/>
    </row>
    <row r="86" customFormat="false" ht="69.75" hidden="false" customHeight="true" outlineLevel="0" collapsed="false">
      <c r="A86" s="2" t="s">
        <v>396</v>
      </c>
      <c r="B86" s="2" t="s">
        <v>394</v>
      </c>
      <c r="C86" s="2" t="s">
        <v>395</v>
      </c>
      <c r="D86" s="2" t="s">
        <v>1130</v>
      </c>
      <c r="E86" s="2" t="s">
        <v>1100</v>
      </c>
      <c r="F86" s="6" t="s">
        <v>399</v>
      </c>
      <c r="G86" s="2" t="s">
        <v>218</v>
      </c>
      <c r="H86" s="2" t="s">
        <v>631</v>
      </c>
      <c r="I86" s="2" t="s">
        <v>1131</v>
      </c>
      <c r="J86" s="2" t="s">
        <v>1103</v>
      </c>
      <c r="K86" s="2"/>
      <c r="L86" s="2"/>
      <c r="M86" s="2" t="s">
        <v>531</v>
      </c>
      <c r="N86" s="2" t="s">
        <v>1104</v>
      </c>
      <c r="O86" s="2" t="s">
        <v>1105</v>
      </c>
      <c r="P86" s="2" t="s">
        <v>1132</v>
      </c>
      <c r="Q86" s="2" t="s">
        <v>1133</v>
      </c>
      <c r="R86" s="2" t="s">
        <v>1049</v>
      </c>
      <c r="S86" s="2"/>
      <c r="T86" s="2"/>
    </row>
    <row r="87" customFormat="false" ht="69.75" hidden="false" customHeight="true" outlineLevel="0" collapsed="false">
      <c r="A87" s="3" t="s">
        <v>1134</v>
      </c>
      <c r="B87" s="3" t="s">
        <v>351</v>
      </c>
      <c r="C87" s="3" t="s">
        <v>1135</v>
      </c>
      <c r="D87" s="3" t="s">
        <v>1136</v>
      </c>
      <c r="E87" s="3" t="s">
        <v>1042</v>
      </c>
      <c r="F87" s="7" t="s">
        <v>1137</v>
      </c>
      <c r="G87" s="3" t="s">
        <v>218</v>
      </c>
      <c r="H87" s="3" t="s">
        <v>631</v>
      </c>
      <c r="I87" s="3" t="s">
        <v>1138</v>
      </c>
      <c r="J87" s="3" t="s">
        <v>1044</v>
      </c>
      <c r="K87" s="3"/>
      <c r="L87" s="3" t="s">
        <v>1138</v>
      </c>
      <c r="M87" s="3" t="s">
        <v>531</v>
      </c>
      <c r="N87" s="3" t="s">
        <v>1065</v>
      </c>
      <c r="O87" s="3" t="s">
        <v>1066</v>
      </c>
      <c r="P87" s="3" t="s">
        <v>1139</v>
      </c>
      <c r="Q87" s="3" t="s">
        <v>1048</v>
      </c>
      <c r="R87" s="3" t="s">
        <v>1049</v>
      </c>
      <c r="S87" s="3"/>
      <c r="T87" s="3"/>
    </row>
    <row r="88" customFormat="false" ht="69.75" hidden="false" customHeight="true" outlineLevel="0" collapsed="false">
      <c r="A88" s="2" t="s">
        <v>1140</v>
      </c>
      <c r="B88" s="2" t="s">
        <v>416</v>
      </c>
      <c r="C88" s="2" t="s">
        <v>1141</v>
      </c>
      <c r="D88" s="2" t="s">
        <v>1142</v>
      </c>
      <c r="E88" s="2" t="s">
        <v>1042</v>
      </c>
      <c r="F88" s="6" t="s">
        <v>1143</v>
      </c>
      <c r="G88" s="2" t="s">
        <v>218</v>
      </c>
      <c r="H88" s="2" t="s">
        <v>631</v>
      </c>
      <c r="I88" s="2" t="s">
        <v>1144</v>
      </c>
      <c r="J88" s="2" t="s">
        <v>1044</v>
      </c>
      <c r="K88" s="2"/>
      <c r="L88" s="2" t="s">
        <v>1144</v>
      </c>
      <c r="M88" s="2" t="s">
        <v>531</v>
      </c>
      <c r="N88" s="2" t="s">
        <v>1075</v>
      </c>
      <c r="O88" s="2" t="s">
        <v>1076</v>
      </c>
      <c r="P88" s="2" t="s">
        <v>1077</v>
      </c>
      <c r="Q88" s="2" t="s">
        <v>1048</v>
      </c>
      <c r="R88" s="2" t="s">
        <v>1049</v>
      </c>
      <c r="S88" s="2"/>
      <c r="T88" s="2"/>
    </row>
    <row r="89" customFormat="false" ht="69.75" hidden="false" customHeight="true" outlineLevel="0" collapsed="false">
      <c r="A89" s="3" t="s">
        <v>440</v>
      </c>
      <c r="B89" s="3" t="s">
        <v>438</v>
      </c>
      <c r="C89" s="3" t="s">
        <v>439</v>
      </c>
      <c r="D89" s="3" t="s">
        <v>1145</v>
      </c>
      <c r="E89" s="3" t="s">
        <v>1146</v>
      </c>
      <c r="F89" s="7" t="s">
        <v>443</v>
      </c>
      <c r="G89" s="3" t="s">
        <v>218</v>
      </c>
      <c r="H89" s="3" t="s">
        <v>631</v>
      </c>
      <c r="I89" s="3" t="s">
        <v>1147</v>
      </c>
      <c r="J89" s="3" t="s">
        <v>1103</v>
      </c>
      <c r="K89" s="3"/>
      <c r="L89" s="3"/>
      <c r="M89" s="3" t="s">
        <v>180</v>
      </c>
      <c r="N89" s="3" t="s">
        <v>1148</v>
      </c>
      <c r="O89" s="3" t="s">
        <v>1149</v>
      </c>
      <c r="P89" s="3" t="s">
        <v>1150</v>
      </c>
      <c r="Q89" s="3" t="s">
        <v>1151</v>
      </c>
      <c r="R89" s="3" t="s">
        <v>1152</v>
      </c>
      <c r="S89" s="3"/>
      <c r="T89" s="3"/>
    </row>
    <row r="90" customFormat="false" ht="69.75" hidden="false" customHeight="true" outlineLevel="0" collapsed="false">
      <c r="A90" s="2" t="s">
        <v>216</v>
      </c>
      <c r="B90" s="2" t="s">
        <v>214</v>
      </c>
      <c r="C90" s="2" t="s">
        <v>215</v>
      </c>
      <c r="D90" s="2" t="s">
        <v>1153</v>
      </c>
      <c r="E90" s="2" t="s">
        <v>1154</v>
      </c>
      <c r="F90" s="6" t="s">
        <v>219</v>
      </c>
      <c r="G90" s="2" t="s">
        <v>218</v>
      </c>
      <c r="H90" s="2" t="s">
        <v>631</v>
      </c>
      <c r="I90" s="2" t="s">
        <v>1144</v>
      </c>
      <c r="J90" s="2" t="s">
        <v>1044</v>
      </c>
      <c r="K90" s="2"/>
      <c r="L90" s="2" t="s">
        <v>1144</v>
      </c>
      <c r="M90" s="2" t="s">
        <v>180</v>
      </c>
      <c r="N90" s="2" t="s">
        <v>1155</v>
      </c>
      <c r="O90" s="2" t="s">
        <v>1156</v>
      </c>
      <c r="P90" s="2" t="s">
        <v>1157</v>
      </c>
      <c r="Q90" s="2" t="s">
        <v>1158</v>
      </c>
      <c r="R90" s="2" t="s">
        <v>1152</v>
      </c>
      <c r="S90" s="2"/>
      <c r="T90" s="2"/>
    </row>
    <row r="91" customFormat="false" ht="69.75" hidden="false" customHeight="true" outlineLevel="0" collapsed="false">
      <c r="A91" s="3" t="s">
        <v>223</v>
      </c>
      <c r="B91" s="3" t="s">
        <v>221</v>
      </c>
      <c r="C91" s="3" t="s">
        <v>222</v>
      </c>
      <c r="D91" s="3" t="s">
        <v>1159</v>
      </c>
      <c r="E91" s="3" t="s">
        <v>1154</v>
      </c>
      <c r="F91" s="7" t="s">
        <v>219</v>
      </c>
      <c r="G91" s="3" t="s">
        <v>218</v>
      </c>
      <c r="H91" s="3" t="s">
        <v>631</v>
      </c>
      <c r="I91" s="3" t="s">
        <v>1160</v>
      </c>
      <c r="J91" s="3" t="s">
        <v>1044</v>
      </c>
      <c r="K91" s="3"/>
      <c r="L91" s="3" t="s">
        <v>1160</v>
      </c>
      <c r="M91" s="3" t="s">
        <v>180</v>
      </c>
      <c r="N91" s="3" t="s">
        <v>1161</v>
      </c>
      <c r="O91" s="3" t="s">
        <v>1162</v>
      </c>
      <c r="P91" s="3" t="s">
        <v>1163</v>
      </c>
      <c r="Q91" s="3" t="s">
        <v>1164</v>
      </c>
      <c r="R91" s="3" t="s">
        <v>1152</v>
      </c>
      <c r="S91" s="3"/>
      <c r="T91" s="3"/>
    </row>
    <row r="92" customFormat="false" ht="69.75" hidden="false" customHeight="true" outlineLevel="0" collapsed="false">
      <c r="A92" s="2" t="s">
        <v>1165</v>
      </c>
      <c r="B92" s="2" t="s">
        <v>221</v>
      </c>
      <c r="C92" s="2" t="s">
        <v>1166</v>
      </c>
      <c r="D92" s="2" t="s">
        <v>1167</v>
      </c>
      <c r="E92" s="2" t="s">
        <v>1154</v>
      </c>
      <c r="F92" s="6" t="s">
        <v>219</v>
      </c>
      <c r="G92" s="2" t="s">
        <v>218</v>
      </c>
      <c r="H92" s="2" t="s">
        <v>631</v>
      </c>
      <c r="I92" s="2" t="s">
        <v>1168</v>
      </c>
      <c r="J92" s="2" t="s">
        <v>1044</v>
      </c>
      <c r="K92" s="2"/>
      <c r="L92" s="2" t="s">
        <v>1168</v>
      </c>
      <c r="M92" s="2" t="s">
        <v>180</v>
      </c>
      <c r="N92" s="2" t="s">
        <v>1169</v>
      </c>
      <c r="O92" s="2" t="s">
        <v>1162</v>
      </c>
      <c r="P92" s="2" t="s">
        <v>1170</v>
      </c>
      <c r="Q92" s="2" t="s">
        <v>1171</v>
      </c>
      <c r="R92" s="2" t="s">
        <v>1152</v>
      </c>
      <c r="S92" s="2"/>
      <c r="T92" s="2"/>
    </row>
    <row r="93" customFormat="false" ht="69.75" hidden="false" customHeight="true" outlineLevel="0" collapsed="false">
      <c r="A93" s="3" t="s">
        <v>1172</v>
      </c>
      <c r="B93" s="3" t="s">
        <v>185</v>
      </c>
      <c r="C93" s="3" t="s">
        <v>1173</v>
      </c>
      <c r="D93" s="3" t="s">
        <v>1174</v>
      </c>
      <c r="E93" s="3" t="s">
        <v>1154</v>
      </c>
      <c r="F93" s="7" t="s">
        <v>190</v>
      </c>
      <c r="G93" s="3" t="s">
        <v>218</v>
      </c>
      <c r="H93" s="3" t="s">
        <v>631</v>
      </c>
      <c r="I93" s="3" t="s">
        <v>703</v>
      </c>
      <c r="J93" s="3" t="s">
        <v>1044</v>
      </c>
      <c r="K93" s="3"/>
      <c r="L93" s="3" t="s">
        <v>703</v>
      </c>
      <c r="M93" s="3" t="s">
        <v>180</v>
      </c>
      <c r="N93" s="3" t="s">
        <v>1175</v>
      </c>
      <c r="O93" s="3" t="s">
        <v>1176</v>
      </c>
      <c r="P93" s="3" t="s">
        <v>1177</v>
      </c>
      <c r="Q93" s="3" t="s">
        <v>1178</v>
      </c>
      <c r="R93" s="3" t="s">
        <v>1152</v>
      </c>
      <c r="S93" s="3"/>
      <c r="T93" s="3"/>
    </row>
    <row r="94" customFormat="false" ht="69.75" hidden="false" customHeight="true" outlineLevel="0" collapsed="false">
      <c r="A94" s="2" t="s">
        <v>449</v>
      </c>
      <c r="B94" s="2" t="s">
        <v>447</v>
      </c>
      <c r="C94" s="2" t="s">
        <v>448</v>
      </c>
      <c r="D94" s="2" t="s">
        <v>1179</v>
      </c>
      <c r="E94" s="2" t="s">
        <v>1154</v>
      </c>
      <c r="F94" s="6" t="s">
        <v>452</v>
      </c>
      <c r="G94" s="2" t="s">
        <v>218</v>
      </c>
      <c r="H94" s="2" t="s">
        <v>631</v>
      </c>
      <c r="I94" s="2" t="s">
        <v>742</v>
      </c>
      <c r="J94" s="2" t="s">
        <v>1044</v>
      </c>
      <c r="K94" s="2"/>
      <c r="L94" s="2" t="s">
        <v>742</v>
      </c>
      <c r="M94" s="2" t="s">
        <v>180</v>
      </c>
      <c r="N94" s="2" t="s">
        <v>1180</v>
      </c>
      <c r="O94" s="2" t="s">
        <v>1181</v>
      </c>
      <c r="P94" s="2" t="s">
        <v>1182</v>
      </c>
      <c r="Q94" s="2" t="s">
        <v>1183</v>
      </c>
      <c r="R94" s="2" t="s">
        <v>1152</v>
      </c>
      <c r="S94" s="2"/>
      <c r="T94" s="2"/>
    </row>
    <row r="95" customFormat="false" ht="69.75" hidden="false" customHeight="true" outlineLevel="0" collapsed="false">
      <c r="A95" s="3" t="s">
        <v>457</v>
      </c>
      <c r="B95" s="3" t="s">
        <v>447</v>
      </c>
      <c r="C95" s="3" t="s">
        <v>456</v>
      </c>
      <c r="D95" s="3" t="s">
        <v>1184</v>
      </c>
      <c r="E95" s="3" t="s">
        <v>1154</v>
      </c>
      <c r="F95" s="7" t="s">
        <v>460</v>
      </c>
      <c r="G95" s="3" t="s">
        <v>218</v>
      </c>
      <c r="H95" s="3" t="s">
        <v>631</v>
      </c>
      <c r="I95" s="3" t="s">
        <v>747</v>
      </c>
      <c r="J95" s="3" t="s">
        <v>1044</v>
      </c>
      <c r="K95" s="3"/>
      <c r="L95" s="3" t="s">
        <v>747</v>
      </c>
      <c r="M95" s="3" t="s">
        <v>180</v>
      </c>
      <c r="N95" s="3" t="s">
        <v>1185</v>
      </c>
      <c r="O95" s="3" t="s">
        <v>1186</v>
      </c>
      <c r="P95" s="3" t="s">
        <v>1187</v>
      </c>
      <c r="Q95" s="3" t="s">
        <v>1188</v>
      </c>
      <c r="R95" s="3" t="s">
        <v>1152</v>
      </c>
      <c r="S95" s="3"/>
      <c r="T95" s="3"/>
    </row>
    <row r="96" customFormat="false" ht="69.75" hidden="false" customHeight="true" outlineLevel="0" collapsed="false">
      <c r="A96" s="2" t="s">
        <v>473</v>
      </c>
      <c r="B96" s="2" t="s">
        <v>447</v>
      </c>
      <c r="C96" s="2" t="s">
        <v>472</v>
      </c>
      <c r="D96" s="2" t="s">
        <v>1189</v>
      </c>
      <c r="E96" s="2" t="s">
        <v>1154</v>
      </c>
      <c r="F96" s="6" t="s">
        <v>476</v>
      </c>
      <c r="G96" s="2" t="s">
        <v>218</v>
      </c>
      <c r="H96" s="2" t="s">
        <v>631</v>
      </c>
      <c r="I96" s="2" t="s">
        <v>1190</v>
      </c>
      <c r="J96" s="2" t="s">
        <v>1044</v>
      </c>
      <c r="K96" s="2"/>
      <c r="L96" s="2" t="s">
        <v>1190</v>
      </c>
      <c r="M96" s="2" t="s">
        <v>180</v>
      </c>
      <c r="N96" s="2" t="s">
        <v>1191</v>
      </c>
      <c r="O96" s="2" t="s">
        <v>1192</v>
      </c>
      <c r="P96" s="2" t="s">
        <v>1193</v>
      </c>
      <c r="Q96" s="2" t="s">
        <v>1194</v>
      </c>
      <c r="R96" s="2" t="s">
        <v>1152</v>
      </c>
      <c r="S96" s="2"/>
      <c r="T96" s="2"/>
    </row>
    <row r="97" customFormat="false" ht="69.75" hidden="false" customHeight="true" outlineLevel="0" collapsed="false">
      <c r="A97" s="3" t="s">
        <v>228</v>
      </c>
      <c r="B97" s="3" t="s">
        <v>226</v>
      </c>
      <c r="C97" s="3" t="s">
        <v>227</v>
      </c>
      <c r="D97" s="3" t="s">
        <v>1195</v>
      </c>
      <c r="E97" s="3" t="s">
        <v>1154</v>
      </c>
      <c r="F97" s="7" t="s">
        <v>231</v>
      </c>
      <c r="G97" s="3" t="s">
        <v>218</v>
      </c>
      <c r="H97" s="3" t="s">
        <v>631</v>
      </c>
      <c r="I97" s="3" t="s">
        <v>752</v>
      </c>
      <c r="J97" s="3" t="s">
        <v>1044</v>
      </c>
      <c r="K97" s="3"/>
      <c r="L97" s="3" t="s">
        <v>752</v>
      </c>
      <c r="M97" s="3" t="s">
        <v>180</v>
      </c>
      <c r="N97" s="3" t="s">
        <v>1196</v>
      </c>
      <c r="O97" s="3" t="s">
        <v>1197</v>
      </c>
      <c r="P97" s="3" t="s">
        <v>1198</v>
      </c>
      <c r="Q97" s="3" t="s">
        <v>1199</v>
      </c>
      <c r="R97" s="3" t="s">
        <v>1152</v>
      </c>
      <c r="S97" s="3"/>
      <c r="T97" s="3"/>
    </row>
    <row r="98" customFormat="false" ht="69.75" hidden="false" customHeight="true" outlineLevel="0" collapsed="false">
      <c r="A98" s="2" t="s">
        <v>1200</v>
      </c>
      <c r="B98" s="2" t="s">
        <v>226</v>
      </c>
      <c r="C98" s="2" t="s">
        <v>1201</v>
      </c>
      <c r="D98" s="2" t="s">
        <v>1202</v>
      </c>
      <c r="E98" s="2" t="s">
        <v>1154</v>
      </c>
      <c r="F98" s="6" t="s">
        <v>757</v>
      </c>
      <c r="G98" s="2" t="s">
        <v>218</v>
      </c>
      <c r="H98" s="2" t="s">
        <v>631</v>
      </c>
      <c r="I98" s="2" t="s">
        <v>758</v>
      </c>
      <c r="J98" s="2" t="s">
        <v>1044</v>
      </c>
      <c r="K98" s="2"/>
      <c r="L98" s="2" t="s">
        <v>758</v>
      </c>
      <c r="M98" s="2" t="s">
        <v>180</v>
      </c>
      <c r="N98" s="2" t="s">
        <v>1203</v>
      </c>
      <c r="O98" s="2" t="s">
        <v>1204</v>
      </c>
      <c r="P98" s="2" t="s">
        <v>1205</v>
      </c>
      <c r="Q98" s="2" t="s">
        <v>1206</v>
      </c>
      <c r="R98" s="2" t="s">
        <v>1152</v>
      </c>
      <c r="S98" s="2"/>
      <c r="T98" s="2"/>
    </row>
    <row r="99" customFormat="false" ht="69.75" hidden="false" customHeight="true" outlineLevel="0" collapsed="false">
      <c r="A99" s="3" t="s">
        <v>465</v>
      </c>
      <c r="B99" s="3" t="s">
        <v>185</v>
      </c>
      <c r="C99" s="3" t="s">
        <v>464</v>
      </c>
      <c r="D99" s="3" t="s">
        <v>1207</v>
      </c>
      <c r="E99" s="3" t="s">
        <v>1154</v>
      </c>
      <c r="F99" s="7" t="s">
        <v>468</v>
      </c>
      <c r="G99" s="3" t="s">
        <v>218</v>
      </c>
      <c r="H99" s="3" t="s">
        <v>631</v>
      </c>
      <c r="I99" s="3" t="s">
        <v>1208</v>
      </c>
      <c r="J99" s="3" t="s">
        <v>1044</v>
      </c>
      <c r="K99" s="3"/>
      <c r="L99" s="3" t="s">
        <v>1208</v>
      </c>
      <c r="M99" s="3" t="s">
        <v>180</v>
      </c>
      <c r="N99" s="3" t="s">
        <v>1209</v>
      </c>
      <c r="O99" s="3" t="s">
        <v>1210</v>
      </c>
      <c r="P99" s="3" t="s">
        <v>1211</v>
      </c>
      <c r="Q99" s="3" t="s">
        <v>1212</v>
      </c>
      <c r="R99" s="3" t="s">
        <v>1152</v>
      </c>
      <c r="S99" s="3"/>
      <c r="T99" s="3"/>
    </row>
    <row r="100" customFormat="false" ht="69.75" hidden="false" customHeight="true" outlineLevel="0" collapsed="false">
      <c r="A100" s="2" t="s">
        <v>482</v>
      </c>
      <c r="B100" s="2" t="s">
        <v>447</v>
      </c>
      <c r="C100" s="2" t="s">
        <v>480</v>
      </c>
      <c r="D100" s="2" t="s">
        <v>1213</v>
      </c>
      <c r="E100" s="2" t="s">
        <v>1154</v>
      </c>
      <c r="F100" s="6" t="s">
        <v>485</v>
      </c>
      <c r="G100" s="2" t="s">
        <v>218</v>
      </c>
      <c r="H100" s="2" t="s">
        <v>631</v>
      </c>
      <c r="I100" s="2" t="s">
        <v>1214</v>
      </c>
      <c r="J100" s="2" t="s">
        <v>1044</v>
      </c>
      <c r="K100" s="2"/>
      <c r="L100" s="2" t="s">
        <v>1214</v>
      </c>
      <c r="M100" s="2" t="s">
        <v>481</v>
      </c>
      <c r="N100" s="2" t="s">
        <v>1215</v>
      </c>
      <c r="O100" s="2" t="s">
        <v>1210</v>
      </c>
      <c r="P100" s="2" t="s">
        <v>1216</v>
      </c>
      <c r="Q100" s="2" t="s">
        <v>1217</v>
      </c>
      <c r="R100" s="2" t="s">
        <v>1152</v>
      </c>
      <c r="S100" s="2"/>
      <c r="T100" s="2"/>
    </row>
    <row r="101" customFormat="false" ht="69.75" hidden="false" customHeight="true" outlineLevel="0" collapsed="false">
      <c r="A101" s="3" t="s">
        <v>559</v>
      </c>
      <c r="B101" s="3" t="s">
        <v>557</v>
      </c>
      <c r="C101" s="3" t="s">
        <v>558</v>
      </c>
      <c r="D101" s="3" t="s">
        <v>865</v>
      </c>
      <c r="E101" s="3" t="s">
        <v>1218</v>
      </c>
      <c r="F101" s="7" t="s">
        <v>562</v>
      </c>
      <c r="G101" s="3" t="s">
        <v>218</v>
      </c>
      <c r="H101" s="3" t="s">
        <v>10</v>
      </c>
      <c r="I101" s="3" t="s">
        <v>866</v>
      </c>
      <c r="J101" s="3" t="s">
        <v>1044</v>
      </c>
      <c r="K101" s="3"/>
      <c r="L101" s="3" t="s">
        <v>1219</v>
      </c>
      <c r="M101" s="3" t="s">
        <v>251</v>
      </c>
      <c r="N101" s="3" t="s">
        <v>1220</v>
      </c>
      <c r="O101" s="3" t="s">
        <v>1221</v>
      </c>
      <c r="P101" s="3" t="s">
        <v>1222</v>
      </c>
      <c r="Q101" s="3" t="s">
        <v>1223</v>
      </c>
      <c r="R101" s="3" t="s">
        <v>1224</v>
      </c>
      <c r="S101" s="3" t="s">
        <v>1225</v>
      </c>
      <c r="T101" s="3" t="s">
        <v>1226</v>
      </c>
    </row>
    <row r="102" customFormat="false" ht="69.75" hidden="false" customHeight="true" outlineLevel="0" collapsed="false">
      <c r="A102" s="2" t="s">
        <v>567</v>
      </c>
      <c r="B102" s="2" t="s">
        <v>557</v>
      </c>
      <c r="C102" s="2" t="s">
        <v>566</v>
      </c>
      <c r="D102" s="2" t="s">
        <v>872</v>
      </c>
      <c r="E102" s="2" t="s">
        <v>1218</v>
      </c>
      <c r="F102" s="6" t="s">
        <v>569</v>
      </c>
      <c r="G102" s="2" t="s">
        <v>218</v>
      </c>
      <c r="H102" s="2" t="s">
        <v>10</v>
      </c>
      <c r="I102" s="2" t="s">
        <v>874</v>
      </c>
      <c r="J102" s="2" t="s">
        <v>1044</v>
      </c>
      <c r="K102" s="2"/>
      <c r="L102" s="2" t="s">
        <v>1227</v>
      </c>
      <c r="M102" s="2" t="s">
        <v>251</v>
      </c>
      <c r="N102" s="2" t="s">
        <v>1228</v>
      </c>
      <c r="O102" s="2" t="s">
        <v>1229</v>
      </c>
      <c r="P102" s="2" t="s">
        <v>1222</v>
      </c>
      <c r="Q102" s="2" t="s">
        <v>1223</v>
      </c>
      <c r="R102" s="2" t="s">
        <v>1224</v>
      </c>
      <c r="S102" s="2" t="s">
        <v>1225</v>
      </c>
      <c r="T102" s="2" t="s">
        <v>1226</v>
      </c>
    </row>
    <row r="103" customFormat="false" ht="69.75" hidden="false" customHeight="true" outlineLevel="0" collapsed="false">
      <c r="A103" s="3" t="s">
        <v>574</v>
      </c>
      <c r="B103" s="3" t="s">
        <v>557</v>
      </c>
      <c r="C103" s="3" t="s">
        <v>573</v>
      </c>
      <c r="D103" s="3" t="s">
        <v>891</v>
      </c>
      <c r="E103" s="3" t="s">
        <v>1218</v>
      </c>
      <c r="F103" s="7" t="s">
        <v>576</v>
      </c>
      <c r="G103" s="3" t="s">
        <v>218</v>
      </c>
      <c r="H103" s="3" t="s">
        <v>10</v>
      </c>
      <c r="I103" s="3" t="s">
        <v>892</v>
      </c>
      <c r="J103" s="3" t="s">
        <v>1044</v>
      </c>
      <c r="K103" s="3"/>
      <c r="L103" s="3" t="s">
        <v>1230</v>
      </c>
      <c r="M103" s="3" t="s">
        <v>251</v>
      </c>
      <c r="N103" s="3" t="s">
        <v>1231</v>
      </c>
      <c r="O103" s="3" t="s">
        <v>1232</v>
      </c>
      <c r="P103" s="3" t="s">
        <v>1222</v>
      </c>
      <c r="Q103" s="3" t="s">
        <v>1223</v>
      </c>
      <c r="R103" s="3" t="s">
        <v>1224</v>
      </c>
      <c r="S103" s="3" t="s">
        <v>1225</v>
      </c>
      <c r="T103" s="3" t="s">
        <v>1226</v>
      </c>
    </row>
    <row r="104" customFormat="false" ht="69.75" hidden="false" customHeight="true" outlineLevel="0" collapsed="false">
      <c r="A104" s="2" t="s">
        <v>581</v>
      </c>
      <c r="B104" s="2" t="s">
        <v>557</v>
      </c>
      <c r="C104" s="2" t="s">
        <v>580</v>
      </c>
      <c r="D104" s="2" t="s">
        <v>879</v>
      </c>
      <c r="E104" s="2" t="s">
        <v>1218</v>
      </c>
      <c r="F104" s="6" t="s">
        <v>583</v>
      </c>
      <c r="G104" s="2" t="s">
        <v>218</v>
      </c>
      <c r="H104" s="2" t="s">
        <v>10</v>
      </c>
      <c r="I104" s="2" t="s">
        <v>880</v>
      </c>
      <c r="J104" s="2" t="s">
        <v>1044</v>
      </c>
      <c r="K104" s="2"/>
      <c r="L104" s="2" t="s">
        <v>1233</v>
      </c>
      <c r="M104" s="2" t="s">
        <v>251</v>
      </c>
      <c r="N104" s="2" t="s">
        <v>1234</v>
      </c>
      <c r="O104" s="2" t="s">
        <v>1235</v>
      </c>
      <c r="P104" s="2" t="s">
        <v>1222</v>
      </c>
      <c r="Q104" s="2" t="s">
        <v>1223</v>
      </c>
      <c r="R104" s="2" t="s">
        <v>1224</v>
      </c>
      <c r="S104" s="2" t="s">
        <v>1225</v>
      </c>
      <c r="T104" s="2" t="s">
        <v>1226</v>
      </c>
    </row>
    <row r="105" customFormat="false" ht="69.75" hidden="false" customHeight="true" outlineLevel="0" collapsed="false">
      <c r="A105" s="3" t="s">
        <v>588</v>
      </c>
      <c r="B105" s="3" t="s">
        <v>557</v>
      </c>
      <c r="C105" s="3" t="s">
        <v>587</v>
      </c>
      <c r="D105" s="3" t="s">
        <v>897</v>
      </c>
      <c r="E105" s="3" t="s">
        <v>1218</v>
      </c>
      <c r="F105" s="7" t="s">
        <v>562</v>
      </c>
      <c r="G105" s="3" t="s">
        <v>218</v>
      </c>
      <c r="H105" s="3" t="s">
        <v>10</v>
      </c>
      <c r="I105" s="3" t="s">
        <v>898</v>
      </c>
      <c r="J105" s="3" t="s">
        <v>1044</v>
      </c>
      <c r="K105" s="3"/>
      <c r="L105" s="3" t="s">
        <v>1236</v>
      </c>
      <c r="M105" s="3" t="s">
        <v>251</v>
      </c>
      <c r="N105" s="3" t="s">
        <v>1237</v>
      </c>
      <c r="O105" s="3" t="s">
        <v>1238</v>
      </c>
      <c r="P105" s="3" t="s">
        <v>1222</v>
      </c>
      <c r="Q105" s="3" t="s">
        <v>1223</v>
      </c>
      <c r="R105" s="3" t="s">
        <v>1224</v>
      </c>
      <c r="S105" s="3" t="s">
        <v>1225</v>
      </c>
      <c r="T105" s="3" t="s">
        <v>1226</v>
      </c>
    </row>
    <row r="106" customFormat="false" ht="69.75" hidden="false" customHeight="true" outlineLevel="0" collapsed="false">
      <c r="A106" s="2" t="s">
        <v>595</v>
      </c>
      <c r="B106" s="2" t="s">
        <v>557</v>
      </c>
      <c r="C106" s="2" t="s">
        <v>594</v>
      </c>
      <c r="D106" s="2" t="s">
        <v>885</v>
      </c>
      <c r="E106" s="2" t="s">
        <v>1218</v>
      </c>
      <c r="F106" s="6" t="s">
        <v>597</v>
      </c>
      <c r="G106" s="2" t="s">
        <v>218</v>
      </c>
      <c r="H106" s="2" t="s">
        <v>10</v>
      </c>
      <c r="I106" s="2" t="s">
        <v>886</v>
      </c>
      <c r="J106" s="2" t="s">
        <v>1044</v>
      </c>
      <c r="K106" s="2"/>
      <c r="L106" s="2" t="s">
        <v>1239</v>
      </c>
      <c r="M106" s="2" t="s">
        <v>251</v>
      </c>
      <c r="N106" s="2" t="s">
        <v>1240</v>
      </c>
      <c r="O106" s="2" t="s">
        <v>1241</v>
      </c>
      <c r="P106" s="2" t="s">
        <v>1222</v>
      </c>
      <c r="Q106" s="2" t="s">
        <v>1223</v>
      </c>
      <c r="R106" s="2" t="s">
        <v>1224</v>
      </c>
      <c r="S106" s="2" t="s">
        <v>1225</v>
      </c>
      <c r="T106" s="2" t="s">
        <v>1226</v>
      </c>
    </row>
    <row r="107" customFormat="false" ht="69.75" hidden="false" customHeight="true" outlineLevel="0" collapsed="false">
      <c r="A107" s="3" t="s">
        <v>603</v>
      </c>
      <c r="B107" s="3" t="s">
        <v>557</v>
      </c>
      <c r="C107" s="3" t="s">
        <v>601</v>
      </c>
      <c r="D107" s="3" t="s">
        <v>1242</v>
      </c>
      <c r="E107" s="3" t="s">
        <v>1218</v>
      </c>
      <c r="F107" s="7" t="s">
        <v>562</v>
      </c>
      <c r="G107" s="3" t="s">
        <v>218</v>
      </c>
      <c r="H107" s="3" t="s">
        <v>10</v>
      </c>
      <c r="I107" s="3" t="s">
        <v>1243</v>
      </c>
      <c r="J107" s="3" t="s">
        <v>1044</v>
      </c>
      <c r="K107" s="3"/>
      <c r="L107" s="3" t="s">
        <v>1244</v>
      </c>
      <c r="M107" s="3" t="s">
        <v>602</v>
      </c>
      <c r="N107" s="3" t="s">
        <v>1245</v>
      </c>
      <c r="O107" s="3" t="s">
        <v>1246</v>
      </c>
      <c r="P107" s="3" t="s">
        <v>1222</v>
      </c>
      <c r="Q107" s="3" t="s">
        <v>1223</v>
      </c>
      <c r="R107" s="3" t="s">
        <v>1224</v>
      </c>
      <c r="S107" s="3" t="s">
        <v>1225</v>
      </c>
      <c r="T107" s="3" t="s">
        <v>1226</v>
      </c>
    </row>
    <row r="108" customFormat="false" ht="69.75" hidden="false" customHeight="true" outlineLevel="0" collapsed="false">
      <c r="A108" s="2" t="s">
        <v>305</v>
      </c>
      <c r="B108" s="2" t="s">
        <v>297</v>
      </c>
      <c r="C108" s="2" t="s">
        <v>304</v>
      </c>
      <c r="D108" s="2" t="s">
        <v>1247</v>
      </c>
      <c r="E108" s="2" t="s">
        <v>1248</v>
      </c>
      <c r="F108" s="6" t="s">
        <v>307</v>
      </c>
      <c r="G108" s="2" t="s">
        <v>218</v>
      </c>
      <c r="H108" s="2" t="s">
        <v>631</v>
      </c>
      <c r="I108" s="2" t="s">
        <v>835</v>
      </c>
      <c r="J108" s="2" t="s">
        <v>1103</v>
      </c>
      <c r="K108" s="2" t="s">
        <v>660</v>
      </c>
      <c r="L108" s="2" t="s">
        <v>836</v>
      </c>
      <c r="M108" s="2" t="s">
        <v>251</v>
      </c>
      <c r="N108" s="2" t="s">
        <v>1249</v>
      </c>
      <c r="O108" s="2" t="s">
        <v>1250</v>
      </c>
      <c r="P108" s="2" t="s">
        <v>1251</v>
      </c>
      <c r="Q108" s="2" t="s">
        <v>1252</v>
      </c>
      <c r="R108" s="2" t="s">
        <v>1253</v>
      </c>
      <c r="S108" s="2"/>
      <c r="T108" s="2"/>
    </row>
    <row r="109" customFormat="false" ht="69.75" hidden="false" customHeight="true" outlineLevel="0" collapsed="false">
      <c r="A109" s="3" t="s">
        <v>321</v>
      </c>
      <c r="B109" s="3" t="s">
        <v>319</v>
      </c>
      <c r="C109" s="3" t="s">
        <v>320</v>
      </c>
      <c r="D109" s="3" t="s">
        <v>1254</v>
      </c>
      <c r="E109" s="3" t="s">
        <v>1255</v>
      </c>
      <c r="F109" s="7" t="s">
        <v>324</v>
      </c>
      <c r="G109" s="3" t="s">
        <v>218</v>
      </c>
      <c r="H109" s="3" t="s">
        <v>631</v>
      </c>
      <c r="I109" s="3" t="s">
        <v>843</v>
      </c>
      <c r="J109" s="3" t="s">
        <v>1103</v>
      </c>
      <c r="K109" s="3" t="s">
        <v>660</v>
      </c>
      <c r="L109" s="3" t="s">
        <v>844</v>
      </c>
      <c r="M109" s="3" t="s">
        <v>251</v>
      </c>
      <c r="N109" s="3" t="s">
        <v>1256</v>
      </c>
      <c r="O109" s="3" t="s">
        <v>1257</v>
      </c>
      <c r="P109" s="3" t="s">
        <v>1258</v>
      </c>
      <c r="Q109" s="3" t="s">
        <v>1259</v>
      </c>
      <c r="R109" s="3" t="s">
        <v>1253</v>
      </c>
      <c r="S109" s="3"/>
      <c r="T109" s="3"/>
    </row>
    <row r="110" customFormat="false" ht="69.75" hidden="false" customHeight="true" outlineLevel="0" collapsed="false">
      <c r="A110" s="2" t="s">
        <v>1260</v>
      </c>
      <c r="B110" s="2" t="s">
        <v>489</v>
      </c>
      <c r="C110" s="2" t="s">
        <v>1261</v>
      </c>
      <c r="D110" s="2" t="s">
        <v>1262</v>
      </c>
      <c r="E110" s="2" t="s">
        <v>1154</v>
      </c>
      <c r="F110" s="6" t="s">
        <v>1263</v>
      </c>
      <c r="G110" s="2" t="s">
        <v>218</v>
      </c>
      <c r="H110" s="2" t="s">
        <v>631</v>
      </c>
      <c r="I110" s="2" t="s">
        <v>1093</v>
      </c>
      <c r="J110" s="2" t="s">
        <v>1044</v>
      </c>
      <c r="K110" s="2"/>
      <c r="L110" s="2" t="s">
        <v>1093</v>
      </c>
      <c r="M110" s="2" t="s">
        <v>251</v>
      </c>
      <c r="N110" s="2" t="s">
        <v>1264</v>
      </c>
      <c r="O110" s="2" t="s">
        <v>1265</v>
      </c>
      <c r="P110" s="2" t="s">
        <v>1266</v>
      </c>
      <c r="Q110" s="2" t="s">
        <v>1267</v>
      </c>
      <c r="R110" s="2" t="s">
        <v>1253</v>
      </c>
      <c r="S110" s="2"/>
      <c r="T110" s="2"/>
    </row>
    <row r="111" customFormat="false" ht="69.75" hidden="false" customHeight="true" outlineLevel="0" collapsed="false">
      <c r="A111" s="3" t="s">
        <v>340</v>
      </c>
      <c r="B111" s="3" t="s">
        <v>338</v>
      </c>
      <c r="C111" s="3" t="s">
        <v>339</v>
      </c>
      <c r="D111" s="3" t="s">
        <v>914</v>
      </c>
      <c r="E111" s="3" t="s">
        <v>1268</v>
      </c>
      <c r="F111" s="7" t="s">
        <v>343</v>
      </c>
      <c r="G111" s="3" t="s">
        <v>218</v>
      </c>
      <c r="H111" s="3" t="s">
        <v>631</v>
      </c>
      <c r="I111" s="3" t="s">
        <v>1269</v>
      </c>
      <c r="J111" s="3" t="s">
        <v>1103</v>
      </c>
      <c r="K111" s="3" t="s">
        <v>689</v>
      </c>
      <c r="L111" s="3" t="s">
        <v>917</v>
      </c>
      <c r="M111" s="3" t="s">
        <v>251</v>
      </c>
      <c r="N111" s="3" t="s">
        <v>1270</v>
      </c>
      <c r="O111" s="3" t="s">
        <v>1271</v>
      </c>
      <c r="P111" s="3" t="s">
        <v>1272</v>
      </c>
      <c r="Q111" s="3" t="s">
        <v>1273</v>
      </c>
      <c r="R111" s="3" t="s">
        <v>1253</v>
      </c>
      <c r="S111" s="3"/>
      <c r="T111" s="3"/>
    </row>
    <row r="112" customFormat="false" ht="69.75" hidden="false" customHeight="true" outlineLevel="0" collapsed="false">
      <c r="A112" s="2" t="s">
        <v>523</v>
      </c>
      <c r="B112" s="2" t="s">
        <v>345</v>
      </c>
      <c r="C112" s="2" t="s">
        <v>522</v>
      </c>
      <c r="D112" s="2" t="s">
        <v>1274</v>
      </c>
      <c r="E112" s="2" t="s">
        <v>1154</v>
      </c>
      <c r="F112" s="6" t="s">
        <v>526</v>
      </c>
      <c r="G112" s="2" t="s">
        <v>218</v>
      </c>
      <c r="H112" s="2" t="s">
        <v>631</v>
      </c>
      <c r="I112" s="2" t="s">
        <v>1275</v>
      </c>
      <c r="J112" s="2" t="s">
        <v>1044</v>
      </c>
      <c r="K112" s="2"/>
      <c r="L112" s="2" t="s">
        <v>1275</v>
      </c>
      <c r="M112" s="2" t="s">
        <v>251</v>
      </c>
      <c r="N112" s="2" t="s">
        <v>1276</v>
      </c>
      <c r="O112" s="2" t="s">
        <v>1277</v>
      </c>
      <c r="P112" s="2" t="s">
        <v>1278</v>
      </c>
      <c r="Q112" s="2" t="s">
        <v>1279</v>
      </c>
      <c r="R112" s="2" t="s">
        <v>1253</v>
      </c>
      <c r="S112" s="2"/>
      <c r="T112" s="2"/>
    </row>
    <row r="113" customFormat="false" ht="69.75" hidden="false" customHeight="true" outlineLevel="0" collapsed="false">
      <c r="A113" s="3" t="s">
        <v>491</v>
      </c>
      <c r="B113" s="3" t="s">
        <v>489</v>
      </c>
      <c r="C113" s="3" t="s">
        <v>490</v>
      </c>
      <c r="D113" s="3" t="s">
        <v>1280</v>
      </c>
      <c r="E113" s="3" t="s">
        <v>1154</v>
      </c>
      <c r="F113" s="7" t="s">
        <v>494</v>
      </c>
      <c r="G113" s="3" t="s">
        <v>218</v>
      </c>
      <c r="H113" s="3" t="s">
        <v>631</v>
      </c>
      <c r="I113" s="3" t="s">
        <v>1281</v>
      </c>
      <c r="J113" s="3" t="s">
        <v>1044</v>
      </c>
      <c r="K113" s="3"/>
      <c r="L113" s="3" t="s">
        <v>1281</v>
      </c>
      <c r="M113" s="3" t="s">
        <v>251</v>
      </c>
      <c r="N113" s="3" t="s">
        <v>1282</v>
      </c>
      <c r="O113" s="3" t="s">
        <v>1283</v>
      </c>
      <c r="P113" s="3" t="s">
        <v>1284</v>
      </c>
      <c r="Q113" s="3" t="s">
        <v>1285</v>
      </c>
      <c r="R113" s="3" t="s">
        <v>1253</v>
      </c>
      <c r="S113" s="3"/>
      <c r="T113" s="3"/>
    </row>
    <row r="114" customFormat="false" ht="69.75" hidden="false" customHeight="true" outlineLevel="0" collapsed="false">
      <c r="A114" s="2" t="s">
        <v>1286</v>
      </c>
      <c r="B114" s="2" t="s">
        <v>297</v>
      </c>
      <c r="C114" s="2" t="s">
        <v>1287</v>
      </c>
      <c r="D114" s="2" t="s">
        <v>1288</v>
      </c>
      <c r="E114" s="2" t="s">
        <v>1289</v>
      </c>
      <c r="F114" s="6" t="s">
        <v>1290</v>
      </c>
      <c r="G114" s="2" t="s">
        <v>218</v>
      </c>
      <c r="H114" s="2" t="s">
        <v>631</v>
      </c>
      <c r="I114" s="2" t="s">
        <v>1291</v>
      </c>
      <c r="J114" s="2" t="s">
        <v>1044</v>
      </c>
      <c r="K114" s="2"/>
      <c r="L114" s="2" t="s">
        <v>1291</v>
      </c>
      <c r="M114" s="2" t="s">
        <v>251</v>
      </c>
      <c r="N114" s="2" t="s">
        <v>1292</v>
      </c>
      <c r="O114" s="2" t="s">
        <v>1293</v>
      </c>
      <c r="P114" s="2" t="s">
        <v>1294</v>
      </c>
      <c r="Q114" s="2" t="s">
        <v>1295</v>
      </c>
      <c r="R114" s="2" t="s">
        <v>1253</v>
      </c>
      <c r="S114" s="2"/>
      <c r="T114" s="2"/>
    </row>
    <row r="115" customFormat="false" ht="69.75" hidden="false" customHeight="true" outlineLevel="0" collapsed="false">
      <c r="A115" s="3" t="s">
        <v>499</v>
      </c>
      <c r="B115" s="3" t="s">
        <v>489</v>
      </c>
      <c r="C115" s="3" t="s">
        <v>498</v>
      </c>
      <c r="D115" s="3" t="s">
        <v>1296</v>
      </c>
      <c r="E115" s="3" t="s">
        <v>1154</v>
      </c>
      <c r="F115" s="7" t="s">
        <v>502</v>
      </c>
      <c r="G115" s="3" t="s">
        <v>218</v>
      </c>
      <c r="H115" s="3" t="s">
        <v>631</v>
      </c>
      <c r="I115" s="3" t="s">
        <v>1297</v>
      </c>
      <c r="J115" s="3" t="s">
        <v>1044</v>
      </c>
      <c r="K115" s="3"/>
      <c r="L115" s="3" t="s">
        <v>1297</v>
      </c>
      <c r="M115" s="3" t="s">
        <v>251</v>
      </c>
      <c r="N115" s="3" t="s">
        <v>1298</v>
      </c>
      <c r="O115" s="3" t="s">
        <v>1299</v>
      </c>
      <c r="P115" s="3" t="s">
        <v>1300</v>
      </c>
      <c r="Q115" s="3" t="s">
        <v>1301</v>
      </c>
      <c r="R115" s="3" t="s">
        <v>1253</v>
      </c>
      <c r="S115" s="3"/>
      <c r="T115" s="3"/>
    </row>
    <row r="116" customFormat="false" ht="69.75" hidden="false" customHeight="true" outlineLevel="0" collapsed="false">
      <c r="A116" s="2" t="s">
        <v>1302</v>
      </c>
      <c r="B116" s="2" t="s">
        <v>489</v>
      </c>
      <c r="C116" s="2" t="s">
        <v>1303</v>
      </c>
      <c r="D116" s="2" t="s">
        <v>1304</v>
      </c>
      <c r="E116" s="2" t="s">
        <v>1154</v>
      </c>
      <c r="F116" s="6" t="s">
        <v>1305</v>
      </c>
      <c r="G116" s="2" t="s">
        <v>218</v>
      </c>
      <c r="H116" s="2" t="s">
        <v>631</v>
      </c>
      <c r="I116" s="2" t="s">
        <v>1306</v>
      </c>
      <c r="J116" s="2" t="s">
        <v>1044</v>
      </c>
      <c r="K116" s="2"/>
      <c r="L116" s="2" t="s">
        <v>1306</v>
      </c>
      <c r="M116" s="2" t="s">
        <v>251</v>
      </c>
      <c r="N116" s="2" t="s">
        <v>1307</v>
      </c>
      <c r="O116" s="2" t="s">
        <v>1308</v>
      </c>
      <c r="P116" s="2" t="s">
        <v>1309</v>
      </c>
      <c r="Q116" s="2" t="s">
        <v>1310</v>
      </c>
      <c r="R116" s="2" t="s">
        <v>1253</v>
      </c>
      <c r="S116" s="2"/>
      <c r="T116" s="2"/>
    </row>
    <row r="117" customFormat="false" ht="69.75" hidden="false" customHeight="true" outlineLevel="0" collapsed="false">
      <c r="A117" s="3" t="s">
        <v>515</v>
      </c>
      <c r="B117" s="3" t="s">
        <v>338</v>
      </c>
      <c r="C117" s="3" t="s">
        <v>514</v>
      </c>
      <c r="D117" s="3" t="s">
        <v>1311</v>
      </c>
      <c r="E117" s="3" t="s">
        <v>1268</v>
      </c>
      <c r="F117" s="7" t="s">
        <v>518</v>
      </c>
      <c r="G117" s="3" t="s">
        <v>218</v>
      </c>
      <c r="H117" s="3" t="s">
        <v>631</v>
      </c>
      <c r="I117" s="3" t="s">
        <v>1312</v>
      </c>
      <c r="J117" s="3" t="s">
        <v>1103</v>
      </c>
      <c r="K117" s="3" t="s">
        <v>689</v>
      </c>
      <c r="L117" s="3" t="s">
        <v>1313</v>
      </c>
      <c r="M117" s="3" t="s">
        <v>251</v>
      </c>
      <c r="N117" s="3" t="s">
        <v>1314</v>
      </c>
      <c r="O117" s="3" t="s">
        <v>1315</v>
      </c>
      <c r="P117" s="3" t="s">
        <v>1316</v>
      </c>
      <c r="Q117" s="3" t="s">
        <v>1317</v>
      </c>
      <c r="R117" s="3" t="s">
        <v>1253</v>
      </c>
      <c r="S117" s="3"/>
      <c r="T117" s="3"/>
    </row>
    <row r="118" customFormat="false" ht="69.75" hidden="false" customHeight="true" outlineLevel="0" collapsed="false">
      <c r="A118" s="2" t="s">
        <v>367</v>
      </c>
      <c r="B118" s="2" t="s">
        <v>345</v>
      </c>
      <c r="C118" s="2" t="s">
        <v>366</v>
      </c>
      <c r="D118" s="2" t="s">
        <v>927</v>
      </c>
      <c r="E118" s="2" t="s">
        <v>1318</v>
      </c>
      <c r="F118" s="6" t="s">
        <v>369</v>
      </c>
      <c r="G118" s="2" t="s">
        <v>218</v>
      </c>
      <c r="H118" s="2" t="s">
        <v>631</v>
      </c>
      <c r="I118" s="2" t="s">
        <v>928</v>
      </c>
      <c r="J118" s="2" t="s">
        <v>1044</v>
      </c>
      <c r="K118" s="2"/>
      <c r="L118" s="2" t="s">
        <v>928</v>
      </c>
      <c r="M118" s="2" t="s">
        <v>251</v>
      </c>
      <c r="N118" s="2" t="s">
        <v>1319</v>
      </c>
      <c r="O118" s="2" t="s">
        <v>1320</v>
      </c>
      <c r="P118" s="2" t="s">
        <v>1321</v>
      </c>
      <c r="Q118" s="2" t="s">
        <v>1322</v>
      </c>
      <c r="R118" s="2" t="s">
        <v>1253</v>
      </c>
      <c r="S118" s="2"/>
      <c r="T118" s="2"/>
    </row>
    <row r="119" customFormat="false" ht="69.75" hidden="false" customHeight="true" outlineLevel="0" collapsed="false">
      <c r="A119" s="3" t="s">
        <v>507</v>
      </c>
      <c r="B119" s="3" t="s">
        <v>489</v>
      </c>
      <c r="C119" s="3" t="s">
        <v>506</v>
      </c>
      <c r="D119" s="3" t="s">
        <v>1323</v>
      </c>
      <c r="E119" s="3" t="s">
        <v>1324</v>
      </c>
      <c r="F119" s="7" t="s">
        <v>510</v>
      </c>
      <c r="G119" s="3" t="s">
        <v>218</v>
      </c>
      <c r="H119" s="3" t="s">
        <v>631</v>
      </c>
      <c r="I119" s="3" t="s">
        <v>1325</v>
      </c>
      <c r="J119" s="3" t="s">
        <v>1103</v>
      </c>
      <c r="K119" s="3" t="s">
        <v>689</v>
      </c>
      <c r="L119" s="3" t="s">
        <v>1326</v>
      </c>
      <c r="M119" s="3" t="s">
        <v>251</v>
      </c>
      <c r="N119" s="3" t="s">
        <v>1327</v>
      </c>
      <c r="O119" s="3" t="s">
        <v>1328</v>
      </c>
      <c r="P119" s="3" t="s">
        <v>1329</v>
      </c>
      <c r="Q119" s="3" t="s">
        <v>1330</v>
      </c>
      <c r="R119" s="3" t="s">
        <v>1253</v>
      </c>
      <c r="S119" s="3"/>
      <c r="T119" s="3"/>
    </row>
    <row r="120" customFormat="false" ht="69.75" hidden="false" customHeight="true" outlineLevel="0" collapsed="false">
      <c r="A120" s="2" t="s">
        <v>1331</v>
      </c>
      <c r="B120" s="2" t="s">
        <v>489</v>
      </c>
      <c r="C120" s="2" t="s">
        <v>1332</v>
      </c>
      <c r="D120" s="2" t="s">
        <v>1333</v>
      </c>
      <c r="E120" s="2" t="s">
        <v>1334</v>
      </c>
      <c r="F120" s="6" t="s">
        <v>1335</v>
      </c>
      <c r="G120" s="2" t="s">
        <v>218</v>
      </c>
      <c r="H120" s="2" t="s">
        <v>631</v>
      </c>
      <c r="I120" s="2" t="s">
        <v>1336</v>
      </c>
      <c r="J120" s="2" t="s">
        <v>1103</v>
      </c>
      <c r="K120" s="2"/>
      <c r="L120" s="2"/>
      <c r="M120" s="2" t="s">
        <v>251</v>
      </c>
      <c r="N120" s="2" t="s">
        <v>1337</v>
      </c>
      <c r="O120" s="2" t="s">
        <v>1338</v>
      </c>
      <c r="P120" s="2" t="s">
        <v>1339</v>
      </c>
      <c r="Q120" s="2" t="s">
        <v>1340</v>
      </c>
      <c r="R120" s="2" t="s">
        <v>1253</v>
      </c>
      <c r="S120" s="2"/>
      <c r="T120" s="2"/>
    </row>
    <row r="121" customFormat="false" ht="69.75" hidden="false" customHeight="true" outlineLevel="0" collapsed="false">
      <c r="A121" s="3" t="s">
        <v>1341</v>
      </c>
      <c r="B121" s="3" t="s">
        <v>345</v>
      </c>
      <c r="C121" s="3" t="s">
        <v>1342</v>
      </c>
      <c r="D121" s="3" t="s">
        <v>1343</v>
      </c>
      <c r="E121" s="3" t="s">
        <v>1344</v>
      </c>
      <c r="F121" s="7" t="s">
        <v>1345</v>
      </c>
      <c r="G121" s="3" t="s">
        <v>218</v>
      </c>
      <c r="H121" s="3" t="s">
        <v>631</v>
      </c>
      <c r="I121" s="3" t="s">
        <v>1346</v>
      </c>
      <c r="J121" s="3" t="s">
        <v>1103</v>
      </c>
      <c r="K121" s="3"/>
      <c r="L121" s="3"/>
      <c r="M121" s="3" t="s">
        <v>251</v>
      </c>
      <c r="N121" s="3" t="s">
        <v>1347</v>
      </c>
      <c r="O121" s="3" t="s">
        <v>1348</v>
      </c>
      <c r="P121" s="3" t="s">
        <v>1349</v>
      </c>
      <c r="Q121" s="3" t="s">
        <v>1350</v>
      </c>
      <c r="R121" s="3" t="s">
        <v>1253</v>
      </c>
      <c r="S121" s="3"/>
      <c r="T121" s="3"/>
    </row>
    <row r="122" customFormat="false" ht="69.75" hidden="false" customHeight="true" outlineLevel="0" collapsed="false">
      <c r="A122" s="2" t="s">
        <v>1351</v>
      </c>
      <c r="B122" s="2" t="s">
        <v>319</v>
      </c>
      <c r="C122" s="2" t="s">
        <v>1352</v>
      </c>
      <c r="D122" s="2" t="s">
        <v>1353</v>
      </c>
      <c r="E122" s="2" t="s">
        <v>1354</v>
      </c>
      <c r="F122" s="6" t="s">
        <v>1355</v>
      </c>
      <c r="G122" s="2" t="s">
        <v>218</v>
      </c>
      <c r="H122" s="2" t="s">
        <v>631</v>
      </c>
      <c r="I122" s="2" t="s">
        <v>1356</v>
      </c>
      <c r="J122" s="2" t="s">
        <v>1103</v>
      </c>
      <c r="K122" s="2" t="s">
        <v>660</v>
      </c>
      <c r="L122" s="2" t="s">
        <v>1357</v>
      </c>
      <c r="M122" s="2" t="s">
        <v>251</v>
      </c>
      <c r="N122" s="2" t="s">
        <v>1358</v>
      </c>
      <c r="O122" s="2" t="s">
        <v>1359</v>
      </c>
      <c r="P122" s="2" t="s">
        <v>1360</v>
      </c>
      <c r="Q122" s="2" t="s">
        <v>1361</v>
      </c>
      <c r="R122" s="2" t="s">
        <v>1253</v>
      </c>
      <c r="S122" s="2"/>
      <c r="T122" s="2"/>
    </row>
    <row r="123" customFormat="false" ht="69.75" hidden="false" customHeight="true" outlineLevel="0" collapsed="false">
      <c r="A123" s="3" t="s">
        <v>1362</v>
      </c>
      <c r="B123" s="3" t="s">
        <v>429</v>
      </c>
      <c r="C123" s="3" t="s">
        <v>1363</v>
      </c>
      <c r="D123" s="3" t="s">
        <v>1364</v>
      </c>
      <c r="E123" s="3" t="s">
        <v>1365</v>
      </c>
      <c r="F123" s="7" t="s">
        <v>1366</v>
      </c>
      <c r="G123" s="3" t="s">
        <v>218</v>
      </c>
      <c r="H123" s="3" t="s">
        <v>631</v>
      </c>
      <c r="I123" s="3" t="s">
        <v>1367</v>
      </c>
      <c r="J123" s="3" t="s">
        <v>1103</v>
      </c>
      <c r="K123" s="3"/>
      <c r="L123" s="3"/>
      <c r="M123" s="3" t="s">
        <v>251</v>
      </c>
      <c r="N123" s="3" t="s">
        <v>1368</v>
      </c>
      <c r="O123" s="3" t="s">
        <v>1369</v>
      </c>
      <c r="P123" s="3" t="s">
        <v>1370</v>
      </c>
      <c r="Q123" s="3" t="s">
        <v>1371</v>
      </c>
      <c r="R123" s="3" t="s">
        <v>1253</v>
      </c>
      <c r="S123" s="3"/>
      <c r="T123" s="3"/>
    </row>
    <row r="124" customFormat="false" ht="69.75" hidden="false" customHeight="true" outlineLevel="0" collapsed="false">
      <c r="A124" s="2" t="s">
        <v>431</v>
      </c>
      <c r="B124" s="2" t="s">
        <v>429</v>
      </c>
      <c r="C124" s="2" t="s">
        <v>430</v>
      </c>
      <c r="D124" s="2" t="s">
        <v>1372</v>
      </c>
      <c r="E124" s="2" t="s">
        <v>1154</v>
      </c>
      <c r="F124" s="6" t="s">
        <v>434</v>
      </c>
      <c r="G124" s="2" t="s">
        <v>218</v>
      </c>
      <c r="H124" s="2" t="s">
        <v>631</v>
      </c>
      <c r="I124" s="2" t="s">
        <v>1373</v>
      </c>
      <c r="J124" s="2" t="s">
        <v>1044</v>
      </c>
      <c r="K124" s="2"/>
      <c r="L124" s="2" t="s">
        <v>1373</v>
      </c>
      <c r="M124" s="2" t="s">
        <v>251</v>
      </c>
      <c r="N124" s="2" t="s">
        <v>1374</v>
      </c>
      <c r="O124" s="2" t="s">
        <v>1375</v>
      </c>
      <c r="P124" s="2" t="s">
        <v>1376</v>
      </c>
      <c r="Q124" s="2" t="s">
        <v>1377</v>
      </c>
      <c r="R124" s="2" t="s">
        <v>1253</v>
      </c>
      <c r="S124" s="2"/>
      <c r="T124" s="2"/>
    </row>
    <row r="125" customFormat="false" ht="69.75" hidden="false" customHeight="true" outlineLevel="0" collapsed="false">
      <c r="A125" s="3" t="s">
        <v>1378</v>
      </c>
      <c r="B125" s="3" t="s">
        <v>429</v>
      </c>
      <c r="C125" s="3" t="s">
        <v>1379</v>
      </c>
      <c r="D125" s="3" t="s">
        <v>1380</v>
      </c>
      <c r="E125" s="3" t="s">
        <v>1381</v>
      </c>
      <c r="F125" s="7" t="s">
        <v>1382</v>
      </c>
      <c r="G125" s="3" t="s">
        <v>218</v>
      </c>
      <c r="H125" s="3" t="s">
        <v>631</v>
      </c>
      <c r="I125" s="3" t="s">
        <v>1383</v>
      </c>
      <c r="J125" s="3" t="s">
        <v>1384</v>
      </c>
      <c r="K125" s="3"/>
      <c r="L125" s="3"/>
      <c r="M125" s="3" t="s">
        <v>251</v>
      </c>
      <c r="N125" s="3" t="s">
        <v>1385</v>
      </c>
      <c r="O125" s="3" t="s">
        <v>1386</v>
      </c>
      <c r="P125" s="3" t="s">
        <v>1387</v>
      </c>
      <c r="Q125" s="3" t="s">
        <v>1388</v>
      </c>
      <c r="R125" s="3" t="s">
        <v>1253</v>
      </c>
      <c r="S125" s="3"/>
      <c r="T125" s="3"/>
    </row>
    <row r="126" customFormat="false" ht="69.75" hidden="false" customHeight="true" outlineLevel="0" collapsed="false">
      <c r="A126" s="2" t="s">
        <v>1389</v>
      </c>
      <c r="B126" s="2" t="s">
        <v>429</v>
      </c>
      <c r="C126" s="2" t="s">
        <v>1390</v>
      </c>
      <c r="D126" s="2" t="s">
        <v>1391</v>
      </c>
      <c r="E126" s="2" t="s">
        <v>1392</v>
      </c>
      <c r="F126" s="6" t="s">
        <v>1393</v>
      </c>
      <c r="G126" s="2" t="s">
        <v>218</v>
      </c>
      <c r="H126" s="2" t="s">
        <v>10</v>
      </c>
      <c r="I126" s="2" t="s">
        <v>1394</v>
      </c>
      <c r="J126" s="2" t="s">
        <v>1103</v>
      </c>
      <c r="K126" s="2"/>
      <c r="L126" s="2"/>
      <c r="M126" s="2" t="s">
        <v>251</v>
      </c>
      <c r="N126" s="2" t="s">
        <v>1395</v>
      </c>
      <c r="O126" s="2" t="s">
        <v>1396</v>
      </c>
      <c r="P126" s="2" t="s">
        <v>1397</v>
      </c>
      <c r="Q126" s="2" t="s">
        <v>1398</v>
      </c>
      <c r="R126" s="2" t="s">
        <v>1253</v>
      </c>
      <c r="S126" s="2"/>
      <c r="T126" s="2"/>
    </row>
    <row r="127" customFormat="false" ht="69.75" hidden="false" customHeight="true" outlineLevel="0" collapsed="false">
      <c r="A127" s="3" t="s">
        <v>1399</v>
      </c>
      <c r="B127" s="3" t="s">
        <v>429</v>
      </c>
      <c r="C127" s="3" t="s">
        <v>1400</v>
      </c>
      <c r="D127" s="3" t="s">
        <v>1391</v>
      </c>
      <c r="E127" s="3" t="s">
        <v>1401</v>
      </c>
      <c r="F127" s="7" t="s">
        <v>1402</v>
      </c>
      <c r="G127" s="3" t="s">
        <v>218</v>
      </c>
      <c r="H127" s="3" t="s">
        <v>10</v>
      </c>
      <c r="I127" s="3" t="s">
        <v>1403</v>
      </c>
      <c r="J127" s="3" t="s">
        <v>1384</v>
      </c>
      <c r="K127" s="3"/>
      <c r="L127" s="3"/>
      <c r="M127" s="3" t="s">
        <v>251</v>
      </c>
      <c r="N127" s="3" t="s">
        <v>1404</v>
      </c>
      <c r="O127" s="3" t="s">
        <v>1405</v>
      </c>
      <c r="P127" s="3" t="s">
        <v>1406</v>
      </c>
      <c r="Q127" s="3" t="s">
        <v>1407</v>
      </c>
      <c r="R127" s="3" t="s">
        <v>1253</v>
      </c>
      <c r="S127" s="3"/>
      <c r="T127" s="3"/>
    </row>
  </sheetData>
  <autoFilter ref="A1:T127"/>
  <hyperlinks>
    <hyperlink ref="F2" r:id="rId1" display="https://www.dbmoteurs.fr/sites/default/files/Volvo-Penta-tarifs-prix-achat-moteurs-2023-DB-Moteurs-motorisation-marine-bateau-plaisance.pdf"/>
    <hyperlink ref="F3" r:id="rId2" display="https://www.dbmoteurs.fr/sites/default/files/Volvo-Penta-tarifs-prix-achat-moteurs-2023-DB-Moteurs-motorisation-marine-bateau-plaisance.pdf"/>
    <hyperlink ref="F4" r:id="rId3" display="https://www.dbmoteurs.fr/sites/default/files/Volvo-Penta-tarifs-prix-achat-moteurs-2023-DB-Moteurs-motorisation-marine-bateau-plaisance.pdf"/>
    <hyperlink ref="F5" r:id="rId4" display="https://www.etruck.fi/shop-1"/>
    <hyperlink ref="F6" r:id="rId5" display="https://www.jpcdirect.com/product/fischer-panda-12000x-generator/"/>
    <hyperlink ref="F7" r:id="rId6" display="https://www.jpcdirect.com/product/kohler-12-kilowatt-generator/"/>
    <hyperlink ref="F8" r:id="rId7" display="https://www.manelservice.com/it/gruppi-elettrogeni-marini/3925-vte-paguro-12000-v-ap12023050m0.html"/>
    <hyperlink ref="F9" r:id="rId8" display="https://mmarineonline.com/products/kohler-marine-diesel-generator-24v-12efkozd-ss-50hz-with-sound-shield"/>
    <hyperlink ref="F10" r:id="rId9" display="https://www.svb.de/de/victron-wechselrichter-ladegeraet-multiplus-ii-24-v-3000-va-70-a.html"/>
    <hyperlink ref="F11" r:id="rId10" display="https://www.svb.de/de/victron-wechselrichter-ladegeraet-multiplus-ii-gx-24-v-3000-va-70-a.html"/>
    <hyperlink ref="F12" r:id="rId11" display="https://www.svb.de/de/mastervolt-wechselrichter-ladegeraet-combimaster-24-v-3000-va-60-a.html?question_sort=oldest"/>
    <hyperlink ref="F13" r:id="rId12" display="https://www.svb24.com/en/p/victron-isolation-transformer-3600-w-115-230-v.html"/>
    <hyperlink ref="F14" r:id="rId13" display="https://www.svb24.com/en/mastervolt-mass-gi-3-5-isolation-transformer-16-a-3-5-kw.html"/>
    <hyperlink ref="F15" r:id="rId14" display="https://www.hansenautic.de/36377/wp-gi-compact-galvanic-isolation-transformator-230v-16a-120v-32a/"/>
    <hyperlink ref="F16" r:id="rId15" display="https://online-batterien.de/a/exide-er550-dual-versorgungsbatterie-starterbatterie-12v-115ah-550wh/400440"/>
    <hyperlink ref="F17" r:id="rId16" display="https://www.nothnagel-marine.de/product_info.php?info=p3857_aquamot---power-battery--dc-battery-als12115-12v-115ah-agm-deep-cycle-battery.html&amp;language=en"/>
    <hyperlink ref="F18" r:id="rId17" display="https://ab-marineservice.com/product/12v-115ah-agm-telecom-batt-m8/"/>
    <hyperlink ref="F19" r:id="rId18" display="https://www.dynastart.nl/lyn060102000-lynx-distributor-m8"/>
    <hyperlink ref="F20" r:id="rId19" display="https://www.svb24.com/en/philippi-stv207-power-distribution-panel-configurable.html"/>
    <hyperlink ref="F21" r:id="rId20" display="https://www.svb24.com/en/philippi-lae-113-shore-connection-unit.html"/>
    <hyperlink ref="F22" r:id="rId21" display="https://www.svb24.com/en/blue-sea-hd-remote-battery-switch-24v.html"/>
    <hyperlink ref="F23" r:id="rId22" display="https://www.svb24.com/en/blue-sea-universal-solenoid-switch-24-v.html"/>
    <hyperlink ref="F27" r:id="rId23" display="https://www.aquatec-watermaker.de/wassermacher-produkt-ac150-ac240.html"/>
    <hyperlink ref="F28" r:id="rId24" display="https://mar-nautic.com/schenker-watermaker-zen-150"/>
    <hyperlink ref="F29" r:id="rId25" display="https://www.manelservice.com/en/marine-desalination-systems/17102-osmosea-new12-150c-nautical-watermaker-150-lth.html"/>
    <hyperlink ref="F30" r:id="rId26" display="https://www.comptoirnautique.com/groupe-d-eau-a-pressostat/53022-cem-elettromeccanica-autoclave-cem-vase-expansion-inox-20l-24v-50-l-min.html"/>
    <hyperlink ref="F31" r:id="rId27" display="https://www.comptoirnautique.com/groupe-d-eau-hydrophore/22947-gianneschi-groupe-d-eau-ecoinox-1-avec-reservoir-20l-24v-45lmin-7024.html"/>
    <hyperlink ref="F32" r:id="rId28" display="https://www.enag.fr/english/wp-content/uploads/sites/5/2022/11/FC-GH-EN-C.pdf"/>
    <hyperlink ref="F33" r:id="rId29" display="https://cempumps.com/wp-content/uploads/2024/10/Autoclavi_20L-20X.pdf"/>
    <hyperlink ref="F34" r:id="rId30" display="https://www.tyboat.com/achat/P-57388-gianneschi-groupe-d-eau-ecoinox2-3-5-bars-0-45-kw-55-litres-minute-reservoir-20-litres-230-volts.html"/>
    <hyperlink ref="F35" r:id="rId31" display="https://www.enag.fr/english/wp-content/uploads/sites/5/2022/11/FC-GH-EN-C.pdf"/>
    <hyperlink ref="F36" r:id="rId32" display="https://www.esconet.fi/shop/uc16h-thermowell-uc16h-ilmastointilaite-chiller-230v-16000btu-27518"/>
    <hyperlink ref="F37" r:id="rId33" display="https://mdislandsupply.com/en/climma/879-cws-aquacontrol-161-rc-230150-climma.html"/>
    <hyperlink ref="F38" r:id="rId34" display="https://www.nauticsale.com/en/airconditioning/bluecool-chiller-systems/bluecool-c-series-chillers/"/>
    <hyperlink ref="F39" r:id="rId35" display="https://www.tyboat.com/achat/P-8889-quick-chauffe-eau-cylindrique-b3-40-litres-220-volts-1200-watts.html"/>
    <hyperlink ref="F40" r:id="rId36" display="https://www.tyboat.com/achat/P-8880-quick-chauffe-eau-cylindrique-bx-40-litres-220-volts-1200-watts.html"/>
    <hyperlink ref="F41" r:id="rId37" display="https://www.tyboat.com/achat/P-18237-quick-chauffe-eau-cube-inox-bxs-40-litres-220-volts-1200-watts.html"/>
    <hyperlink ref="F42" r:id="rId38" display="https://www.comptoirnautique.com/climatisation-bateau/91819-frigomar-pompes-a-entrainement-magnetique.html"/>
    <hyperlink ref="F43" r:id="rId39" display="https://www.kent-marine.com/fr/produit/35262/chauffe-eau-cylindrique-40l-220v-1200w.html"/>
    <hyperlink ref="F44" r:id="rId40" display="https://www.marine-impact.com/groupe-d-eau/313-filtre-en-ligne-pumpgard-o13-mm-jabsco.html"/>
    <hyperlink ref="F45" r:id="rId41" display="https://www.vetus-shop.com/aluminium-hydraulic-tank-70-incl-ht1013-p-2024.html"/>
    <hyperlink ref="F46" r:id="rId42" display="https://www.vetus-shop.com/vetus-power-hydraulics-c-21_210.html"/>
    <hyperlink ref="F47" r:id="rId43" display="https://www.vetus-shop.com/aluminium-hydraulic-tank-70-incl-ht1013-p-2024.html"/>
    <hyperlink ref="F48" r:id="rId44" display="https://www.vetus-shop.com/aluminium-hydraulic-tank-70-incl-ht1013-p-2024.html"/>
    <hyperlink ref="F49" r:id="rId45" display="https://www.vetus-shop.com/vetus-power-hydraulics-c-21_210.html"/>
    <hyperlink ref="F50" r:id="rId46" display="https://www.vetus-shop.com/aluminium-hydraulic-tank-70-incl-ht1013-p-2024.html"/>
    <hyperlink ref="F53" r:id="rId47" display="https://racorshop.de/product/racor-75500maxm30-turbine-filter-marine/"/>
    <hyperlink ref="F54" r:id="rId48" display="https://www.vetus-shop.com/vetus-raw-water-strainer-type-330-and21632mm-p-1026.html"/>
    <hyperlink ref="F55" r:id="rId49" display="https://www.mediawinkel.eu/nl/heavy-duty-waterfilter-32-mm.html"/>
    <hyperlink ref="F56" r:id="rId50" display="https://www.mackengineering.co.uk/rule-2000-gph-bilge-pump-24v.html"/>
    <hyperlink ref="F57" r:id="rId51" display="https://www.mackengineering.co.uk/bp9005-whale-gusher-urchin-hand-pump.html"/>
    <hyperlink ref="F58" r:id="rId52" display="https://www.mackengineering.co.uk/rule-2000-gph-bilge-pump-24v.html"/>
    <hyperlink ref="F59" r:id="rId53" display="https://www.mackengineering.co.uk/35770-0094-24v-flexmount-blower.html"/>
    <hyperlink ref="F60" r:id="rId54" display="https://www.mackengineering.co.uk/marco-up3-oil-pump-24v.html"/>
    <hyperlink ref="F61" r:id="rId55" display="https://www.vetus-shop.com/vetus-fuel-tank-quickfit-diesel-40-litre-8mm-p-1786.html"/>
    <hyperlink ref="F62" r:id="rId56" display="https://www.vetus-shop.com/vetus-fuel-tank-quickfit-diesel-40-litre-8mm-p-1786.html"/>
    <hyperlink ref="F63" r:id="rId57" display="https://www.cactusnav.com/jabsco-macerator-pump-p-37922.html"/>
    <hyperlink ref="F64" r:id="rId58" display="https://www.oltrevela.com/en/31-620-55-fireboy-ma-series-automatic-manual-fire-extinguisher-13-4-kg-for-engine-rooms-and-motor-compartments-up-to-51m-uscg-and-iso-rina-approved-fireboy-4"/>
    <hyperlink ref="F65" r:id="rId59" display="https://www.standkachel.nu/webasto-air-and-water-heaters-and/webasto-waterkachels-thermotop-spheros-dbw-valeo/webasto-marine-waterheaters-for-thermo-pro-90-24-volt/webasto-thermo-chiller--pro-90-marine-24-volt-"/>
    <hyperlink ref="F66" r:id="rId60" display="https://www.butlertechnik.com/item/Webasto/Thermo-Pro-90-24v-Marine-Kit-With-Switch-91kW-4111185A/5G7"/>
    <hyperlink ref="F67" r:id="rId61" display="https://www.abma-sneek.nl/yanmar/engines-gears-drives/powerboat-engines?prod_id=650436"/>
    <hyperlink ref="F68" r:id="rId62" display="https://useddieselenginecenter.nl/yanmar-6lpam-stp2-6-lpam-stp-2-bobtail"/>
    <hyperlink ref="F70" r:id="rId63" display="https://www.jpcdirect.com/product/fischer-panda-12000x-generator/"/>
    <hyperlink ref="F71" r:id="rId64" display="https://www.nautiradar.pt/en/products/fischer-panda/panda-12000x-230v-pms-12kva-fixed-engine-speed-marine-generator"/>
    <hyperlink ref="F72" r:id="rId65" display="https://www.nautiradar.pt/en/products/fischer-panda/panda-15000i-230v-pms-12kw-230v-variable-speed-marine-generator"/>
    <hyperlink ref="F73" r:id="rId66" display="https://www.svb24.com/en/rule-heavy-duty-bilge-pump-2000-24v.html"/>
    <hyperlink ref="F74" r:id="rId67" display="https://www.svb24.com/en/whale-gusher-urchin-manual-bilge-pump-type-bp-9005.html"/>
    <hyperlink ref="F75" r:id="rId68" display="https://www.svb24.com/en/whale-gusher-30-manual-bilge-pump-surface-mounting.html"/>
    <hyperlink ref="F76" r:id="rId69" display="https://www.svb24.com/en/ocean-technologies-engine-compartment-blower-24-v-1000-m3-hour-150-mm-flex-mount.html"/>
    <hyperlink ref="F77" r:id="rId70" display="https://www.svb24.com/en/marco-up3-electric-oil-change-pump.html"/>
    <hyperlink ref="F78" r:id="rId71" display="https://www.svb24.com/en/jabsco-type-12gpm-waste-water-pump-24v.html"/>
    <hyperlink ref="F79" r:id="rId72" display="https://www.svb24.com/en/rule-rule-a-matic-plus-automatic-float-switch.html"/>
    <hyperlink ref="F80" r:id="rId73" display="https://www.svb24.com/en/johnson-pump-bilge-alert-high-water-alarm-with-ultima-switch.html"/>
    <hyperlink ref="F81" r:id="rId74" display="https://www.svb24.com/en/kus-water-fuel-sensor.html"/>
    <hyperlink ref="F82" r:id="rId75" display="https://www.nauticabasile.it/eng/osculati/fixed-fireboy-fire-extinguishers-with-clean-agent-and-manualautomatic-activation-46870/31.620.55/"/>
    <hyperlink ref="F83" r:id="rId76" display="https://www.nauticabasile.it/eng/osculati/fireboy-esc-series-automatic-engine-shutdown-systems-46872/?listRef=related"/>
    <hyperlink ref="F84" r:id="rId77" display="https://www.svb24.com/en/webasto-thermo-pro-90-marine-diesel-water-heater-24-v-9-1-kw.html"/>
    <hyperlink ref="F85" r:id="rId78" display="https://standheizung-ersatzteile.com/thermo-pro-90-24v-marine-std"/>
    <hyperlink ref="F86" r:id="rId79" display="https://www.nauticabasile.it/eng/osculati/fixed-fireboy-fire-extinguishers-with-clean-agent-and-manualautomatic-activation-46870/31.610.31/"/>
    <hyperlink ref="F87" r:id="rId80" display="https://www.svb24.com/en/ocean-technologies-engine-compartment-blower-24-v-550-m3-hour-100-mm-hose-connection.html"/>
    <hyperlink ref="F88" r:id="rId81" display="https://www.svb24.com/en/johnson-pump-ta3p10-19-macerator-pump-24v.html"/>
    <hyperlink ref="F89" r:id="rId82" display="https://www.mon-camping-car.com/convertisseur-24v-230v-phoenix-1200va-ve-direct-pur-sinus-victron.html"/>
    <hyperlink ref="F90" r:id="rId83" display="https://www.svb24.com/en/vetus-boat-battery-60-ah-to-230-ah.html"/>
    <hyperlink ref="F91" r:id="rId84" display="https://www.svb24.com/en/vetus-boat-battery-60-ah-to-230-ah.html"/>
    <hyperlink ref="F92" r:id="rId85" display="https://www.svb24.com/en/vetus-boat-battery-60-ah-to-230-ah.html"/>
    <hyperlink ref="F93" r:id="rId86" display="https://www.svb24.com/en/p/victron-isolation-transformer-3600-w-115-230-v.html"/>
    <hyperlink ref="F94" r:id="rId87" display="https://www.svb24.com/en/philippi-stv207-power-distribution-panel-configurable.html"/>
    <hyperlink ref="F95" r:id="rId88" display="https://www.svb24.com/en/philippi-lae-113-shore-connection-unit.html"/>
    <hyperlink ref="F96" r:id="rId89" display="https://www.svb24.com/en/mega-fuse-holder-in-line.html"/>
    <hyperlink ref="F97" r:id="rId90" display="https://www.svb24.com/en/blue-sea-hd-remote-battery-switch-24v.html"/>
    <hyperlink ref="F98" r:id="rId91" display="https://www.svb24.com/en/blue-sea-universal-solenoid-switch-24-v.html"/>
    <hyperlink ref="F99" r:id="rId92" display="https://www.svb24.com/en/cee-shore-power-inlet-16-a-230-v-male.html"/>
    <hyperlink ref="F100" r:id="rId93" display="https://www.svb24.com/en/mega-fuses-pack-of-5.html"/>
    <hyperlink ref="F101" r:id="rId94" display="https://www.vetus-shop.com/aluminium-hydraulic-tank-70-incl-ht1013-p-2024.html"/>
    <hyperlink ref="F102" r:id="rId95" display="https://www.vetus-shop.com/variably-adjustable-piston-pump-45cc-left-handed-saeb-flang-p-2033.html"/>
    <hyperlink ref="F103" r:id="rId96" display="https://www.vetus-shop.com/single-step-load-sensing-device-incl-electrical-connection-p-2026.html"/>
    <hyperlink ref="F104" r:id="rId97" display="https://www.vetus-shop.com/hydraulic-oil-cooler-for-hose-id-and216-32-mm-p-2050.html"/>
    <hyperlink ref="F105" r:id="rId98" display="https://www.vetus-shop.com/aluminium-hydraulic-tank-70-incl-ht1013-p-2024.html"/>
    <hyperlink ref="F106" r:id="rId99" display="https://www.vetus-shop.com/dual-step-solenoid-control-unit-24v-for-anchor-windlass-p-2043.html"/>
    <hyperlink ref="F107" r:id="rId100" display="https://www.vetus-shop.com/aluminium-hydraulic-tank-70-incl-ht1013-p-2024.html"/>
    <hyperlink ref="F108" r:id="rId101" display="https://www.tyboat.com/achat/P-8880-quick-chauffe-eau-cylindrique-bx-40-litres-220-volts-1200-watts.html"/>
    <hyperlink ref="F109" r:id="rId102" display="https://www.comptoirnautique.com/climatisation-bateau/91819-frigomar-pompes-a-entrainement-magnetique.html"/>
    <hyperlink ref="F110" r:id="rId103" display="https://www.svb24.com/en/pressure-accumulator-tank-plastic-0-7-litre-max-5-bar.html"/>
    <hyperlink ref="F111" r:id="rId104" display="https://racorshop.de/product/racor-75500maxm30-turbine-filter-marine/"/>
    <hyperlink ref="F112" r:id="rId105" display="https://www.svb24.com/en/seawater-connection-kit-19-mm.html"/>
    <hyperlink ref="F113" r:id="rId106" display="https://www.svb24.com/en/p/thermostat-mixing-valve.html"/>
    <hyperlink ref="F114" r:id="rId107" display="https://tiendadelbarco.com/en/basic/4109-isotherm-water-heater-40l-basic40-750w-220v.html"/>
    <hyperlink ref="F115" r:id="rId108" display="https://www.svb24.com/product/510125?filter=4"/>
    <hyperlink ref="F116" r:id="rId109" display="https://www.svb24.com/en/inline-activated-carbon-filter_.html"/>
    <hyperlink ref="F117" r:id="rId110" display="https://racorshop.de/product/racor-500mam10-turbine-filter-marine/"/>
    <hyperlink ref="F118" r:id="rId111" display="https://www.mediawinkel.eu/nl/heavy-duty-waterfilter-32-mm.html"/>
    <hyperlink ref="F119" r:id="rId112" display="https://flutech-marine.com/en/jabsco/jabsco-59530-0000b/"/>
    <hyperlink ref="F120" r:id="rId113" display="https://www.seashop.com/en/jabsco-59520-0000b-circulation-pump-for-hot-water-8-24v"/>
    <hyperlink ref="F121" r:id="rId114" display="https://www.12seemeilen.de/vetus-wassersammler-drehbar-typ-nlp90.html"/>
    <hyperlink ref="F122" r:id="rId115" display="https://www.aquanautique.com/fr/eau/pompes/pompe-eau-de-mer/frigomar-pompe-a-entrainement-magnetique-nh-200ps.html"/>
    <hyperlink ref="F123" r:id="rId116" display="https://www.shop-marine.com/accouplement-flexible-bullflex/accouplement-flexible-type-bullflex-16-diametre-205mm-arbre-50mm"/>
    <hyperlink ref="F124" r:id="rId117" display="https://www.svb24.com/en/pss-shaft-seal-for-50-mm-shaft.html"/>
    <hyperlink ref="F125" r:id="rId118" display="https://www.atmbmarine.com/en/moduline-b10-aquadrive/617-stop-b10-cv21-for-shaft-o-35-to-50-mm.html"/>
    <hyperlink ref="F126" r:id="rId119" display="https://mecleisure.co.uk/products/flexible-coupling-type-bullflex-32-shaft-a-50-mm-bulfl3250"/>
    <hyperlink ref="F127" r:id="rId120" display="https://www.lancingmarine.com/product/vetus/Stern-Gear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55"/>
    <col collapsed="false" customWidth="true" hidden="false" outlineLevel="0" max="5" min="4" style="0" width="23"/>
    <col collapsed="false" customWidth="true" hidden="false" outlineLevel="0" max="6" min="6" style="0" width="60"/>
    <col collapsed="false" customWidth="true" hidden="false" outlineLevel="0" max="13" min="7" style="0" width="23"/>
    <col collapsed="false" customWidth="true" hidden="false" outlineLevel="0" max="16" min="14" style="0" width="90"/>
    <col collapsed="false" customWidth="true" hidden="false" outlineLevel="0" max="20" min="17" style="0" width="23"/>
  </cols>
  <sheetData>
    <row r="1" customFormat="false" ht="45" hidden="false" customHeight="true" outlineLevel="0" collapsed="false">
      <c r="A1" s="1" t="s">
        <v>607</v>
      </c>
      <c r="B1" s="1" t="s">
        <v>608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619</v>
      </c>
      <c r="N1" s="1" t="s">
        <v>620</v>
      </c>
      <c r="O1" s="1" t="s">
        <v>621</v>
      </c>
      <c r="P1" s="1" t="s">
        <v>622</v>
      </c>
      <c r="Q1" s="1" t="s">
        <v>623</v>
      </c>
      <c r="R1" s="1" t="s">
        <v>624</v>
      </c>
      <c r="S1" s="1" t="s">
        <v>625</v>
      </c>
      <c r="T1" s="1" t="s">
        <v>626</v>
      </c>
    </row>
    <row r="2" customFormat="false" ht="69.75" hidden="false" customHeight="true" outlineLevel="0" collapsed="false">
      <c r="A2" s="2" t="s">
        <v>379</v>
      </c>
      <c r="B2" s="2" t="s">
        <v>377</v>
      </c>
      <c r="C2" s="2" t="s">
        <v>378</v>
      </c>
      <c r="D2" s="2" t="s">
        <v>1041</v>
      </c>
      <c r="E2" s="2" t="s">
        <v>1042</v>
      </c>
      <c r="F2" s="6" t="s">
        <v>382</v>
      </c>
      <c r="G2" s="2" t="s">
        <v>218</v>
      </c>
      <c r="H2" s="2" t="s">
        <v>631</v>
      </c>
      <c r="I2" s="2" t="s">
        <v>1043</v>
      </c>
      <c r="J2" s="2" t="s">
        <v>1044</v>
      </c>
      <c r="K2" s="2"/>
      <c r="L2" s="2" t="s">
        <v>1043</v>
      </c>
      <c r="M2" s="2" t="s">
        <v>531</v>
      </c>
      <c r="N2" s="2" t="s">
        <v>1045</v>
      </c>
      <c r="O2" s="2" t="s">
        <v>1046</v>
      </c>
      <c r="P2" s="2" t="s">
        <v>1047</v>
      </c>
      <c r="Q2" s="2" t="s">
        <v>1048</v>
      </c>
      <c r="R2" s="2" t="s">
        <v>1049</v>
      </c>
      <c r="S2" s="2"/>
      <c r="T2" s="2"/>
    </row>
    <row r="3" customFormat="false" ht="69.75" hidden="false" customHeight="true" outlineLevel="0" collapsed="false">
      <c r="A3" s="3" t="s">
        <v>385</v>
      </c>
      <c r="B3" s="3" t="s">
        <v>377</v>
      </c>
      <c r="C3" s="3" t="s">
        <v>384</v>
      </c>
      <c r="D3" s="3" t="s">
        <v>1050</v>
      </c>
      <c r="E3" s="3" t="s">
        <v>1042</v>
      </c>
      <c r="F3" s="7" t="s">
        <v>387</v>
      </c>
      <c r="G3" s="3" t="s">
        <v>218</v>
      </c>
      <c r="H3" s="3" t="s">
        <v>631</v>
      </c>
      <c r="I3" s="3" t="s">
        <v>1051</v>
      </c>
      <c r="J3" s="3" t="s">
        <v>1044</v>
      </c>
      <c r="K3" s="3"/>
      <c r="L3" s="3" t="s">
        <v>1051</v>
      </c>
      <c r="M3" s="3" t="s">
        <v>531</v>
      </c>
      <c r="N3" s="3" t="s">
        <v>1052</v>
      </c>
      <c r="O3" s="3" t="s">
        <v>1053</v>
      </c>
      <c r="P3" s="3" t="s">
        <v>1054</v>
      </c>
      <c r="Q3" s="3" t="s">
        <v>1048</v>
      </c>
      <c r="R3" s="3" t="s">
        <v>1049</v>
      </c>
      <c r="S3" s="3"/>
      <c r="T3" s="3"/>
    </row>
    <row r="4" customFormat="false" ht="69.75" hidden="false" customHeight="true" outlineLevel="0" collapsed="false">
      <c r="A4" s="2" t="s">
        <v>1055</v>
      </c>
      <c r="B4" s="2" t="s">
        <v>377</v>
      </c>
      <c r="C4" s="2" t="s">
        <v>1056</v>
      </c>
      <c r="D4" s="2" t="s">
        <v>1057</v>
      </c>
      <c r="E4" s="2" t="s">
        <v>1042</v>
      </c>
      <c r="F4" s="6" t="s">
        <v>1058</v>
      </c>
      <c r="G4" s="2" t="s">
        <v>218</v>
      </c>
      <c r="H4" s="2" t="s">
        <v>631</v>
      </c>
      <c r="I4" s="2" t="s">
        <v>1059</v>
      </c>
      <c r="J4" s="2" t="s">
        <v>1044</v>
      </c>
      <c r="K4" s="2"/>
      <c r="L4" s="2" t="s">
        <v>1059</v>
      </c>
      <c r="M4" s="2" t="s">
        <v>531</v>
      </c>
      <c r="N4" s="2" t="s">
        <v>1060</v>
      </c>
      <c r="O4" s="2" t="s">
        <v>1061</v>
      </c>
      <c r="P4" s="2" t="s">
        <v>1062</v>
      </c>
      <c r="Q4" s="2" t="s">
        <v>1048</v>
      </c>
      <c r="R4" s="2" t="s">
        <v>1049</v>
      </c>
      <c r="S4" s="2"/>
      <c r="T4" s="2"/>
    </row>
    <row r="5" customFormat="false" ht="69.75" hidden="false" customHeight="true" outlineLevel="0" collapsed="false">
      <c r="A5" s="3" t="s">
        <v>353</v>
      </c>
      <c r="B5" s="3" t="s">
        <v>351</v>
      </c>
      <c r="C5" s="3" t="s">
        <v>352</v>
      </c>
      <c r="D5" s="3" t="s">
        <v>1063</v>
      </c>
      <c r="E5" s="3" t="s">
        <v>1042</v>
      </c>
      <c r="F5" s="7" t="s">
        <v>356</v>
      </c>
      <c r="G5" s="3" t="s">
        <v>218</v>
      </c>
      <c r="H5" s="3" t="s">
        <v>631</v>
      </c>
      <c r="I5" s="3" t="s">
        <v>1064</v>
      </c>
      <c r="J5" s="3" t="s">
        <v>1044</v>
      </c>
      <c r="K5" s="3"/>
      <c r="L5" s="3" t="s">
        <v>1064</v>
      </c>
      <c r="M5" s="3" t="s">
        <v>531</v>
      </c>
      <c r="N5" s="3" t="s">
        <v>1065</v>
      </c>
      <c r="O5" s="3" t="s">
        <v>1066</v>
      </c>
      <c r="P5" s="3" t="s">
        <v>1067</v>
      </c>
      <c r="Q5" s="3" t="s">
        <v>1048</v>
      </c>
      <c r="R5" s="3" t="s">
        <v>1049</v>
      </c>
      <c r="S5" s="3"/>
      <c r="T5" s="3"/>
    </row>
    <row r="6" customFormat="false" ht="69.75" hidden="false" customHeight="true" outlineLevel="0" collapsed="false">
      <c r="A6" s="2" t="s">
        <v>360</v>
      </c>
      <c r="B6" s="2" t="s">
        <v>358</v>
      </c>
      <c r="C6" s="2" t="s">
        <v>359</v>
      </c>
      <c r="D6" s="2" t="s">
        <v>1068</v>
      </c>
      <c r="E6" s="2" t="s">
        <v>1042</v>
      </c>
      <c r="F6" s="6" t="s">
        <v>363</v>
      </c>
      <c r="G6" s="2" t="s">
        <v>218</v>
      </c>
      <c r="H6" s="2" t="s">
        <v>631</v>
      </c>
      <c r="I6" s="2" t="s">
        <v>1069</v>
      </c>
      <c r="J6" s="2" t="s">
        <v>1044</v>
      </c>
      <c r="K6" s="2"/>
      <c r="L6" s="2" t="s">
        <v>1069</v>
      </c>
      <c r="M6" s="2" t="s">
        <v>531</v>
      </c>
      <c r="N6" s="2" t="s">
        <v>1070</v>
      </c>
      <c r="O6" s="2" t="s">
        <v>1071</v>
      </c>
      <c r="P6" s="2" t="s">
        <v>1072</v>
      </c>
      <c r="Q6" s="2" t="s">
        <v>1048</v>
      </c>
      <c r="R6" s="2" t="s">
        <v>1049</v>
      </c>
      <c r="S6" s="2"/>
      <c r="T6" s="2"/>
    </row>
    <row r="7" customFormat="false" ht="69.75" hidden="false" customHeight="true" outlineLevel="0" collapsed="false">
      <c r="A7" s="3" t="s">
        <v>418</v>
      </c>
      <c r="B7" s="3" t="s">
        <v>416</v>
      </c>
      <c r="C7" s="3" t="s">
        <v>417</v>
      </c>
      <c r="D7" s="3" t="s">
        <v>1073</v>
      </c>
      <c r="E7" s="3" t="s">
        <v>1042</v>
      </c>
      <c r="F7" s="7" t="s">
        <v>420</v>
      </c>
      <c r="G7" s="3" t="s">
        <v>218</v>
      </c>
      <c r="H7" s="3" t="s">
        <v>631</v>
      </c>
      <c r="I7" s="3" t="s">
        <v>1074</v>
      </c>
      <c r="J7" s="3" t="s">
        <v>1044</v>
      </c>
      <c r="K7" s="3"/>
      <c r="L7" s="3" t="s">
        <v>1074</v>
      </c>
      <c r="M7" s="3" t="s">
        <v>531</v>
      </c>
      <c r="N7" s="3" t="s">
        <v>1075</v>
      </c>
      <c r="O7" s="3" t="s">
        <v>1076</v>
      </c>
      <c r="P7" s="3" t="s">
        <v>1077</v>
      </c>
      <c r="Q7" s="3" t="s">
        <v>1048</v>
      </c>
      <c r="R7" s="3" t="s">
        <v>1049</v>
      </c>
      <c r="S7" s="3"/>
      <c r="T7" s="3"/>
    </row>
    <row r="8" customFormat="false" ht="69.75" hidden="false" customHeight="true" outlineLevel="0" collapsed="false">
      <c r="A8" s="2" t="s">
        <v>532</v>
      </c>
      <c r="B8" s="2" t="s">
        <v>377</v>
      </c>
      <c r="C8" s="2" t="s">
        <v>530</v>
      </c>
      <c r="D8" s="2" t="s">
        <v>1078</v>
      </c>
      <c r="E8" s="2" t="s">
        <v>1042</v>
      </c>
      <c r="F8" s="6" t="s">
        <v>535</v>
      </c>
      <c r="G8" s="2" t="s">
        <v>218</v>
      </c>
      <c r="H8" s="2" t="s">
        <v>631</v>
      </c>
      <c r="I8" s="2" t="s">
        <v>1079</v>
      </c>
      <c r="J8" s="2" t="s">
        <v>1044</v>
      </c>
      <c r="K8" s="2"/>
      <c r="L8" s="2" t="s">
        <v>1079</v>
      </c>
      <c r="M8" s="2" t="s">
        <v>531</v>
      </c>
      <c r="N8" s="2" t="s">
        <v>1080</v>
      </c>
      <c r="O8" s="2" t="s">
        <v>1081</v>
      </c>
      <c r="P8" s="2" t="s">
        <v>1082</v>
      </c>
      <c r="Q8" s="2" t="s">
        <v>1083</v>
      </c>
      <c r="R8" s="2" t="s">
        <v>1049</v>
      </c>
      <c r="S8" s="2"/>
      <c r="T8" s="2"/>
    </row>
    <row r="9" customFormat="false" ht="69.75" hidden="false" customHeight="true" outlineLevel="0" collapsed="false">
      <c r="A9" s="3" t="s">
        <v>390</v>
      </c>
      <c r="B9" s="3" t="s">
        <v>377</v>
      </c>
      <c r="C9" s="3" t="s">
        <v>389</v>
      </c>
      <c r="D9" s="3" t="s">
        <v>1084</v>
      </c>
      <c r="E9" s="3" t="s">
        <v>1042</v>
      </c>
      <c r="F9" s="7" t="s">
        <v>392</v>
      </c>
      <c r="G9" s="3" t="s">
        <v>218</v>
      </c>
      <c r="H9" s="3" t="s">
        <v>631</v>
      </c>
      <c r="I9" s="3" t="s">
        <v>1085</v>
      </c>
      <c r="J9" s="3" t="s">
        <v>1044</v>
      </c>
      <c r="K9" s="3"/>
      <c r="L9" s="3" t="s">
        <v>1085</v>
      </c>
      <c r="M9" s="3" t="s">
        <v>531</v>
      </c>
      <c r="N9" s="3" t="s">
        <v>1086</v>
      </c>
      <c r="O9" s="3" t="s">
        <v>1087</v>
      </c>
      <c r="P9" s="3" t="s">
        <v>1088</v>
      </c>
      <c r="Q9" s="3" t="s">
        <v>1083</v>
      </c>
      <c r="R9" s="3" t="s">
        <v>1049</v>
      </c>
      <c r="S9" s="3"/>
      <c r="T9" s="3"/>
    </row>
    <row r="10" customFormat="false" ht="69.75" hidden="false" customHeight="true" outlineLevel="0" collapsed="false">
      <c r="A10" s="2" t="s">
        <v>1089</v>
      </c>
      <c r="B10" s="2" t="s">
        <v>409</v>
      </c>
      <c r="C10" s="2" t="s">
        <v>1090</v>
      </c>
      <c r="D10" s="2" t="s">
        <v>1091</v>
      </c>
      <c r="E10" s="2" t="s">
        <v>1042</v>
      </c>
      <c r="F10" s="6" t="s">
        <v>1092</v>
      </c>
      <c r="G10" s="2" t="s">
        <v>218</v>
      </c>
      <c r="H10" s="2" t="s">
        <v>631</v>
      </c>
      <c r="I10" s="2" t="s">
        <v>1093</v>
      </c>
      <c r="J10" s="2" t="s">
        <v>1044</v>
      </c>
      <c r="K10" s="2"/>
      <c r="L10" s="2" t="s">
        <v>1093</v>
      </c>
      <c r="M10" s="2" t="s">
        <v>531</v>
      </c>
      <c r="N10" s="2" t="s">
        <v>1094</v>
      </c>
      <c r="O10" s="2" t="s">
        <v>1095</v>
      </c>
      <c r="P10" s="2" t="s">
        <v>1096</v>
      </c>
      <c r="Q10" s="2" t="s">
        <v>1083</v>
      </c>
      <c r="R10" s="2" t="s">
        <v>1049</v>
      </c>
      <c r="S10" s="2"/>
      <c r="T10" s="2"/>
    </row>
    <row r="11" customFormat="false" ht="69.75" hidden="false" customHeight="true" outlineLevel="0" collapsed="false">
      <c r="A11" s="3" t="s">
        <v>1097</v>
      </c>
      <c r="B11" s="3" t="s">
        <v>394</v>
      </c>
      <c r="C11" s="3" t="s">
        <v>1098</v>
      </c>
      <c r="D11" s="3" t="s">
        <v>1099</v>
      </c>
      <c r="E11" s="3" t="s">
        <v>1100</v>
      </c>
      <c r="F11" s="7" t="s">
        <v>1101</v>
      </c>
      <c r="G11" s="3" t="s">
        <v>218</v>
      </c>
      <c r="H11" s="3" t="s">
        <v>631</v>
      </c>
      <c r="I11" s="3" t="s">
        <v>1102</v>
      </c>
      <c r="J11" s="3" t="s">
        <v>1103</v>
      </c>
      <c r="K11" s="3"/>
      <c r="L11" s="3"/>
      <c r="M11" s="3" t="s">
        <v>531</v>
      </c>
      <c r="N11" s="3" t="s">
        <v>1104</v>
      </c>
      <c r="O11" s="3" t="s">
        <v>1105</v>
      </c>
      <c r="P11" s="3" t="s">
        <v>1106</v>
      </c>
      <c r="Q11" s="3" t="s">
        <v>1107</v>
      </c>
      <c r="R11" s="3" t="s">
        <v>1049</v>
      </c>
      <c r="S11" s="3"/>
      <c r="T11" s="3"/>
    </row>
    <row r="12" customFormat="false" ht="69.75" hidden="false" customHeight="true" outlineLevel="0" collapsed="false">
      <c r="A12" s="2" t="s">
        <v>540</v>
      </c>
      <c r="B12" s="2" t="s">
        <v>394</v>
      </c>
      <c r="C12" s="2" t="s">
        <v>539</v>
      </c>
      <c r="D12" s="2" t="s">
        <v>1108</v>
      </c>
      <c r="E12" s="2" t="s">
        <v>1100</v>
      </c>
      <c r="F12" s="6" t="s">
        <v>543</v>
      </c>
      <c r="G12" s="2" t="s">
        <v>218</v>
      </c>
      <c r="H12" s="2" t="s">
        <v>631</v>
      </c>
      <c r="I12" s="2" t="s">
        <v>1109</v>
      </c>
      <c r="J12" s="2" t="s">
        <v>1103</v>
      </c>
      <c r="K12" s="2"/>
      <c r="L12" s="2"/>
      <c r="M12" s="2" t="s">
        <v>531</v>
      </c>
      <c r="N12" s="2" t="s">
        <v>1110</v>
      </c>
      <c r="O12" s="2" t="s">
        <v>1111</v>
      </c>
      <c r="P12" s="2" t="s">
        <v>1112</v>
      </c>
      <c r="Q12" s="2" t="s">
        <v>1113</v>
      </c>
      <c r="R12" s="2" t="s">
        <v>1049</v>
      </c>
      <c r="S12" s="2"/>
      <c r="T12" s="2"/>
    </row>
    <row r="13" customFormat="false" ht="69.75" hidden="false" customHeight="true" outlineLevel="0" collapsed="false">
      <c r="A13" s="3" t="s">
        <v>549</v>
      </c>
      <c r="B13" s="3" t="s">
        <v>547</v>
      </c>
      <c r="C13" s="3" t="s">
        <v>548</v>
      </c>
      <c r="D13" s="3" t="s">
        <v>1114</v>
      </c>
      <c r="E13" s="3" t="s">
        <v>1042</v>
      </c>
      <c r="F13" s="7" t="s">
        <v>552</v>
      </c>
      <c r="G13" s="3" t="s">
        <v>218</v>
      </c>
      <c r="H13" s="3" t="s">
        <v>631</v>
      </c>
      <c r="I13" s="3" t="s">
        <v>1115</v>
      </c>
      <c r="J13" s="3" t="s">
        <v>1044</v>
      </c>
      <c r="K13" s="3"/>
      <c r="L13" s="3" t="s">
        <v>1115</v>
      </c>
      <c r="M13" s="3" t="s">
        <v>531</v>
      </c>
      <c r="N13" s="3" t="s">
        <v>1116</v>
      </c>
      <c r="O13" s="3" t="s">
        <v>1117</v>
      </c>
      <c r="P13" s="3" t="s">
        <v>1118</v>
      </c>
      <c r="Q13" s="3" t="s">
        <v>1083</v>
      </c>
      <c r="R13" s="3" t="s">
        <v>1049</v>
      </c>
      <c r="S13" s="3"/>
      <c r="T13" s="3"/>
    </row>
    <row r="14" customFormat="false" ht="69.75" hidden="false" customHeight="true" outlineLevel="0" collapsed="false">
      <c r="A14" s="2" t="s">
        <v>1119</v>
      </c>
      <c r="B14" s="2" t="s">
        <v>547</v>
      </c>
      <c r="C14" s="2" t="s">
        <v>1120</v>
      </c>
      <c r="D14" s="2" t="s">
        <v>1121</v>
      </c>
      <c r="E14" s="2" t="s">
        <v>1122</v>
      </c>
      <c r="F14" s="6" t="s">
        <v>1123</v>
      </c>
      <c r="G14" s="2" t="s">
        <v>218</v>
      </c>
      <c r="H14" s="2" t="s">
        <v>631</v>
      </c>
      <c r="I14" s="2" t="s">
        <v>1124</v>
      </c>
      <c r="J14" s="2" t="s">
        <v>1103</v>
      </c>
      <c r="K14" s="2" t="s">
        <v>689</v>
      </c>
      <c r="L14" s="2" t="s">
        <v>1125</v>
      </c>
      <c r="M14" s="2" t="s">
        <v>531</v>
      </c>
      <c r="N14" s="2" t="s">
        <v>1126</v>
      </c>
      <c r="O14" s="2" t="s">
        <v>1127</v>
      </c>
      <c r="P14" s="2" t="s">
        <v>1128</v>
      </c>
      <c r="Q14" s="2" t="s">
        <v>1129</v>
      </c>
      <c r="R14" s="2" t="s">
        <v>1049</v>
      </c>
      <c r="S14" s="2"/>
      <c r="T14" s="2"/>
    </row>
    <row r="15" customFormat="false" ht="69.75" hidden="false" customHeight="true" outlineLevel="0" collapsed="false">
      <c r="A15" s="3" t="s">
        <v>396</v>
      </c>
      <c r="B15" s="3" t="s">
        <v>394</v>
      </c>
      <c r="C15" s="3" t="s">
        <v>395</v>
      </c>
      <c r="D15" s="3" t="s">
        <v>1130</v>
      </c>
      <c r="E15" s="3" t="s">
        <v>1100</v>
      </c>
      <c r="F15" s="7" t="s">
        <v>399</v>
      </c>
      <c r="G15" s="3" t="s">
        <v>218</v>
      </c>
      <c r="H15" s="3" t="s">
        <v>631</v>
      </c>
      <c r="I15" s="3" t="s">
        <v>1131</v>
      </c>
      <c r="J15" s="3" t="s">
        <v>1103</v>
      </c>
      <c r="K15" s="3"/>
      <c r="L15" s="3"/>
      <c r="M15" s="3" t="s">
        <v>531</v>
      </c>
      <c r="N15" s="3" t="s">
        <v>1104</v>
      </c>
      <c r="O15" s="3" t="s">
        <v>1105</v>
      </c>
      <c r="P15" s="3" t="s">
        <v>1132</v>
      </c>
      <c r="Q15" s="3" t="s">
        <v>1133</v>
      </c>
      <c r="R15" s="3" t="s">
        <v>1049</v>
      </c>
      <c r="S15" s="3"/>
      <c r="T15" s="3"/>
    </row>
    <row r="16" customFormat="false" ht="69.75" hidden="false" customHeight="true" outlineLevel="0" collapsed="false">
      <c r="A16" s="2" t="s">
        <v>1134</v>
      </c>
      <c r="B16" s="2" t="s">
        <v>351</v>
      </c>
      <c r="C16" s="2" t="s">
        <v>1135</v>
      </c>
      <c r="D16" s="2" t="s">
        <v>1136</v>
      </c>
      <c r="E16" s="2" t="s">
        <v>1042</v>
      </c>
      <c r="F16" s="6" t="s">
        <v>1137</v>
      </c>
      <c r="G16" s="2" t="s">
        <v>218</v>
      </c>
      <c r="H16" s="2" t="s">
        <v>631</v>
      </c>
      <c r="I16" s="2" t="s">
        <v>1138</v>
      </c>
      <c r="J16" s="2" t="s">
        <v>1044</v>
      </c>
      <c r="K16" s="2"/>
      <c r="L16" s="2" t="s">
        <v>1138</v>
      </c>
      <c r="M16" s="2" t="s">
        <v>531</v>
      </c>
      <c r="N16" s="2" t="s">
        <v>1065</v>
      </c>
      <c r="O16" s="2" t="s">
        <v>1066</v>
      </c>
      <c r="P16" s="2" t="s">
        <v>1139</v>
      </c>
      <c r="Q16" s="2" t="s">
        <v>1048</v>
      </c>
      <c r="R16" s="2" t="s">
        <v>1049</v>
      </c>
      <c r="S16" s="2"/>
      <c r="T16" s="2"/>
    </row>
    <row r="17" customFormat="false" ht="69.75" hidden="false" customHeight="true" outlineLevel="0" collapsed="false">
      <c r="A17" s="3" t="s">
        <v>1140</v>
      </c>
      <c r="B17" s="3" t="s">
        <v>416</v>
      </c>
      <c r="C17" s="3" t="s">
        <v>1141</v>
      </c>
      <c r="D17" s="3" t="s">
        <v>1142</v>
      </c>
      <c r="E17" s="3" t="s">
        <v>1042</v>
      </c>
      <c r="F17" s="7" t="s">
        <v>1143</v>
      </c>
      <c r="G17" s="3" t="s">
        <v>218</v>
      </c>
      <c r="H17" s="3" t="s">
        <v>631</v>
      </c>
      <c r="I17" s="3" t="s">
        <v>1144</v>
      </c>
      <c r="J17" s="3" t="s">
        <v>1044</v>
      </c>
      <c r="K17" s="3"/>
      <c r="L17" s="3" t="s">
        <v>1144</v>
      </c>
      <c r="M17" s="3" t="s">
        <v>531</v>
      </c>
      <c r="N17" s="3" t="s">
        <v>1075</v>
      </c>
      <c r="O17" s="3" t="s">
        <v>1076</v>
      </c>
      <c r="P17" s="3" t="s">
        <v>1077</v>
      </c>
      <c r="Q17" s="3" t="s">
        <v>1048</v>
      </c>
      <c r="R17" s="3" t="s">
        <v>1049</v>
      </c>
      <c r="S17" s="3"/>
      <c r="T17" s="3"/>
    </row>
    <row r="18" customFormat="false" ht="69.75" hidden="false" customHeight="true" outlineLevel="0" collapsed="false">
      <c r="A18" s="2" t="s">
        <v>440</v>
      </c>
      <c r="B18" s="2" t="s">
        <v>438</v>
      </c>
      <c r="C18" s="2" t="s">
        <v>439</v>
      </c>
      <c r="D18" s="2" t="s">
        <v>1145</v>
      </c>
      <c r="E18" s="2" t="s">
        <v>1146</v>
      </c>
      <c r="F18" s="6" t="s">
        <v>443</v>
      </c>
      <c r="G18" s="2" t="s">
        <v>218</v>
      </c>
      <c r="H18" s="2" t="s">
        <v>631</v>
      </c>
      <c r="I18" s="2" t="s">
        <v>1147</v>
      </c>
      <c r="J18" s="2" t="s">
        <v>1103</v>
      </c>
      <c r="K18" s="2"/>
      <c r="L18" s="2"/>
      <c r="M18" s="2" t="s">
        <v>180</v>
      </c>
      <c r="N18" s="2" t="s">
        <v>1148</v>
      </c>
      <c r="O18" s="2" t="s">
        <v>1149</v>
      </c>
      <c r="P18" s="2" t="s">
        <v>1150</v>
      </c>
      <c r="Q18" s="2" t="s">
        <v>1151</v>
      </c>
      <c r="R18" s="2" t="s">
        <v>1152</v>
      </c>
      <c r="S18" s="2"/>
      <c r="T18" s="2"/>
    </row>
    <row r="19" customFormat="false" ht="69.75" hidden="false" customHeight="true" outlineLevel="0" collapsed="false">
      <c r="A19" s="3" t="s">
        <v>216</v>
      </c>
      <c r="B19" s="3" t="s">
        <v>214</v>
      </c>
      <c r="C19" s="3" t="s">
        <v>215</v>
      </c>
      <c r="D19" s="3" t="s">
        <v>1153</v>
      </c>
      <c r="E19" s="3" t="s">
        <v>1154</v>
      </c>
      <c r="F19" s="7" t="s">
        <v>219</v>
      </c>
      <c r="G19" s="3" t="s">
        <v>218</v>
      </c>
      <c r="H19" s="3" t="s">
        <v>631</v>
      </c>
      <c r="I19" s="3" t="s">
        <v>1144</v>
      </c>
      <c r="J19" s="3" t="s">
        <v>1044</v>
      </c>
      <c r="K19" s="3"/>
      <c r="L19" s="3" t="s">
        <v>1144</v>
      </c>
      <c r="M19" s="3" t="s">
        <v>180</v>
      </c>
      <c r="N19" s="3" t="s">
        <v>1155</v>
      </c>
      <c r="O19" s="3" t="s">
        <v>1156</v>
      </c>
      <c r="P19" s="3" t="s">
        <v>1157</v>
      </c>
      <c r="Q19" s="3" t="s">
        <v>1158</v>
      </c>
      <c r="R19" s="3" t="s">
        <v>1152</v>
      </c>
      <c r="S19" s="3"/>
      <c r="T19" s="3"/>
    </row>
    <row r="20" customFormat="false" ht="69.75" hidden="false" customHeight="true" outlineLevel="0" collapsed="false">
      <c r="A20" s="2" t="s">
        <v>223</v>
      </c>
      <c r="B20" s="2" t="s">
        <v>221</v>
      </c>
      <c r="C20" s="2" t="s">
        <v>222</v>
      </c>
      <c r="D20" s="2" t="s">
        <v>1159</v>
      </c>
      <c r="E20" s="2" t="s">
        <v>1154</v>
      </c>
      <c r="F20" s="6" t="s">
        <v>219</v>
      </c>
      <c r="G20" s="2" t="s">
        <v>218</v>
      </c>
      <c r="H20" s="2" t="s">
        <v>631</v>
      </c>
      <c r="I20" s="2" t="s">
        <v>1160</v>
      </c>
      <c r="J20" s="2" t="s">
        <v>1044</v>
      </c>
      <c r="K20" s="2"/>
      <c r="L20" s="2" t="s">
        <v>1160</v>
      </c>
      <c r="M20" s="2" t="s">
        <v>180</v>
      </c>
      <c r="N20" s="2" t="s">
        <v>1161</v>
      </c>
      <c r="O20" s="2" t="s">
        <v>1162</v>
      </c>
      <c r="P20" s="2" t="s">
        <v>1163</v>
      </c>
      <c r="Q20" s="2" t="s">
        <v>1164</v>
      </c>
      <c r="R20" s="2" t="s">
        <v>1152</v>
      </c>
      <c r="S20" s="2"/>
      <c r="T20" s="2"/>
    </row>
    <row r="21" customFormat="false" ht="69.75" hidden="false" customHeight="true" outlineLevel="0" collapsed="false">
      <c r="A21" s="3" t="s">
        <v>1165</v>
      </c>
      <c r="B21" s="3" t="s">
        <v>221</v>
      </c>
      <c r="C21" s="3" t="s">
        <v>1166</v>
      </c>
      <c r="D21" s="3" t="s">
        <v>1167</v>
      </c>
      <c r="E21" s="3" t="s">
        <v>1154</v>
      </c>
      <c r="F21" s="7" t="s">
        <v>219</v>
      </c>
      <c r="G21" s="3" t="s">
        <v>218</v>
      </c>
      <c r="H21" s="3" t="s">
        <v>631</v>
      </c>
      <c r="I21" s="3" t="s">
        <v>1168</v>
      </c>
      <c r="J21" s="3" t="s">
        <v>1044</v>
      </c>
      <c r="K21" s="3"/>
      <c r="L21" s="3" t="s">
        <v>1168</v>
      </c>
      <c r="M21" s="3" t="s">
        <v>180</v>
      </c>
      <c r="N21" s="3" t="s">
        <v>1169</v>
      </c>
      <c r="O21" s="3" t="s">
        <v>1162</v>
      </c>
      <c r="P21" s="3" t="s">
        <v>1170</v>
      </c>
      <c r="Q21" s="3" t="s">
        <v>1171</v>
      </c>
      <c r="R21" s="3" t="s">
        <v>1152</v>
      </c>
      <c r="S21" s="3"/>
      <c r="T21" s="3"/>
    </row>
    <row r="22" customFormat="false" ht="69.75" hidden="false" customHeight="true" outlineLevel="0" collapsed="false">
      <c r="A22" s="2" t="s">
        <v>1172</v>
      </c>
      <c r="B22" s="2" t="s">
        <v>185</v>
      </c>
      <c r="C22" s="2" t="s">
        <v>1173</v>
      </c>
      <c r="D22" s="2" t="s">
        <v>1174</v>
      </c>
      <c r="E22" s="2" t="s">
        <v>1154</v>
      </c>
      <c r="F22" s="6" t="s">
        <v>190</v>
      </c>
      <c r="G22" s="2" t="s">
        <v>218</v>
      </c>
      <c r="H22" s="2" t="s">
        <v>631</v>
      </c>
      <c r="I22" s="2" t="s">
        <v>703</v>
      </c>
      <c r="J22" s="2" t="s">
        <v>1044</v>
      </c>
      <c r="K22" s="2"/>
      <c r="L22" s="2" t="s">
        <v>703</v>
      </c>
      <c r="M22" s="2" t="s">
        <v>180</v>
      </c>
      <c r="N22" s="2" t="s">
        <v>1175</v>
      </c>
      <c r="O22" s="2" t="s">
        <v>1176</v>
      </c>
      <c r="P22" s="2" t="s">
        <v>1177</v>
      </c>
      <c r="Q22" s="2" t="s">
        <v>1178</v>
      </c>
      <c r="R22" s="2" t="s">
        <v>1152</v>
      </c>
      <c r="S22" s="2"/>
      <c r="T22" s="2"/>
    </row>
    <row r="23" customFormat="false" ht="69.75" hidden="false" customHeight="true" outlineLevel="0" collapsed="false">
      <c r="A23" s="3" t="s">
        <v>449</v>
      </c>
      <c r="B23" s="3" t="s">
        <v>447</v>
      </c>
      <c r="C23" s="3" t="s">
        <v>448</v>
      </c>
      <c r="D23" s="3" t="s">
        <v>1179</v>
      </c>
      <c r="E23" s="3" t="s">
        <v>1154</v>
      </c>
      <c r="F23" s="7" t="s">
        <v>452</v>
      </c>
      <c r="G23" s="3" t="s">
        <v>218</v>
      </c>
      <c r="H23" s="3" t="s">
        <v>631</v>
      </c>
      <c r="I23" s="3" t="s">
        <v>742</v>
      </c>
      <c r="J23" s="3" t="s">
        <v>1044</v>
      </c>
      <c r="K23" s="3"/>
      <c r="L23" s="3" t="s">
        <v>742</v>
      </c>
      <c r="M23" s="3" t="s">
        <v>180</v>
      </c>
      <c r="N23" s="3" t="s">
        <v>1180</v>
      </c>
      <c r="O23" s="3" t="s">
        <v>1181</v>
      </c>
      <c r="P23" s="3" t="s">
        <v>1182</v>
      </c>
      <c r="Q23" s="3" t="s">
        <v>1183</v>
      </c>
      <c r="R23" s="3" t="s">
        <v>1152</v>
      </c>
      <c r="S23" s="3"/>
      <c r="T23" s="3"/>
    </row>
    <row r="24" customFormat="false" ht="69.75" hidden="false" customHeight="true" outlineLevel="0" collapsed="false">
      <c r="A24" s="2" t="s">
        <v>457</v>
      </c>
      <c r="B24" s="2" t="s">
        <v>447</v>
      </c>
      <c r="C24" s="2" t="s">
        <v>456</v>
      </c>
      <c r="D24" s="2" t="s">
        <v>1184</v>
      </c>
      <c r="E24" s="2" t="s">
        <v>1154</v>
      </c>
      <c r="F24" s="6" t="s">
        <v>460</v>
      </c>
      <c r="G24" s="2" t="s">
        <v>218</v>
      </c>
      <c r="H24" s="2" t="s">
        <v>631</v>
      </c>
      <c r="I24" s="2" t="s">
        <v>747</v>
      </c>
      <c r="J24" s="2" t="s">
        <v>1044</v>
      </c>
      <c r="K24" s="2"/>
      <c r="L24" s="2" t="s">
        <v>747</v>
      </c>
      <c r="M24" s="2" t="s">
        <v>180</v>
      </c>
      <c r="N24" s="2" t="s">
        <v>1185</v>
      </c>
      <c r="O24" s="2" t="s">
        <v>1186</v>
      </c>
      <c r="P24" s="2" t="s">
        <v>1187</v>
      </c>
      <c r="Q24" s="2" t="s">
        <v>1188</v>
      </c>
      <c r="R24" s="2" t="s">
        <v>1152</v>
      </c>
      <c r="S24" s="2"/>
      <c r="T24" s="2"/>
    </row>
    <row r="25" customFormat="false" ht="69.75" hidden="false" customHeight="true" outlineLevel="0" collapsed="false">
      <c r="A25" s="3" t="s">
        <v>473</v>
      </c>
      <c r="B25" s="3" t="s">
        <v>447</v>
      </c>
      <c r="C25" s="3" t="s">
        <v>472</v>
      </c>
      <c r="D25" s="3" t="s">
        <v>1189</v>
      </c>
      <c r="E25" s="3" t="s">
        <v>1154</v>
      </c>
      <c r="F25" s="7" t="s">
        <v>476</v>
      </c>
      <c r="G25" s="3" t="s">
        <v>218</v>
      </c>
      <c r="H25" s="3" t="s">
        <v>631</v>
      </c>
      <c r="I25" s="3" t="s">
        <v>1190</v>
      </c>
      <c r="J25" s="3" t="s">
        <v>1044</v>
      </c>
      <c r="K25" s="3"/>
      <c r="L25" s="3" t="s">
        <v>1190</v>
      </c>
      <c r="M25" s="3" t="s">
        <v>180</v>
      </c>
      <c r="N25" s="3" t="s">
        <v>1191</v>
      </c>
      <c r="O25" s="3" t="s">
        <v>1192</v>
      </c>
      <c r="P25" s="3" t="s">
        <v>1193</v>
      </c>
      <c r="Q25" s="3" t="s">
        <v>1194</v>
      </c>
      <c r="R25" s="3" t="s">
        <v>1152</v>
      </c>
      <c r="S25" s="3"/>
      <c r="T25" s="3"/>
    </row>
    <row r="26" customFormat="false" ht="69.75" hidden="false" customHeight="true" outlineLevel="0" collapsed="false">
      <c r="A26" s="2" t="s">
        <v>228</v>
      </c>
      <c r="B26" s="2" t="s">
        <v>226</v>
      </c>
      <c r="C26" s="2" t="s">
        <v>227</v>
      </c>
      <c r="D26" s="2" t="s">
        <v>1195</v>
      </c>
      <c r="E26" s="2" t="s">
        <v>1154</v>
      </c>
      <c r="F26" s="6" t="s">
        <v>231</v>
      </c>
      <c r="G26" s="2" t="s">
        <v>218</v>
      </c>
      <c r="H26" s="2" t="s">
        <v>631</v>
      </c>
      <c r="I26" s="2" t="s">
        <v>752</v>
      </c>
      <c r="J26" s="2" t="s">
        <v>1044</v>
      </c>
      <c r="K26" s="2"/>
      <c r="L26" s="2" t="s">
        <v>752</v>
      </c>
      <c r="M26" s="2" t="s">
        <v>180</v>
      </c>
      <c r="N26" s="2" t="s">
        <v>1196</v>
      </c>
      <c r="O26" s="2" t="s">
        <v>1197</v>
      </c>
      <c r="P26" s="2" t="s">
        <v>1198</v>
      </c>
      <c r="Q26" s="2" t="s">
        <v>1199</v>
      </c>
      <c r="R26" s="2" t="s">
        <v>1152</v>
      </c>
      <c r="S26" s="2"/>
      <c r="T26" s="2"/>
    </row>
    <row r="27" customFormat="false" ht="69.75" hidden="false" customHeight="true" outlineLevel="0" collapsed="false">
      <c r="A27" s="3" t="s">
        <v>1200</v>
      </c>
      <c r="B27" s="3" t="s">
        <v>226</v>
      </c>
      <c r="C27" s="3" t="s">
        <v>1201</v>
      </c>
      <c r="D27" s="3" t="s">
        <v>1202</v>
      </c>
      <c r="E27" s="3" t="s">
        <v>1154</v>
      </c>
      <c r="F27" s="7" t="s">
        <v>757</v>
      </c>
      <c r="G27" s="3" t="s">
        <v>218</v>
      </c>
      <c r="H27" s="3" t="s">
        <v>631</v>
      </c>
      <c r="I27" s="3" t="s">
        <v>758</v>
      </c>
      <c r="J27" s="3" t="s">
        <v>1044</v>
      </c>
      <c r="K27" s="3"/>
      <c r="L27" s="3" t="s">
        <v>758</v>
      </c>
      <c r="M27" s="3" t="s">
        <v>180</v>
      </c>
      <c r="N27" s="3" t="s">
        <v>1203</v>
      </c>
      <c r="O27" s="3" t="s">
        <v>1204</v>
      </c>
      <c r="P27" s="3" t="s">
        <v>1205</v>
      </c>
      <c r="Q27" s="3" t="s">
        <v>1206</v>
      </c>
      <c r="R27" s="3" t="s">
        <v>1152</v>
      </c>
      <c r="S27" s="3"/>
      <c r="T27" s="3"/>
    </row>
    <row r="28" customFormat="false" ht="69.75" hidden="false" customHeight="true" outlineLevel="0" collapsed="false">
      <c r="A28" s="2" t="s">
        <v>465</v>
      </c>
      <c r="B28" s="2" t="s">
        <v>185</v>
      </c>
      <c r="C28" s="2" t="s">
        <v>464</v>
      </c>
      <c r="D28" s="2" t="s">
        <v>1207</v>
      </c>
      <c r="E28" s="2" t="s">
        <v>1154</v>
      </c>
      <c r="F28" s="6" t="s">
        <v>468</v>
      </c>
      <c r="G28" s="2" t="s">
        <v>218</v>
      </c>
      <c r="H28" s="2" t="s">
        <v>631</v>
      </c>
      <c r="I28" s="2" t="s">
        <v>1208</v>
      </c>
      <c r="J28" s="2" t="s">
        <v>1044</v>
      </c>
      <c r="K28" s="2"/>
      <c r="L28" s="2" t="s">
        <v>1208</v>
      </c>
      <c r="M28" s="2" t="s">
        <v>180</v>
      </c>
      <c r="N28" s="2" t="s">
        <v>1209</v>
      </c>
      <c r="O28" s="2" t="s">
        <v>1210</v>
      </c>
      <c r="P28" s="2" t="s">
        <v>1211</v>
      </c>
      <c r="Q28" s="2" t="s">
        <v>1212</v>
      </c>
      <c r="R28" s="2" t="s">
        <v>1152</v>
      </c>
      <c r="S28" s="2"/>
      <c r="T28" s="2"/>
    </row>
    <row r="29" customFormat="false" ht="69.75" hidden="false" customHeight="true" outlineLevel="0" collapsed="false">
      <c r="A29" s="3" t="s">
        <v>482</v>
      </c>
      <c r="B29" s="3" t="s">
        <v>447</v>
      </c>
      <c r="C29" s="3" t="s">
        <v>480</v>
      </c>
      <c r="D29" s="3" t="s">
        <v>1213</v>
      </c>
      <c r="E29" s="3" t="s">
        <v>1154</v>
      </c>
      <c r="F29" s="7" t="s">
        <v>485</v>
      </c>
      <c r="G29" s="3" t="s">
        <v>218</v>
      </c>
      <c r="H29" s="3" t="s">
        <v>631</v>
      </c>
      <c r="I29" s="3" t="s">
        <v>1214</v>
      </c>
      <c r="J29" s="3" t="s">
        <v>1044</v>
      </c>
      <c r="K29" s="3"/>
      <c r="L29" s="3" t="s">
        <v>1214</v>
      </c>
      <c r="M29" s="3" t="s">
        <v>481</v>
      </c>
      <c r="N29" s="3" t="s">
        <v>1215</v>
      </c>
      <c r="O29" s="3" t="s">
        <v>1210</v>
      </c>
      <c r="P29" s="3" t="s">
        <v>1216</v>
      </c>
      <c r="Q29" s="3" t="s">
        <v>1217</v>
      </c>
      <c r="R29" s="3" t="s">
        <v>1152</v>
      </c>
      <c r="S29" s="3"/>
      <c r="T29" s="3"/>
    </row>
    <row r="30" customFormat="false" ht="69.75" hidden="false" customHeight="true" outlineLevel="0" collapsed="false">
      <c r="A30" s="2" t="s">
        <v>559</v>
      </c>
      <c r="B30" s="2" t="s">
        <v>557</v>
      </c>
      <c r="C30" s="2" t="s">
        <v>558</v>
      </c>
      <c r="D30" s="2" t="s">
        <v>865</v>
      </c>
      <c r="E30" s="2" t="s">
        <v>1218</v>
      </c>
      <c r="F30" s="6" t="s">
        <v>562</v>
      </c>
      <c r="G30" s="2" t="s">
        <v>218</v>
      </c>
      <c r="H30" s="2" t="s">
        <v>10</v>
      </c>
      <c r="I30" s="2" t="s">
        <v>866</v>
      </c>
      <c r="J30" s="2" t="s">
        <v>1044</v>
      </c>
      <c r="K30" s="2"/>
      <c r="L30" s="2" t="s">
        <v>1219</v>
      </c>
      <c r="M30" s="2" t="s">
        <v>251</v>
      </c>
      <c r="N30" s="2" t="s">
        <v>1220</v>
      </c>
      <c r="O30" s="2" t="s">
        <v>1221</v>
      </c>
      <c r="P30" s="2" t="s">
        <v>1222</v>
      </c>
      <c r="Q30" s="2" t="s">
        <v>1223</v>
      </c>
      <c r="R30" s="2" t="s">
        <v>1224</v>
      </c>
      <c r="S30" s="2" t="s">
        <v>1225</v>
      </c>
      <c r="T30" s="2" t="s">
        <v>1226</v>
      </c>
    </row>
    <row r="31" customFormat="false" ht="69.75" hidden="false" customHeight="true" outlineLevel="0" collapsed="false">
      <c r="A31" s="3" t="s">
        <v>567</v>
      </c>
      <c r="B31" s="3" t="s">
        <v>557</v>
      </c>
      <c r="C31" s="3" t="s">
        <v>566</v>
      </c>
      <c r="D31" s="3" t="s">
        <v>872</v>
      </c>
      <c r="E31" s="3" t="s">
        <v>1218</v>
      </c>
      <c r="F31" s="7" t="s">
        <v>569</v>
      </c>
      <c r="G31" s="3" t="s">
        <v>218</v>
      </c>
      <c r="H31" s="3" t="s">
        <v>10</v>
      </c>
      <c r="I31" s="3" t="s">
        <v>874</v>
      </c>
      <c r="J31" s="3" t="s">
        <v>1044</v>
      </c>
      <c r="K31" s="3"/>
      <c r="L31" s="3" t="s">
        <v>1227</v>
      </c>
      <c r="M31" s="3" t="s">
        <v>251</v>
      </c>
      <c r="N31" s="3" t="s">
        <v>1228</v>
      </c>
      <c r="O31" s="3" t="s">
        <v>1229</v>
      </c>
      <c r="P31" s="3" t="s">
        <v>1222</v>
      </c>
      <c r="Q31" s="3" t="s">
        <v>1223</v>
      </c>
      <c r="R31" s="3" t="s">
        <v>1224</v>
      </c>
      <c r="S31" s="3" t="s">
        <v>1225</v>
      </c>
      <c r="T31" s="3" t="s">
        <v>1226</v>
      </c>
    </row>
    <row r="32" customFormat="false" ht="69.75" hidden="false" customHeight="true" outlineLevel="0" collapsed="false">
      <c r="A32" s="2" t="s">
        <v>574</v>
      </c>
      <c r="B32" s="2" t="s">
        <v>557</v>
      </c>
      <c r="C32" s="2" t="s">
        <v>573</v>
      </c>
      <c r="D32" s="2" t="s">
        <v>891</v>
      </c>
      <c r="E32" s="2" t="s">
        <v>1218</v>
      </c>
      <c r="F32" s="6" t="s">
        <v>576</v>
      </c>
      <c r="G32" s="2" t="s">
        <v>218</v>
      </c>
      <c r="H32" s="2" t="s">
        <v>10</v>
      </c>
      <c r="I32" s="2" t="s">
        <v>892</v>
      </c>
      <c r="J32" s="2" t="s">
        <v>1044</v>
      </c>
      <c r="K32" s="2"/>
      <c r="L32" s="2" t="s">
        <v>1230</v>
      </c>
      <c r="M32" s="2" t="s">
        <v>251</v>
      </c>
      <c r="N32" s="2" t="s">
        <v>1231</v>
      </c>
      <c r="O32" s="2" t="s">
        <v>1232</v>
      </c>
      <c r="P32" s="2" t="s">
        <v>1222</v>
      </c>
      <c r="Q32" s="2" t="s">
        <v>1223</v>
      </c>
      <c r="R32" s="2" t="s">
        <v>1224</v>
      </c>
      <c r="S32" s="2" t="s">
        <v>1225</v>
      </c>
      <c r="T32" s="2" t="s">
        <v>1226</v>
      </c>
    </row>
    <row r="33" customFormat="false" ht="69.75" hidden="false" customHeight="true" outlineLevel="0" collapsed="false">
      <c r="A33" s="3" t="s">
        <v>581</v>
      </c>
      <c r="B33" s="3" t="s">
        <v>557</v>
      </c>
      <c r="C33" s="3" t="s">
        <v>580</v>
      </c>
      <c r="D33" s="3" t="s">
        <v>879</v>
      </c>
      <c r="E33" s="3" t="s">
        <v>1218</v>
      </c>
      <c r="F33" s="7" t="s">
        <v>583</v>
      </c>
      <c r="G33" s="3" t="s">
        <v>218</v>
      </c>
      <c r="H33" s="3" t="s">
        <v>10</v>
      </c>
      <c r="I33" s="3" t="s">
        <v>880</v>
      </c>
      <c r="J33" s="3" t="s">
        <v>1044</v>
      </c>
      <c r="K33" s="3"/>
      <c r="L33" s="3" t="s">
        <v>1233</v>
      </c>
      <c r="M33" s="3" t="s">
        <v>251</v>
      </c>
      <c r="N33" s="3" t="s">
        <v>1234</v>
      </c>
      <c r="O33" s="3" t="s">
        <v>1235</v>
      </c>
      <c r="P33" s="3" t="s">
        <v>1222</v>
      </c>
      <c r="Q33" s="3" t="s">
        <v>1223</v>
      </c>
      <c r="R33" s="3" t="s">
        <v>1224</v>
      </c>
      <c r="S33" s="3" t="s">
        <v>1225</v>
      </c>
      <c r="T33" s="3" t="s">
        <v>1226</v>
      </c>
    </row>
    <row r="34" customFormat="false" ht="69.75" hidden="false" customHeight="true" outlineLevel="0" collapsed="false">
      <c r="A34" s="2" t="s">
        <v>588</v>
      </c>
      <c r="B34" s="2" t="s">
        <v>557</v>
      </c>
      <c r="C34" s="2" t="s">
        <v>587</v>
      </c>
      <c r="D34" s="2" t="s">
        <v>897</v>
      </c>
      <c r="E34" s="2" t="s">
        <v>1218</v>
      </c>
      <c r="F34" s="6" t="s">
        <v>562</v>
      </c>
      <c r="G34" s="2" t="s">
        <v>218</v>
      </c>
      <c r="H34" s="2" t="s">
        <v>10</v>
      </c>
      <c r="I34" s="2" t="s">
        <v>898</v>
      </c>
      <c r="J34" s="2" t="s">
        <v>1044</v>
      </c>
      <c r="K34" s="2"/>
      <c r="L34" s="2" t="s">
        <v>1236</v>
      </c>
      <c r="M34" s="2" t="s">
        <v>251</v>
      </c>
      <c r="N34" s="2" t="s">
        <v>1237</v>
      </c>
      <c r="O34" s="2" t="s">
        <v>1238</v>
      </c>
      <c r="P34" s="2" t="s">
        <v>1222</v>
      </c>
      <c r="Q34" s="2" t="s">
        <v>1223</v>
      </c>
      <c r="R34" s="2" t="s">
        <v>1224</v>
      </c>
      <c r="S34" s="2" t="s">
        <v>1225</v>
      </c>
      <c r="T34" s="2" t="s">
        <v>1226</v>
      </c>
    </row>
    <row r="35" customFormat="false" ht="69.75" hidden="false" customHeight="true" outlineLevel="0" collapsed="false">
      <c r="A35" s="3" t="s">
        <v>595</v>
      </c>
      <c r="B35" s="3" t="s">
        <v>557</v>
      </c>
      <c r="C35" s="3" t="s">
        <v>594</v>
      </c>
      <c r="D35" s="3" t="s">
        <v>885</v>
      </c>
      <c r="E35" s="3" t="s">
        <v>1218</v>
      </c>
      <c r="F35" s="7" t="s">
        <v>597</v>
      </c>
      <c r="G35" s="3" t="s">
        <v>218</v>
      </c>
      <c r="H35" s="3" t="s">
        <v>10</v>
      </c>
      <c r="I35" s="3" t="s">
        <v>886</v>
      </c>
      <c r="J35" s="3" t="s">
        <v>1044</v>
      </c>
      <c r="K35" s="3"/>
      <c r="L35" s="3" t="s">
        <v>1239</v>
      </c>
      <c r="M35" s="3" t="s">
        <v>251</v>
      </c>
      <c r="N35" s="3" t="s">
        <v>1240</v>
      </c>
      <c r="O35" s="3" t="s">
        <v>1241</v>
      </c>
      <c r="P35" s="3" t="s">
        <v>1222</v>
      </c>
      <c r="Q35" s="3" t="s">
        <v>1223</v>
      </c>
      <c r="R35" s="3" t="s">
        <v>1224</v>
      </c>
      <c r="S35" s="3" t="s">
        <v>1225</v>
      </c>
      <c r="T35" s="3" t="s">
        <v>1226</v>
      </c>
    </row>
    <row r="36" customFormat="false" ht="69.75" hidden="false" customHeight="true" outlineLevel="0" collapsed="false">
      <c r="A36" s="2" t="s">
        <v>603</v>
      </c>
      <c r="B36" s="2" t="s">
        <v>557</v>
      </c>
      <c r="C36" s="2" t="s">
        <v>601</v>
      </c>
      <c r="D36" s="2" t="s">
        <v>1242</v>
      </c>
      <c r="E36" s="2" t="s">
        <v>1218</v>
      </c>
      <c r="F36" s="6" t="s">
        <v>562</v>
      </c>
      <c r="G36" s="2" t="s">
        <v>218</v>
      </c>
      <c r="H36" s="2" t="s">
        <v>10</v>
      </c>
      <c r="I36" s="2" t="s">
        <v>1243</v>
      </c>
      <c r="J36" s="2" t="s">
        <v>1044</v>
      </c>
      <c r="K36" s="2"/>
      <c r="L36" s="2" t="s">
        <v>1244</v>
      </c>
      <c r="M36" s="2" t="s">
        <v>602</v>
      </c>
      <c r="N36" s="2" t="s">
        <v>1245</v>
      </c>
      <c r="O36" s="2" t="s">
        <v>1246</v>
      </c>
      <c r="P36" s="2" t="s">
        <v>1222</v>
      </c>
      <c r="Q36" s="2" t="s">
        <v>1223</v>
      </c>
      <c r="R36" s="2" t="s">
        <v>1224</v>
      </c>
      <c r="S36" s="2" t="s">
        <v>1225</v>
      </c>
      <c r="T36" s="2" t="s">
        <v>1226</v>
      </c>
    </row>
    <row r="37" customFormat="false" ht="69.75" hidden="false" customHeight="true" outlineLevel="0" collapsed="false">
      <c r="A37" s="3" t="s">
        <v>305</v>
      </c>
      <c r="B37" s="3" t="s">
        <v>297</v>
      </c>
      <c r="C37" s="3" t="s">
        <v>304</v>
      </c>
      <c r="D37" s="3" t="s">
        <v>1247</v>
      </c>
      <c r="E37" s="3" t="s">
        <v>1248</v>
      </c>
      <c r="F37" s="7" t="s">
        <v>307</v>
      </c>
      <c r="G37" s="3" t="s">
        <v>218</v>
      </c>
      <c r="H37" s="3" t="s">
        <v>631</v>
      </c>
      <c r="I37" s="3" t="s">
        <v>835</v>
      </c>
      <c r="J37" s="3" t="s">
        <v>1103</v>
      </c>
      <c r="K37" s="3" t="s">
        <v>660</v>
      </c>
      <c r="L37" s="3" t="s">
        <v>836</v>
      </c>
      <c r="M37" s="3" t="s">
        <v>251</v>
      </c>
      <c r="N37" s="3" t="s">
        <v>1249</v>
      </c>
      <c r="O37" s="3" t="s">
        <v>1250</v>
      </c>
      <c r="P37" s="3" t="s">
        <v>1251</v>
      </c>
      <c r="Q37" s="3" t="s">
        <v>1252</v>
      </c>
      <c r="R37" s="3" t="s">
        <v>1253</v>
      </c>
      <c r="S37" s="3"/>
      <c r="T37" s="3"/>
    </row>
    <row r="38" customFormat="false" ht="69.75" hidden="false" customHeight="true" outlineLevel="0" collapsed="false">
      <c r="A38" s="2" t="s">
        <v>321</v>
      </c>
      <c r="B38" s="2" t="s">
        <v>319</v>
      </c>
      <c r="C38" s="2" t="s">
        <v>320</v>
      </c>
      <c r="D38" s="2" t="s">
        <v>1254</v>
      </c>
      <c r="E38" s="2" t="s">
        <v>1255</v>
      </c>
      <c r="F38" s="6" t="s">
        <v>324</v>
      </c>
      <c r="G38" s="2" t="s">
        <v>218</v>
      </c>
      <c r="H38" s="2" t="s">
        <v>631</v>
      </c>
      <c r="I38" s="2" t="s">
        <v>843</v>
      </c>
      <c r="J38" s="2" t="s">
        <v>1103</v>
      </c>
      <c r="K38" s="2" t="s">
        <v>660</v>
      </c>
      <c r="L38" s="2" t="s">
        <v>844</v>
      </c>
      <c r="M38" s="2" t="s">
        <v>251</v>
      </c>
      <c r="N38" s="2" t="s">
        <v>1256</v>
      </c>
      <c r="O38" s="2" t="s">
        <v>1257</v>
      </c>
      <c r="P38" s="2" t="s">
        <v>1258</v>
      </c>
      <c r="Q38" s="2" t="s">
        <v>1259</v>
      </c>
      <c r="R38" s="2" t="s">
        <v>1253</v>
      </c>
      <c r="S38" s="2"/>
      <c r="T38" s="2"/>
    </row>
    <row r="39" customFormat="false" ht="69.75" hidden="false" customHeight="true" outlineLevel="0" collapsed="false">
      <c r="A39" s="3" t="s">
        <v>1260</v>
      </c>
      <c r="B39" s="3" t="s">
        <v>489</v>
      </c>
      <c r="C39" s="3" t="s">
        <v>1261</v>
      </c>
      <c r="D39" s="3" t="s">
        <v>1262</v>
      </c>
      <c r="E39" s="3" t="s">
        <v>1154</v>
      </c>
      <c r="F39" s="7" t="s">
        <v>1263</v>
      </c>
      <c r="G39" s="3" t="s">
        <v>218</v>
      </c>
      <c r="H39" s="3" t="s">
        <v>631</v>
      </c>
      <c r="I39" s="3" t="s">
        <v>1093</v>
      </c>
      <c r="J39" s="3" t="s">
        <v>1044</v>
      </c>
      <c r="K39" s="3"/>
      <c r="L39" s="3" t="s">
        <v>1093</v>
      </c>
      <c r="M39" s="3" t="s">
        <v>251</v>
      </c>
      <c r="N39" s="3" t="s">
        <v>1264</v>
      </c>
      <c r="O39" s="3" t="s">
        <v>1265</v>
      </c>
      <c r="P39" s="3" t="s">
        <v>1266</v>
      </c>
      <c r="Q39" s="3" t="s">
        <v>1267</v>
      </c>
      <c r="R39" s="3" t="s">
        <v>1253</v>
      </c>
      <c r="S39" s="3"/>
      <c r="T39" s="3"/>
    </row>
    <row r="40" customFormat="false" ht="69.75" hidden="false" customHeight="true" outlineLevel="0" collapsed="false">
      <c r="A40" s="2" t="s">
        <v>340</v>
      </c>
      <c r="B40" s="2" t="s">
        <v>338</v>
      </c>
      <c r="C40" s="2" t="s">
        <v>339</v>
      </c>
      <c r="D40" s="2" t="s">
        <v>914</v>
      </c>
      <c r="E40" s="2" t="s">
        <v>1268</v>
      </c>
      <c r="F40" s="6" t="s">
        <v>343</v>
      </c>
      <c r="G40" s="2" t="s">
        <v>218</v>
      </c>
      <c r="H40" s="2" t="s">
        <v>631</v>
      </c>
      <c r="I40" s="2" t="s">
        <v>1269</v>
      </c>
      <c r="J40" s="2" t="s">
        <v>1103</v>
      </c>
      <c r="K40" s="2" t="s">
        <v>689</v>
      </c>
      <c r="L40" s="2" t="s">
        <v>917</v>
      </c>
      <c r="M40" s="2" t="s">
        <v>251</v>
      </c>
      <c r="N40" s="2" t="s">
        <v>1270</v>
      </c>
      <c r="O40" s="2" t="s">
        <v>1271</v>
      </c>
      <c r="P40" s="2" t="s">
        <v>1272</v>
      </c>
      <c r="Q40" s="2" t="s">
        <v>1273</v>
      </c>
      <c r="R40" s="2" t="s">
        <v>1253</v>
      </c>
      <c r="S40" s="2"/>
      <c r="T40" s="2"/>
    </row>
    <row r="41" customFormat="false" ht="69.75" hidden="false" customHeight="true" outlineLevel="0" collapsed="false">
      <c r="A41" s="3" t="s">
        <v>523</v>
      </c>
      <c r="B41" s="3" t="s">
        <v>345</v>
      </c>
      <c r="C41" s="3" t="s">
        <v>522</v>
      </c>
      <c r="D41" s="3" t="s">
        <v>1274</v>
      </c>
      <c r="E41" s="3" t="s">
        <v>1154</v>
      </c>
      <c r="F41" s="7" t="s">
        <v>526</v>
      </c>
      <c r="G41" s="3" t="s">
        <v>218</v>
      </c>
      <c r="H41" s="3" t="s">
        <v>631</v>
      </c>
      <c r="I41" s="3" t="s">
        <v>1275</v>
      </c>
      <c r="J41" s="3" t="s">
        <v>1044</v>
      </c>
      <c r="K41" s="3"/>
      <c r="L41" s="3" t="s">
        <v>1275</v>
      </c>
      <c r="M41" s="3" t="s">
        <v>251</v>
      </c>
      <c r="N41" s="3" t="s">
        <v>1276</v>
      </c>
      <c r="O41" s="3" t="s">
        <v>1277</v>
      </c>
      <c r="P41" s="3" t="s">
        <v>1278</v>
      </c>
      <c r="Q41" s="3" t="s">
        <v>1279</v>
      </c>
      <c r="R41" s="3" t="s">
        <v>1253</v>
      </c>
      <c r="S41" s="3"/>
      <c r="T41" s="3"/>
    </row>
    <row r="42" customFormat="false" ht="69.75" hidden="false" customHeight="true" outlineLevel="0" collapsed="false">
      <c r="A42" s="2" t="s">
        <v>491</v>
      </c>
      <c r="B42" s="2" t="s">
        <v>489</v>
      </c>
      <c r="C42" s="2" t="s">
        <v>490</v>
      </c>
      <c r="D42" s="2" t="s">
        <v>1280</v>
      </c>
      <c r="E42" s="2" t="s">
        <v>1154</v>
      </c>
      <c r="F42" s="6" t="s">
        <v>494</v>
      </c>
      <c r="G42" s="2" t="s">
        <v>218</v>
      </c>
      <c r="H42" s="2" t="s">
        <v>631</v>
      </c>
      <c r="I42" s="2" t="s">
        <v>1281</v>
      </c>
      <c r="J42" s="2" t="s">
        <v>1044</v>
      </c>
      <c r="K42" s="2"/>
      <c r="L42" s="2" t="s">
        <v>1281</v>
      </c>
      <c r="M42" s="2" t="s">
        <v>251</v>
      </c>
      <c r="N42" s="2" t="s">
        <v>1282</v>
      </c>
      <c r="O42" s="2" t="s">
        <v>1283</v>
      </c>
      <c r="P42" s="2" t="s">
        <v>1284</v>
      </c>
      <c r="Q42" s="2" t="s">
        <v>1285</v>
      </c>
      <c r="R42" s="2" t="s">
        <v>1253</v>
      </c>
      <c r="S42" s="2"/>
      <c r="T42" s="2"/>
    </row>
    <row r="43" customFormat="false" ht="69.75" hidden="false" customHeight="true" outlineLevel="0" collapsed="false">
      <c r="A43" s="3" t="s">
        <v>1286</v>
      </c>
      <c r="B43" s="3" t="s">
        <v>297</v>
      </c>
      <c r="C43" s="3" t="s">
        <v>1287</v>
      </c>
      <c r="D43" s="3" t="s">
        <v>1288</v>
      </c>
      <c r="E43" s="3" t="s">
        <v>1289</v>
      </c>
      <c r="F43" s="7" t="s">
        <v>1290</v>
      </c>
      <c r="G43" s="3" t="s">
        <v>218</v>
      </c>
      <c r="H43" s="3" t="s">
        <v>631</v>
      </c>
      <c r="I43" s="3" t="s">
        <v>1291</v>
      </c>
      <c r="J43" s="3" t="s">
        <v>1044</v>
      </c>
      <c r="K43" s="3"/>
      <c r="L43" s="3" t="s">
        <v>1291</v>
      </c>
      <c r="M43" s="3" t="s">
        <v>251</v>
      </c>
      <c r="N43" s="3" t="s">
        <v>1292</v>
      </c>
      <c r="O43" s="3" t="s">
        <v>1293</v>
      </c>
      <c r="P43" s="3" t="s">
        <v>1294</v>
      </c>
      <c r="Q43" s="3" t="s">
        <v>1295</v>
      </c>
      <c r="R43" s="3" t="s">
        <v>1253</v>
      </c>
      <c r="S43" s="3"/>
      <c r="T43" s="3"/>
    </row>
    <row r="44" customFormat="false" ht="69.75" hidden="false" customHeight="true" outlineLevel="0" collapsed="false">
      <c r="A44" s="2" t="s">
        <v>499</v>
      </c>
      <c r="B44" s="2" t="s">
        <v>489</v>
      </c>
      <c r="C44" s="2" t="s">
        <v>498</v>
      </c>
      <c r="D44" s="2" t="s">
        <v>1296</v>
      </c>
      <c r="E44" s="2" t="s">
        <v>1154</v>
      </c>
      <c r="F44" s="6" t="s">
        <v>502</v>
      </c>
      <c r="G44" s="2" t="s">
        <v>218</v>
      </c>
      <c r="H44" s="2" t="s">
        <v>631</v>
      </c>
      <c r="I44" s="2" t="s">
        <v>1297</v>
      </c>
      <c r="J44" s="2" t="s">
        <v>1044</v>
      </c>
      <c r="K44" s="2"/>
      <c r="L44" s="2" t="s">
        <v>1297</v>
      </c>
      <c r="M44" s="2" t="s">
        <v>251</v>
      </c>
      <c r="N44" s="2" t="s">
        <v>1298</v>
      </c>
      <c r="O44" s="2" t="s">
        <v>1299</v>
      </c>
      <c r="P44" s="2" t="s">
        <v>1300</v>
      </c>
      <c r="Q44" s="2" t="s">
        <v>1301</v>
      </c>
      <c r="R44" s="2" t="s">
        <v>1253</v>
      </c>
      <c r="S44" s="2"/>
      <c r="T44" s="2"/>
    </row>
    <row r="45" customFormat="false" ht="69.75" hidden="false" customHeight="true" outlineLevel="0" collapsed="false">
      <c r="A45" s="3" t="s">
        <v>1302</v>
      </c>
      <c r="B45" s="3" t="s">
        <v>489</v>
      </c>
      <c r="C45" s="3" t="s">
        <v>1303</v>
      </c>
      <c r="D45" s="3" t="s">
        <v>1304</v>
      </c>
      <c r="E45" s="3" t="s">
        <v>1154</v>
      </c>
      <c r="F45" s="7" t="s">
        <v>1305</v>
      </c>
      <c r="G45" s="3" t="s">
        <v>218</v>
      </c>
      <c r="H45" s="3" t="s">
        <v>631</v>
      </c>
      <c r="I45" s="3" t="s">
        <v>1306</v>
      </c>
      <c r="J45" s="3" t="s">
        <v>1044</v>
      </c>
      <c r="K45" s="3"/>
      <c r="L45" s="3" t="s">
        <v>1306</v>
      </c>
      <c r="M45" s="3" t="s">
        <v>251</v>
      </c>
      <c r="N45" s="3" t="s">
        <v>1307</v>
      </c>
      <c r="O45" s="3" t="s">
        <v>1308</v>
      </c>
      <c r="P45" s="3" t="s">
        <v>1309</v>
      </c>
      <c r="Q45" s="3" t="s">
        <v>1310</v>
      </c>
      <c r="R45" s="3" t="s">
        <v>1253</v>
      </c>
      <c r="S45" s="3"/>
      <c r="T45" s="3"/>
    </row>
    <row r="46" customFormat="false" ht="69.75" hidden="false" customHeight="true" outlineLevel="0" collapsed="false">
      <c r="A46" s="2" t="s">
        <v>515</v>
      </c>
      <c r="B46" s="2" t="s">
        <v>338</v>
      </c>
      <c r="C46" s="2" t="s">
        <v>514</v>
      </c>
      <c r="D46" s="2" t="s">
        <v>1311</v>
      </c>
      <c r="E46" s="2" t="s">
        <v>1268</v>
      </c>
      <c r="F46" s="6" t="s">
        <v>518</v>
      </c>
      <c r="G46" s="2" t="s">
        <v>218</v>
      </c>
      <c r="H46" s="2" t="s">
        <v>631</v>
      </c>
      <c r="I46" s="2" t="s">
        <v>1312</v>
      </c>
      <c r="J46" s="2" t="s">
        <v>1103</v>
      </c>
      <c r="K46" s="2" t="s">
        <v>689</v>
      </c>
      <c r="L46" s="2" t="s">
        <v>1313</v>
      </c>
      <c r="M46" s="2" t="s">
        <v>251</v>
      </c>
      <c r="N46" s="2" t="s">
        <v>1314</v>
      </c>
      <c r="O46" s="2" t="s">
        <v>1315</v>
      </c>
      <c r="P46" s="2" t="s">
        <v>1316</v>
      </c>
      <c r="Q46" s="2" t="s">
        <v>1317</v>
      </c>
      <c r="R46" s="2" t="s">
        <v>1253</v>
      </c>
      <c r="S46" s="2"/>
      <c r="T46" s="2"/>
    </row>
    <row r="47" customFormat="false" ht="69.75" hidden="false" customHeight="true" outlineLevel="0" collapsed="false">
      <c r="A47" s="3" t="s">
        <v>367</v>
      </c>
      <c r="B47" s="3" t="s">
        <v>345</v>
      </c>
      <c r="C47" s="3" t="s">
        <v>366</v>
      </c>
      <c r="D47" s="3" t="s">
        <v>927</v>
      </c>
      <c r="E47" s="3" t="s">
        <v>1318</v>
      </c>
      <c r="F47" s="7" t="s">
        <v>369</v>
      </c>
      <c r="G47" s="3" t="s">
        <v>218</v>
      </c>
      <c r="H47" s="3" t="s">
        <v>631</v>
      </c>
      <c r="I47" s="3" t="s">
        <v>928</v>
      </c>
      <c r="J47" s="3" t="s">
        <v>1044</v>
      </c>
      <c r="K47" s="3"/>
      <c r="L47" s="3" t="s">
        <v>928</v>
      </c>
      <c r="M47" s="3" t="s">
        <v>251</v>
      </c>
      <c r="N47" s="3" t="s">
        <v>1319</v>
      </c>
      <c r="O47" s="3" t="s">
        <v>1320</v>
      </c>
      <c r="P47" s="3" t="s">
        <v>1321</v>
      </c>
      <c r="Q47" s="3" t="s">
        <v>1322</v>
      </c>
      <c r="R47" s="3" t="s">
        <v>1253</v>
      </c>
      <c r="S47" s="3"/>
      <c r="T47" s="3"/>
    </row>
    <row r="48" customFormat="false" ht="69.75" hidden="false" customHeight="true" outlineLevel="0" collapsed="false">
      <c r="A48" s="2" t="s">
        <v>507</v>
      </c>
      <c r="B48" s="2" t="s">
        <v>489</v>
      </c>
      <c r="C48" s="2" t="s">
        <v>506</v>
      </c>
      <c r="D48" s="2" t="s">
        <v>1323</v>
      </c>
      <c r="E48" s="2" t="s">
        <v>1324</v>
      </c>
      <c r="F48" s="6" t="s">
        <v>510</v>
      </c>
      <c r="G48" s="2" t="s">
        <v>218</v>
      </c>
      <c r="H48" s="2" t="s">
        <v>631</v>
      </c>
      <c r="I48" s="2" t="s">
        <v>1325</v>
      </c>
      <c r="J48" s="2" t="s">
        <v>1103</v>
      </c>
      <c r="K48" s="2" t="s">
        <v>689</v>
      </c>
      <c r="L48" s="2" t="s">
        <v>1326</v>
      </c>
      <c r="M48" s="2" t="s">
        <v>251</v>
      </c>
      <c r="N48" s="2" t="s">
        <v>1327</v>
      </c>
      <c r="O48" s="2" t="s">
        <v>1328</v>
      </c>
      <c r="P48" s="2" t="s">
        <v>1329</v>
      </c>
      <c r="Q48" s="2" t="s">
        <v>1330</v>
      </c>
      <c r="R48" s="2" t="s">
        <v>1253</v>
      </c>
      <c r="S48" s="2"/>
      <c r="T48" s="2"/>
    </row>
    <row r="49" customFormat="false" ht="69.75" hidden="false" customHeight="true" outlineLevel="0" collapsed="false">
      <c r="A49" s="3" t="s">
        <v>1331</v>
      </c>
      <c r="B49" s="3" t="s">
        <v>489</v>
      </c>
      <c r="C49" s="3" t="s">
        <v>1332</v>
      </c>
      <c r="D49" s="3" t="s">
        <v>1333</v>
      </c>
      <c r="E49" s="3" t="s">
        <v>1334</v>
      </c>
      <c r="F49" s="7" t="s">
        <v>1335</v>
      </c>
      <c r="G49" s="3" t="s">
        <v>218</v>
      </c>
      <c r="H49" s="3" t="s">
        <v>631</v>
      </c>
      <c r="I49" s="3" t="s">
        <v>1336</v>
      </c>
      <c r="J49" s="3" t="s">
        <v>1103</v>
      </c>
      <c r="K49" s="3"/>
      <c r="L49" s="3"/>
      <c r="M49" s="3" t="s">
        <v>251</v>
      </c>
      <c r="N49" s="3" t="s">
        <v>1337</v>
      </c>
      <c r="O49" s="3" t="s">
        <v>1338</v>
      </c>
      <c r="P49" s="3" t="s">
        <v>1339</v>
      </c>
      <c r="Q49" s="3" t="s">
        <v>1340</v>
      </c>
      <c r="R49" s="3" t="s">
        <v>1253</v>
      </c>
      <c r="S49" s="3"/>
      <c r="T49" s="3"/>
    </row>
    <row r="50" customFormat="false" ht="69.75" hidden="false" customHeight="true" outlineLevel="0" collapsed="false">
      <c r="A50" s="2" t="s">
        <v>1341</v>
      </c>
      <c r="B50" s="2" t="s">
        <v>345</v>
      </c>
      <c r="C50" s="2" t="s">
        <v>1342</v>
      </c>
      <c r="D50" s="2" t="s">
        <v>1343</v>
      </c>
      <c r="E50" s="2" t="s">
        <v>1344</v>
      </c>
      <c r="F50" s="6" t="s">
        <v>1345</v>
      </c>
      <c r="G50" s="2" t="s">
        <v>218</v>
      </c>
      <c r="H50" s="2" t="s">
        <v>631</v>
      </c>
      <c r="I50" s="2" t="s">
        <v>1346</v>
      </c>
      <c r="J50" s="2" t="s">
        <v>1103</v>
      </c>
      <c r="K50" s="2"/>
      <c r="L50" s="2"/>
      <c r="M50" s="2" t="s">
        <v>251</v>
      </c>
      <c r="N50" s="2" t="s">
        <v>1347</v>
      </c>
      <c r="O50" s="2" t="s">
        <v>1348</v>
      </c>
      <c r="P50" s="2" t="s">
        <v>1349</v>
      </c>
      <c r="Q50" s="2" t="s">
        <v>1350</v>
      </c>
      <c r="R50" s="2" t="s">
        <v>1253</v>
      </c>
      <c r="S50" s="2"/>
      <c r="T50" s="2"/>
    </row>
    <row r="51" customFormat="false" ht="69.75" hidden="false" customHeight="true" outlineLevel="0" collapsed="false">
      <c r="A51" s="3" t="s">
        <v>1351</v>
      </c>
      <c r="B51" s="3" t="s">
        <v>319</v>
      </c>
      <c r="C51" s="3" t="s">
        <v>1352</v>
      </c>
      <c r="D51" s="3" t="s">
        <v>1353</v>
      </c>
      <c r="E51" s="3" t="s">
        <v>1354</v>
      </c>
      <c r="F51" s="7" t="s">
        <v>1355</v>
      </c>
      <c r="G51" s="3" t="s">
        <v>218</v>
      </c>
      <c r="H51" s="3" t="s">
        <v>631</v>
      </c>
      <c r="I51" s="3" t="s">
        <v>1356</v>
      </c>
      <c r="J51" s="3" t="s">
        <v>1103</v>
      </c>
      <c r="K51" s="3" t="s">
        <v>660</v>
      </c>
      <c r="L51" s="3" t="s">
        <v>1357</v>
      </c>
      <c r="M51" s="3" t="s">
        <v>251</v>
      </c>
      <c r="N51" s="3" t="s">
        <v>1358</v>
      </c>
      <c r="O51" s="3" t="s">
        <v>1359</v>
      </c>
      <c r="P51" s="3" t="s">
        <v>1360</v>
      </c>
      <c r="Q51" s="3" t="s">
        <v>1361</v>
      </c>
      <c r="R51" s="3" t="s">
        <v>1253</v>
      </c>
      <c r="S51" s="3"/>
      <c r="T51" s="3"/>
    </row>
    <row r="52" customFormat="false" ht="69.75" hidden="false" customHeight="true" outlineLevel="0" collapsed="false">
      <c r="A52" s="2" t="s">
        <v>1362</v>
      </c>
      <c r="B52" s="2" t="s">
        <v>429</v>
      </c>
      <c r="C52" s="2" t="s">
        <v>1363</v>
      </c>
      <c r="D52" s="2" t="s">
        <v>1364</v>
      </c>
      <c r="E52" s="2" t="s">
        <v>1365</v>
      </c>
      <c r="F52" s="6" t="s">
        <v>1366</v>
      </c>
      <c r="G52" s="2" t="s">
        <v>218</v>
      </c>
      <c r="H52" s="2" t="s">
        <v>631</v>
      </c>
      <c r="I52" s="2" t="s">
        <v>1367</v>
      </c>
      <c r="J52" s="2" t="s">
        <v>1103</v>
      </c>
      <c r="K52" s="2"/>
      <c r="L52" s="2"/>
      <c r="M52" s="2" t="s">
        <v>251</v>
      </c>
      <c r="N52" s="2" t="s">
        <v>1368</v>
      </c>
      <c r="O52" s="2" t="s">
        <v>1369</v>
      </c>
      <c r="P52" s="2" t="s">
        <v>1370</v>
      </c>
      <c r="Q52" s="2" t="s">
        <v>1371</v>
      </c>
      <c r="R52" s="2" t="s">
        <v>1253</v>
      </c>
      <c r="S52" s="2"/>
      <c r="T52" s="2"/>
    </row>
    <row r="53" customFormat="false" ht="69.75" hidden="false" customHeight="true" outlineLevel="0" collapsed="false">
      <c r="A53" s="3" t="s">
        <v>431</v>
      </c>
      <c r="B53" s="3" t="s">
        <v>429</v>
      </c>
      <c r="C53" s="3" t="s">
        <v>430</v>
      </c>
      <c r="D53" s="3" t="s">
        <v>1372</v>
      </c>
      <c r="E53" s="3" t="s">
        <v>1154</v>
      </c>
      <c r="F53" s="7" t="s">
        <v>434</v>
      </c>
      <c r="G53" s="3" t="s">
        <v>218</v>
      </c>
      <c r="H53" s="3" t="s">
        <v>631</v>
      </c>
      <c r="I53" s="3" t="s">
        <v>1373</v>
      </c>
      <c r="J53" s="3" t="s">
        <v>1044</v>
      </c>
      <c r="K53" s="3"/>
      <c r="L53" s="3" t="s">
        <v>1373</v>
      </c>
      <c r="M53" s="3" t="s">
        <v>251</v>
      </c>
      <c r="N53" s="3" t="s">
        <v>1374</v>
      </c>
      <c r="O53" s="3" t="s">
        <v>1375</v>
      </c>
      <c r="P53" s="3" t="s">
        <v>1376</v>
      </c>
      <c r="Q53" s="3" t="s">
        <v>1377</v>
      </c>
      <c r="R53" s="3" t="s">
        <v>1253</v>
      </c>
      <c r="S53" s="3"/>
      <c r="T53" s="3"/>
    </row>
    <row r="54" customFormat="false" ht="69.75" hidden="false" customHeight="true" outlineLevel="0" collapsed="false">
      <c r="A54" s="2" t="s">
        <v>1378</v>
      </c>
      <c r="B54" s="2" t="s">
        <v>429</v>
      </c>
      <c r="C54" s="2" t="s">
        <v>1379</v>
      </c>
      <c r="D54" s="2" t="s">
        <v>1380</v>
      </c>
      <c r="E54" s="2" t="s">
        <v>1381</v>
      </c>
      <c r="F54" s="6" t="s">
        <v>1382</v>
      </c>
      <c r="G54" s="2" t="s">
        <v>218</v>
      </c>
      <c r="H54" s="2" t="s">
        <v>631</v>
      </c>
      <c r="I54" s="2" t="s">
        <v>1383</v>
      </c>
      <c r="J54" s="2" t="s">
        <v>1384</v>
      </c>
      <c r="K54" s="2"/>
      <c r="L54" s="2"/>
      <c r="M54" s="2" t="s">
        <v>251</v>
      </c>
      <c r="N54" s="2" t="s">
        <v>1385</v>
      </c>
      <c r="O54" s="2" t="s">
        <v>1386</v>
      </c>
      <c r="P54" s="2" t="s">
        <v>1387</v>
      </c>
      <c r="Q54" s="2" t="s">
        <v>1388</v>
      </c>
      <c r="R54" s="2" t="s">
        <v>1253</v>
      </c>
      <c r="S54" s="2"/>
      <c r="T54" s="2"/>
    </row>
    <row r="55" customFormat="false" ht="69.75" hidden="false" customHeight="true" outlineLevel="0" collapsed="false">
      <c r="A55" s="3" t="s">
        <v>1389</v>
      </c>
      <c r="B55" s="3" t="s">
        <v>429</v>
      </c>
      <c r="C55" s="3" t="s">
        <v>1390</v>
      </c>
      <c r="D55" s="3" t="s">
        <v>1391</v>
      </c>
      <c r="E55" s="3" t="s">
        <v>1392</v>
      </c>
      <c r="F55" s="7" t="s">
        <v>1393</v>
      </c>
      <c r="G55" s="3" t="s">
        <v>218</v>
      </c>
      <c r="H55" s="3" t="s">
        <v>10</v>
      </c>
      <c r="I55" s="3" t="s">
        <v>1394</v>
      </c>
      <c r="J55" s="3" t="s">
        <v>1103</v>
      </c>
      <c r="K55" s="3"/>
      <c r="L55" s="3"/>
      <c r="M55" s="3" t="s">
        <v>251</v>
      </c>
      <c r="N55" s="3" t="s">
        <v>1395</v>
      </c>
      <c r="O55" s="3" t="s">
        <v>1396</v>
      </c>
      <c r="P55" s="3" t="s">
        <v>1397</v>
      </c>
      <c r="Q55" s="3" t="s">
        <v>1398</v>
      </c>
      <c r="R55" s="3" t="s">
        <v>1253</v>
      </c>
      <c r="S55" s="3"/>
      <c r="T55" s="3"/>
    </row>
    <row r="56" customFormat="false" ht="69.75" hidden="false" customHeight="true" outlineLevel="0" collapsed="false">
      <c r="A56" s="2" t="s">
        <v>1399</v>
      </c>
      <c r="B56" s="2" t="s">
        <v>429</v>
      </c>
      <c r="C56" s="2" t="s">
        <v>1400</v>
      </c>
      <c r="D56" s="2" t="s">
        <v>1391</v>
      </c>
      <c r="E56" s="2" t="s">
        <v>1401</v>
      </c>
      <c r="F56" s="6" t="s">
        <v>1402</v>
      </c>
      <c r="G56" s="2" t="s">
        <v>218</v>
      </c>
      <c r="H56" s="2" t="s">
        <v>10</v>
      </c>
      <c r="I56" s="2" t="s">
        <v>1403</v>
      </c>
      <c r="J56" s="2" t="s">
        <v>1384</v>
      </c>
      <c r="K56" s="2"/>
      <c r="L56" s="2"/>
      <c r="M56" s="2" t="s">
        <v>251</v>
      </c>
      <c r="N56" s="2" t="s">
        <v>1404</v>
      </c>
      <c r="O56" s="2" t="s">
        <v>1405</v>
      </c>
      <c r="P56" s="2" t="s">
        <v>1406</v>
      </c>
      <c r="Q56" s="2" t="s">
        <v>1407</v>
      </c>
      <c r="R56" s="2" t="s">
        <v>1253</v>
      </c>
      <c r="S56" s="2"/>
      <c r="T56" s="2"/>
    </row>
  </sheetData>
  <autoFilter ref="A1:T56"/>
  <hyperlinks>
    <hyperlink ref="F2" r:id="rId1" display="https://www.svb24.com/en/rule-heavy-duty-bilge-pump-2000-24v.html"/>
    <hyperlink ref="F3" r:id="rId2" display="https://www.svb24.com/en/whale-gusher-urchin-manual-bilge-pump-type-bp-9005.html"/>
    <hyperlink ref="F4" r:id="rId3" display="https://www.svb24.com/en/whale-gusher-30-manual-bilge-pump-surface-mounting.html"/>
    <hyperlink ref="F5" r:id="rId4" display="https://www.svb24.com/en/ocean-technologies-engine-compartment-blower-24-v-1000-m3-hour-150-mm-flex-mount.html"/>
    <hyperlink ref="F6" r:id="rId5" display="https://www.svb24.com/en/marco-up3-electric-oil-change-pump.html"/>
    <hyperlink ref="F7" r:id="rId6" display="https://www.svb24.com/en/jabsco-type-12gpm-waste-water-pump-24v.html"/>
    <hyperlink ref="F8" r:id="rId7" display="https://www.svb24.com/en/rule-rule-a-matic-plus-automatic-float-switch.html"/>
    <hyperlink ref="F9" r:id="rId8" display="https://www.svb24.com/en/johnson-pump-bilge-alert-high-water-alarm-with-ultima-switch.html"/>
    <hyperlink ref="F10" r:id="rId9" display="https://www.svb24.com/en/kus-water-fuel-sensor.html"/>
    <hyperlink ref="F11" r:id="rId10" display="https://www.nauticabasile.it/eng/osculati/fixed-fireboy-fire-extinguishers-with-clean-agent-and-manualautomatic-activation-46870/31.620.55/"/>
    <hyperlink ref="F12" r:id="rId11" display="https://www.nauticabasile.it/eng/osculati/fireboy-esc-series-automatic-engine-shutdown-systems-46872/?listRef=related"/>
    <hyperlink ref="F13" r:id="rId12" display="https://www.svb24.com/en/webasto-thermo-pro-90-marine-diesel-water-heater-24-v-9-1-kw.html"/>
    <hyperlink ref="F14" r:id="rId13" display="https://standheizung-ersatzteile.com/thermo-pro-90-24v-marine-std"/>
    <hyperlink ref="F15" r:id="rId14" display="https://www.nauticabasile.it/eng/osculati/fixed-fireboy-fire-extinguishers-with-clean-agent-and-manualautomatic-activation-46870/31.610.31/"/>
    <hyperlink ref="F16" r:id="rId15" display="https://www.svb24.com/en/ocean-technologies-engine-compartment-blower-24-v-550-m3-hour-100-mm-hose-connection.html"/>
    <hyperlink ref="F17" r:id="rId16" display="https://www.svb24.com/en/johnson-pump-ta3p10-19-macerator-pump-24v.html"/>
    <hyperlink ref="F18" r:id="rId17" display="https://www.mon-camping-car.com/convertisseur-24v-230v-phoenix-1200va-ve-direct-pur-sinus-victron.html"/>
    <hyperlink ref="F19" r:id="rId18" display="https://www.svb24.com/en/vetus-boat-battery-60-ah-to-230-ah.html"/>
    <hyperlink ref="F20" r:id="rId19" display="https://www.svb24.com/en/vetus-boat-battery-60-ah-to-230-ah.html"/>
    <hyperlink ref="F21" r:id="rId20" display="https://www.svb24.com/en/vetus-boat-battery-60-ah-to-230-ah.html"/>
    <hyperlink ref="F22" r:id="rId21" display="https://www.svb24.com/en/p/victron-isolation-transformer-3600-w-115-230-v.html"/>
    <hyperlink ref="F23" r:id="rId22" display="https://www.svb24.com/en/philippi-stv207-power-distribution-panel-configurable.html"/>
    <hyperlink ref="F24" r:id="rId23" display="https://www.svb24.com/en/philippi-lae-113-shore-connection-unit.html"/>
    <hyperlink ref="F25" r:id="rId24" display="https://www.svb24.com/en/mega-fuse-holder-in-line.html"/>
    <hyperlink ref="F26" r:id="rId25" display="https://www.svb24.com/en/blue-sea-hd-remote-battery-switch-24v.html"/>
    <hyperlink ref="F27" r:id="rId26" display="https://www.svb24.com/en/blue-sea-universal-solenoid-switch-24-v.html"/>
    <hyperlink ref="F28" r:id="rId27" display="https://www.svb24.com/en/cee-shore-power-inlet-16-a-230-v-male.html"/>
    <hyperlink ref="F29" r:id="rId28" display="https://www.svb24.com/en/mega-fuses-pack-of-5.html"/>
    <hyperlink ref="F30" r:id="rId29" display="https://www.vetus-shop.com/aluminium-hydraulic-tank-70-incl-ht1013-p-2024.html"/>
    <hyperlink ref="F31" r:id="rId30" display="https://www.vetus-shop.com/variably-adjustable-piston-pump-45cc-left-handed-saeb-flang-p-2033.html"/>
    <hyperlink ref="F32" r:id="rId31" display="https://www.vetus-shop.com/single-step-load-sensing-device-incl-electrical-connection-p-2026.html"/>
    <hyperlink ref="F33" r:id="rId32" display="https://www.vetus-shop.com/hydraulic-oil-cooler-for-hose-id-and216-32-mm-p-2050.html"/>
    <hyperlink ref="F34" r:id="rId33" display="https://www.vetus-shop.com/aluminium-hydraulic-tank-70-incl-ht1013-p-2024.html"/>
    <hyperlink ref="F35" r:id="rId34" display="https://www.vetus-shop.com/dual-step-solenoid-control-unit-24v-for-anchor-windlass-p-2043.html"/>
    <hyperlink ref="F36" r:id="rId35" display="https://www.vetus-shop.com/aluminium-hydraulic-tank-70-incl-ht1013-p-2024.html"/>
    <hyperlink ref="F37" r:id="rId36" display="https://www.tyboat.com/achat/P-8880-quick-chauffe-eau-cylindrique-bx-40-litres-220-volts-1200-watts.html"/>
    <hyperlink ref="F38" r:id="rId37" display="https://www.comptoirnautique.com/climatisation-bateau/91819-frigomar-pompes-a-entrainement-magnetique.html"/>
    <hyperlink ref="F39" r:id="rId38" display="https://www.svb24.com/en/pressure-accumulator-tank-plastic-0-7-litre-max-5-bar.html"/>
    <hyperlink ref="F40" r:id="rId39" display="https://racorshop.de/product/racor-75500maxm30-turbine-filter-marine/"/>
    <hyperlink ref="F41" r:id="rId40" display="https://www.svb24.com/en/seawater-connection-kit-19-mm.html"/>
    <hyperlink ref="F42" r:id="rId41" display="https://www.svb24.com/en/p/thermostat-mixing-valve.html"/>
    <hyperlink ref="F43" r:id="rId42" display="https://tiendadelbarco.com/en/basic/4109-isotherm-water-heater-40l-basic40-750w-220v.html"/>
    <hyperlink ref="F44" r:id="rId43" display="https://www.svb24.com/product/510125?filter=4"/>
    <hyperlink ref="F45" r:id="rId44" display="https://www.svb24.com/en/inline-activated-carbon-filter_.html"/>
    <hyperlink ref="F46" r:id="rId45" display="https://racorshop.de/product/racor-500mam10-turbine-filter-marine/"/>
    <hyperlink ref="F47" r:id="rId46" display="https://www.mediawinkel.eu/nl/heavy-duty-waterfilter-32-mm.html"/>
    <hyperlink ref="F48" r:id="rId47" display="https://flutech-marine.com/en/jabsco/jabsco-59530-0000b/"/>
    <hyperlink ref="F49" r:id="rId48" display="https://www.seashop.com/en/jabsco-59520-0000b-circulation-pump-for-hot-water-8-24v"/>
    <hyperlink ref="F50" r:id="rId49" display="https://www.12seemeilen.de/vetus-wassersammler-drehbar-typ-nlp90.html"/>
    <hyperlink ref="F51" r:id="rId50" display="https://www.aquanautique.com/fr/eau/pompes/pompe-eau-de-mer/frigomar-pompe-a-entrainement-magnetique-nh-200ps.html"/>
    <hyperlink ref="F52" r:id="rId51" display="https://www.shop-marine.com/accouplement-flexible-bullflex/accouplement-flexible-type-bullflex-16-diametre-205mm-arbre-50mm"/>
    <hyperlink ref="F53" r:id="rId52" display="https://www.svb24.com/en/pss-shaft-seal-for-50-mm-shaft.html"/>
    <hyperlink ref="F54" r:id="rId53" display="https://www.atmbmarine.com/en/moduline-b10-aquadrive/617-stop-b10-cv21-for-shaft-o-35-to-50-mm.html"/>
    <hyperlink ref="F55" r:id="rId54" display="https://mecleisure.co.uk/products/flexible-coupling-type-bullflex-32-shaft-a-50-mm-bulfl3250"/>
    <hyperlink ref="F56" r:id="rId55" display="https://www.lancingmarine.com/product/vetus/Stern-Gear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60"/>
    <col collapsed="false" customWidth="true" hidden="false" outlineLevel="0" max="4" min="4" style="0" width="145"/>
  </cols>
  <sheetData>
    <row r="1" customFormat="false" ht="45" hidden="false" customHeight="true" outlineLevel="0" collapsed="false">
      <c r="A1" s="1" t="s">
        <v>120</v>
      </c>
      <c r="B1" s="1" t="s">
        <v>1408</v>
      </c>
      <c r="C1" s="1" t="s">
        <v>1409</v>
      </c>
      <c r="D1" s="1" t="s">
        <v>1410</v>
      </c>
    </row>
    <row r="2" customFormat="false" ht="69.75" hidden="false" customHeight="true" outlineLevel="0" collapsed="false">
      <c r="A2" s="2" t="s">
        <v>477</v>
      </c>
      <c r="B2" s="2" t="s">
        <v>447</v>
      </c>
      <c r="C2" s="2" t="s">
        <v>472</v>
      </c>
      <c r="D2" s="2" t="s">
        <v>475</v>
      </c>
    </row>
    <row r="3" customFormat="false" ht="69.75" hidden="false" customHeight="true" outlineLevel="0" collapsed="false">
      <c r="A3" s="3" t="s">
        <v>486</v>
      </c>
      <c r="B3" s="3" t="s">
        <v>447</v>
      </c>
      <c r="C3" s="3" t="s">
        <v>480</v>
      </c>
      <c r="D3" s="3" t="s">
        <v>484</v>
      </c>
    </row>
    <row r="4" customFormat="false" ht="69.75" hidden="false" customHeight="true" outlineLevel="0" collapsed="false">
      <c r="A4" s="2" t="s">
        <v>591</v>
      </c>
      <c r="B4" s="2" t="s">
        <v>557</v>
      </c>
      <c r="C4" s="2" t="s">
        <v>587</v>
      </c>
      <c r="D4" s="2" t="s">
        <v>590</v>
      </c>
    </row>
    <row r="5" customFormat="false" ht="69.75" hidden="false" customHeight="true" outlineLevel="0" collapsed="false">
      <c r="A5" s="3" t="s">
        <v>598</v>
      </c>
      <c r="B5" s="3" t="s">
        <v>557</v>
      </c>
      <c r="C5" s="3" t="s">
        <v>594</v>
      </c>
      <c r="D5" s="3" t="s">
        <v>596</v>
      </c>
    </row>
    <row r="6" customFormat="false" ht="69.75" hidden="false" customHeight="true" outlineLevel="0" collapsed="false">
      <c r="A6" s="2" t="s">
        <v>605</v>
      </c>
      <c r="B6" s="2" t="s">
        <v>557</v>
      </c>
      <c r="C6" s="2" t="s">
        <v>601</v>
      </c>
      <c r="D6" s="2" t="s">
        <v>604</v>
      </c>
    </row>
    <row r="7" customFormat="false" ht="69.75" hidden="false" customHeight="true" outlineLevel="0" collapsed="false">
      <c r="A7" s="3" t="s">
        <v>1411</v>
      </c>
      <c r="B7" s="3" t="s">
        <v>429</v>
      </c>
      <c r="C7" s="3" t="s">
        <v>1412</v>
      </c>
      <c r="D7" s="3" t="s">
        <v>1413</v>
      </c>
    </row>
    <row r="8" customFormat="false" ht="69.75" hidden="false" customHeight="true" outlineLevel="0" collapsed="false">
      <c r="A8" s="2" t="s">
        <v>1414</v>
      </c>
      <c r="B8" s="2" t="s">
        <v>438</v>
      </c>
      <c r="C8" s="2" t="s">
        <v>1415</v>
      </c>
      <c r="D8" s="2" t="s">
        <v>1416</v>
      </c>
    </row>
    <row r="9" customFormat="false" ht="69.75" hidden="false" customHeight="true" outlineLevel="0" collapsed="false">
      <c r="A9" s="3" t="s">
        <v>1417</v>
      </c>
      <c r="B9" s="3" t="s">
        <v>447</v>
      </c>
      <c r="C9" s="3" t="s">
        <v>1418</v>
      </c>
      <c r="D9" s="3" t="s">
        <v>1419</v>
      </c>
    </row>
    <row r="10" customFormat="false" ht="69.75" hidden="false" customHeight="true" outlineLevel="0" collapsed="false">
      <c r="A10" s="2" t="s">
        <v>1420</v>
      </c>
      <c r="B10" s="2" t="s">
        <v>489</v>
      </c>
      <c r="C10" s="2" t="s">
        <v>1421</v>
      </c>
      <c r="D10" s="2" t="s">
        <v>1422</v>
      </c>
    </row>
    <row r="11" customFormat="false" ht="69.75" hidden="false" customHeight="true" outlineLevel="0" collapsed="false">
      <c r="A11" s="3" t="s">
        <v>1423</v>
      </c>
      <c r="B11" s="3" t="s">
        <v>547</v>
      </c>
      <c r="C11" s="3" t="s">
        <v>1424</v>
      </c>
      <c r="D11" s="3" t="s">
        <v>1425</v>
      </c>
    </row>
    <row r="12" customFormat="false" ht="69.75" hidden="false" customHeight="true" outlineLevel="0" collapsed="false">
      <c r="A12" s="2" t="s">
        <v>1426</v>
      </c>
      <c r="B12" s="2"/>
      <c r="C12" s="2" t="s">
        <v>1427</v>
      </c>
      <c r="D12" s="2" t="s">
        <v>1428</v>
      </c>
    </row>
    <row r="13" customFormat="false" ht="69.75" hidden="false" customHeight="true" outlineLevel="0" collapsed="false">
      <c r="A13" s="3" t="s">
        <v>1429</v>
      </c>
      <c r="B13" s="3"/>
      <c r="C13" s="3" t="s">
        <v>1430</v>
      </c>
      <c r="D13" s="3" t="s">
        <v>1431</v>
      </c>
    </row>
    <row r="14" customFormat="false" ht="69.75" hidden="false" customHeight="true" outlineLevel="0" collapsed="false">
      <c r="A14" s="2" t="s">
        <v>1432</v>
      </c>
      <c r="B14" s="2"/>
      <c r="C14" s="2" t="s">
        <v>1433</v>
      </c>
      <c r="D14" s="2" t="s">
        <v>1434</v>
      </c>
    </row>
    <row r="15" customFormat="false" ht="69.75" hidden="false" customHeight="true" outlineLevel="0" collapsed="false">
      <c r="A15" s="3" t="s">
        <v>1435</v>
      </c>
      <c r="B15" s="3"/>
      <c r="C15" s="3" t="s">
        <v>1436</v>
      </c>
      <c r="D15" s="3" t="s">
        <v>1437</v>
      </c>
    </row>
    <row r="16" customFormat="false" ht="69.75" hidden="false" customHeight="true" outlineLevel="0" collapsed="false">
      <c r="A16" s="2" t="s">
        <v>1438</v>
      </c>
      <c r="B16" s="2"/>
      <c r="C16" s="2" t="s">
        <v>1439</v>
      </c>
      <c r="D16" s="2" t="s">
        <v>1440</v>
      </c>
    </row>
    <row r="17" customFormat="false" ht="69.75" hidden="false" customHeight="true" outlineLevel="0" collapsed="false">
      <c r="A17" s="3" t="s">
        <v>1441</v>
      </c>
      <c r="B17" s="3"/>
      <c r="C17" s="3" t="s">
        <v>1442</v>
      </c>
      <c r="D17" s="3" t="s">
        <v>1443</v>
      </c>
    </row>
    <row r="18" customFormat="false" ht="69.75" hidden="false" customHeight="true" outlineLevel="0" collapsed="false">
      <c r="A18" s="2" t="s">
        <v>1444</v>
      </c>
      <c r="B18" s="2"/>
      <c r="C18" s="2" t="s">
        <v>1445</v>
      </c>
      <c r="D18" s="2" t="s">
        <v>1446</v>
      </c>
    </row>
    <row r="19" customFormat="false" ht="69.75" hidden="false" customHeight="true" outlineLevel="0" collapsed="false">
      <c r="A19" s="3" t="s">
        <v>1447</v>
      </c>
      <c r="B19" s="3"/>
      <c r="C19" s="3" t="s">
        <v>1448</v>
      </c>
      <c r="D19" s="3" t="s">
        <v>1449</v>
      </c>
    </row>
    <row r="20" customFormat="false" ht="69.75" hidden="false" customHeight="true" outlineLevel="0" collapsed="false">
      <c r="A20" s="2" t="s">
        <v>1450</v>
      </c>
      <c r="B20" s="2" t="s">
        <v>557</v>
      </c>
      <c r="C20" s="2" t="s">
        <v>1451</v>
      </c>
      <c r="D20" s="2" t="s">
        <v>1452</v>
      </c>
    </row>
    <row r="21" customFormat="false" ht="69.75" hidden="false" customHeight="true" outlineLevel="0" collapsed="false">
      <c r="A21" s="3" t="s">
        <v>1453</v>
      </c>
      <c r="B21" s="3" t="s">
        <v>394</v>
      </c>
      <c r="C21" s="3" t="s">
        <v>1454</v>
      </c>
      <c r="D21" s="3" t="s">
        <v>1455</v>
      </c>
    </row>
    <row r="22" customFormat="false" ht="69.75" hidden="false" customHeight="true" outlineLevel="0" collapsed="false">
      <c r="A22" s="2" t="s">
        <v>1456</v>
      </c>
      <c r="B22" s="2" t="s">
        <v>1457</v>
      </c>
      <c r="C22" s="2" t="s">
        <v>1458</v>
      </c>
      <c r="D22" s="2" t="s">
        <v>1459</v>
      </c>
    </row>
    <row r="23" customFormat="false" ht="69.75" hidden="false" customHeight="true" outlineLevel="0" collapsed="false">
      <c r="A23" s="3" t="s">
        <v>1460</v>
      </c>
      <c r="B23" s="3" t="s">
        <v>1461</v>
      </c>
      <c r="C23" s="3" t="s">
        <v>1462</v>
      </c>
      <c r="D23" s="3" t="s">
        <v>1463</v>
      </c>
    </row>
    <row r="24" customFormat="false" ht="69.75" hidden="false" customHeight="true" outlineLevel="0" collapsed="false">
      <c r="A24" s="2" t="s">
        <v>1464</v>
      </c>
      <c r="B24" s="2" t="s">
        <v>1465</v>
      </c>
      <c r="C24" s="2" t="s">
        <v>1466</v>
      </c>
      <c r="D24" s="2" t="s">
        <v>1467</v>
      </c>
    </row>
    <row r="25" customFormat="false" ht="69.75" hidden="false" customHeight="true" outlineLevel="0" collapsed="false">
      <c r="A25" s="3" t="s">
        <v>1468</v>
      </c>
      <c r="B25" s="3" t="s">
        <v>281</v>
      </c>
      <c r="C25" s="3" t="s">
        <v>1469</v>
      </c>
      <c r="D25" s="3" t="s">
        <v>1470</v>
      </c>
    </row>
  </sheetData>
  <autoFilter ref="A1:D2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55"/>
    <col collapsed="false" customWidth="true" hidden="false" outlineLevel="0" max="9" min="4" style="0" width="23"/>
    <col collapsed="false" customWidth="true" hidden="false" outlineLevel="0" max="10" min="10" style="0" width="70"/>
    <col collapsed="false" customWidth="true" hidden="false" outlineLevel="0" max="12" min="11" style="0" width="23"/>
    <col collapsed="false" customWidth="true" hidden="false" outlineLevel="0" max="14" min="13" style="0" width="80"/>
    <col collapsed="false" customWidth="true" hidden="false" outlineLevel="0" max="17" min="15" style="0" width="23"/>
  </cols>
  <sheetData>
    <row r="1" customFormat="false" ht="45" hidden="false" customHeight="true" outlineLevel="0" collapsed="false">
      <c r="A1" s="1" t="s">
        <v>1471</v>
      </c>
      <c r="B1" s="1" t="s">
        <v>1472</v>
      </c>
      <c r="C1" s="1" t="s">
        <v>1473</v>
      </c>
      <c r="D1" s="1" t="s">
        <v>1474</v>
      </c>
      <c r="E1" s="1" t="s">
        <v>619</v>
      </c>
      <c r="F1" s="1" t="s">
        <v>1475</v>
      </c>
      <c r="G1" s="1" t="s">
        <v>1476</v>
      </c>
      <c r="H1" s="1" t="s">
        <v>1477</v>
      </c>
      <c r="I1" s="1" t="s">
        <v>1478</v>
      </c>
      <c r="J1" s="1" t="s">
        <v>1479</v>
      </c>
      <c r="K1" s="1" t="s">
        <v>1480</v>
      </c>
      <c r="L1" s="1" t="s">
        <v>1481</v>
      </c>
      <c r="M1" s="1" t="s">
        <v>1482</v>
      </c>
      <c r="N1" s="1" t="s">
        <v>1483</v>
      </c>
      <c r="O1" s="1" t="s">
        <v>1484</v>
      </c>
      <c r="P1" s="1" t="s">
        <v>1485</v>
      </c>
      <c r="Q1" s="1" t="s">
        <v>1486</v>
      </c>
    </row>
    <row r="2" customFormat="false" ht="69.75" hidden="false" customHeight="true" outlineLevel="0" collapsed="false">
      <c r="A2" s="2" t="s">
        <v>1487</v>
      </c>
      <c r="B2" s="2" t="s">
        <v>1488</v>
      </c>
      <c r="C2" s="2" t="s">
        <v>1489</v>
      </c>
      <c r="D2" s="2" t="s">
        <v>1490</v>
      </c>
      <c r="E2" s="2" t="s">
        <v>251</v>
      </c>
      <c r="F2" s="2" t="s">
        <v>1491</v>
      </c>
      <c r="G2" s="2" t="s">
        <v>1492</v>
      </c>
      <c r="H2" s="2" t="s">
        <v>1492</v>
      </c>
      <c r="I2" s="2" t="s">
        <v>1493</v>
      </c>
      <c r="J2" s="2" t="s">
        <v>1494</v>
      </c>
      <c r="K2" s="2" t="s">
        <v>1495</v>
      </c>
      <c r="L2" s="2" t="s">
        <v>1496</v>
      </c>
      <c r="M2" s="2" t="s">
        <v>1497</v>
      </c>
      <c r="N2" s="2" t="s">
        <v>1498</v>
      </c>
      <c r="O2" s="2" t="s">
        <v>1499</v>
      </c>
      <c r="P2" s="2" t="s">
        <v>1500</v>
      </c>
      <c r="Q2" s="2" t="s">
        <v>1501</v>
      </c>
    </row>
    <row r="3" customFormat="false" ht="69.75" hidden="false" customHeight="true" outlineLevel="0" collapsed="false">
      <c r="A3" s="3" t="s">
        <v>1502</v>
      </c>
      <c r="B3" s="3" t="s">
        <v>1488</v>
      </c>
      <c r="C3" s="3" t="s">
        <v>1503</v>
      </c>
      <c r="D3" s="3" t="s">
        <v>1490</v>
      </c>
      <c r="E3" s="3" t="s">
        <v>251</v>
      </c>
      <c r="F3" s="3" t="s">
        <v>1504</v>
      </c>
      <c r="G3" s="3" t="s">
        <v>1492</v>
      </c>
      <c r="H3" s="3" t="s">
        <v>1505</v>
      </c>
      <c r="I3" s="3" t="s">
        <v>1506</v>
      </c>
      <c r="J3" s="3" t="s">
        <v>1507</v>
      </c>
      <c r="K3" s="3" t="s">
        <v>1508</v>
      </c>
      <c r="L3" s="3" t="s">
        <v>1509</v>
      </c>
      <c r="M3" s="3" t="s">
        <v>1510</v>
      </c>
      <c r="N3" s="3" t="s">
        <v>1511</v>
      </c>
      <c r="O3" s="3" t="s">
        <v>1499</v>
      </c>
      <c r="P3" s="3" t="s">
        <v>1512</v>
      </c>
      <c r="Q3" s="3" t="s">
        <v>1513</v>
      </c>
    </row>
    <row r="4" customFormat="false" ht="69.75" hidden="false" customHeight="true" outlineLevel="0" collapsed="false">
      <c r="A4" s="2" t="s">
        <v>1514</v>
      </c>
      <c r="B4" s="2" t="s">
        <v>1488</v>
      </c>
      <c r="C4" s="2" t="s">
        <v>1515</v>
      </c>
      <c r="D4" s="2" t="s">
        <v>1490</v>
      </c>
      <c r="E4" s="2" t="s">
        <v>251</v>
      </c>
      <c r="F4" s="2" t="s">
        <v>1516</v>
      </c>
      <c r="G4" s="2" t="s">
        <v>1499</v>
      </c>
      <c r="H4" s="2" t="s">
        <v>1499</v>
      </c>
      <c r="I4" s="2" t="s">
        <v>1517</v>
      </c>
      <c r="J4" s="2" t="s">
        <v>1518</v>
      </c>
      <c r="K4" s="2" t="s">
        <v>1519</v>
      </c>
      <c r="L4" s="2" t="s">
        <v>1509</v>
      </c>
      <c r="M4" s="2" t="s">
        <v>1520</v>
      </c>
      <c r="N4" s="2" t="s">
        <v>1521</v>
      </c>
      <c r="O4" s="2" t="s">
        <v>1499</v>
      </c>
      <c r="P4" s="2" t="s">
        <v>1522</v>
      </c>
      <c r="Q4" s="2" t="s">
        <v>1523</v>
      </c>
    </row>
    <row r="5" customFormat="false" ht="69.75" hidden="false" customHeight="true" outlineLevel="0" collapsed="false">
      <c r="A5" s="3" t="s">
        <v>1524</v>
      </c>
      <c r="B5" s="3" t="s">
        <v>1488</v>
      </c>
      <c r="C5" s="3" t="s">
        <v>1525</v>
      </c>
      <c r="D5" s="3"/>
      <c r="E5" s="3" t="s">
        <v>1526</v>
      </c>
      <c r="F5" s="3" t="s">
        <v>1527</v>
      </c>
      <c r="G5" s="3" t="s">
        <v>1499</v>
      </c>
      <c r="H5" s="3" t="s">
        <v>1499</v>
      </c>
      <c r="I5" s="3" t="s">
        <v>1528</v>
      </c>
      <c r="J5" s="3" t="s">
        <v>1529</v>
      </c>
      <c r="K5" s="3"/>
      <c r="L5" s="3" t="s">
        <v>1509</v>
      </c>
      <c r="M5" s="3" t="s">
        <v>1530</v>
      </c>
      <c r="N5" s="3" t="s">
        <v>1531</v>
      </c>
      <c r="O5" s="3" t="s">
        <v>1499</v>
      </c>
      <c r="P5" s="3" t="s">
        <v>1532</v>
      </c>
      <c r="Q5" s="3"/>
    </row>
    <row r="6" customFormat="false" ht="69.75" hidden="false" customHeight="true" outlineLevel="0" collapsed="false">
      <c r="A6" s="2" t="s">
        <v>1533</v>
      </c>
      <c r="B6" s="2" t="s">
        <v>1488</v>
      </c>
      <c r="C6" s="2" t="s">
        <v>1534</v>
      </c>
      <c r="D6" s="2" t="s">
        <v>1490</v>
      </c>
      <c r="E6" s="2" t="s">
        <v>251</v>
      </c>
      <c r="F6" s="2" t="s">
        <v>1535</v>
      </c>
      <c r="G6" s="2" t="s">
        <v>1505</v>
      </c>
      <c r="H6" s="2" t="s">
        <v>1505</v>
      </c>
      <c r="I6" s="2" t="s">
        <v>1536</v>
      </c>
      <c r="J6" s="2" t="s">
        <v>1537</v>
      </c>
      <c r="K6" s="2"/>
      <c r="L6" s="2" t="s">
        <v>1538</v>
      </c>
      <c r="M6" s="2" t="s">
        <v>1539</v>
      </c>
      <c r="N6" s="2" t="s">
        <v>1540</v>
      </c>
      <c r="O6" s="2" t="s">
        <v>1499</v>
      </c>
      <c r="P6" s="2" t="s">
        <v>1541</v>
      </c>
      <c r="Q6" s="2" t="s">
        <v>1542</v>
      </c>
    </row>
    <row r="7" customFormat="false" ht="69.75" hidden="false" customHeight="true" outlineLevel="0" collapsed="false">
      <c r="A7" s="3" t="s">
        <v>1543</v>
      </c>
      <c r="B7" s="3" t="s">
        <v>1488</v>
      </c>
      <c r="C7" s="3" t="s">
        <v>1544</v>
      </c>
      <c r="D7" s="3" t="s">
        <v>1490</v>
      </c>
      <c r="E7" s="3" t="s">
        <v>251</v>
      </c>
      <c r="F7" s="3" t="s">
        <v>1545</v>
      </c>
      <c r="G7" s="3" t="s">
        <v>1499</v>
      </c>
      <c r="H7" s="3" t="s">
        <v>1499</v>
      </c>
      <c r="I7" s="3" t="s">
        <v>1546</v>
      </c>
      <c r="J7" s="3" t="s">
        <v>1547</v>
      </c>
      <c r="K7" s="3"/>
      <c r="L7" s="3" t="s">
        <v>1538</v>
      </c>
      <c r="M7" s="3" t="s">
        <v>1548</v>
      </c>
      <c r="N7" s="3" t="s">
        <v>1549</v>
      </c>
      <c r="O7" s="3" t="s">
        <v>1499</v>
      </c>
      <c r="P7" s="3" t="s">
        <v>1550</v>
      </c>
      <c r="Q7" s="3"/>
    </row>
    <row r="8" customFormat="false" ht="69.75" hidden="false" customHeight="true" outlineLevel="0" collapsed="false">
      <c r="A8" s="2" t="s">
        <v>1551</v>
      </c>
      <c r="B8" s="2" t="s">
        <v>1488</v>
      </c>
      <c r="C8" s="2" t="s">
        <v>1552</v>
      </c>
      <c r="D8" s="2" t="s">
        <v>1490</v>
      </c>
      <c r="E8" s="2" t="s">
        <v>251</v>
      </c>
      <c r="F8" s="2" t="s">
        <v>1553</v>
      </c>
      <c r="G8" s="2" t="s">
        <v>1505</v>
      </c>
      <c r="H8" s="2" t="s">
        <v>1505</v>
      </c>
      <c r="I8" s="2" t="s">
        <v>1554</v>
      </c>
      <c r="J8" s="2" t="s">
        <v>1555</v>
      </c>
      <c r="K8" s="2"/>
      <c r="L8" s="2" t="s">
        <v>1538</v>
      </c>
      <c r="M8" s="2" t="s">
        <v>1556</v>
      </c>
      <c r="N8" s="2" t="s">
        <v>1549</v>
      </c>
      <c r="O8" s="2" t="s">
        <v>1499</v>
      </c>
      <c r="P8" s="2" t="s">
        <v>1557</v>
      </c>
      <c r="Q8" s="2"/>
    </row>
    <row r="9" customFormat="false" ht="69.75" hidden="false" customHeight="true" outlineLevel="0" collapsed="false">
      <c r="A9" s="3" t="s">
        <v>1558</v>
      </c>
      <c r="B9" s="3" t="s">
        <v>1488</v>
      </c>
      <c r="C9" s="3" t="s">
        <v>1559</v>
      </c>
      <c r="D9" s="3"/>
      <c r="E9" s="3" t="s">
        <v>1526</v>
      </c>
      <c r="F9" s="3" t="s">
        <v>1560</v>
      </c>
      <c r="G9" s="3" t="s">
        <v>1499</v>
      </c>
      <c r="H9" s="3" t="s">
        <v>1499</v>
      </c>
      <c r="I9" s="3" t="s">
        <v>1561</v>
      </c>
      <c r="J9" s="3" t="s">
        <v>1562</v>
      </c>
      <c r="K9" s="3"/>
      <c r="L9" s="3" t="s">
        <v>1538</v>
      </c>
      <c r="M9" s="3" t="s">
        <v>1563</v>
      </c>
      <c r="N9" s="3" t="s">
        <v>1564</v>
      </c>
      <c r="O9" s="3" t="s">
        <v>1499</v>
      </c>
      <c r="P9" s="3" t="s">
        <v>1565</v>
      </c>
      <c r="Q9" s="3"/>
    </row>
    <row r="10" customFormat="false" ht="69.75" hidden="false" customHeight="true" outlineLevel="0" collapsed="false">
      <c r="A10" s="2" t="s">
        <v>1566</v>
      </c>
      <c r="B10" s="2" t="s">
        <v>1488</v>
      </c>
      <c r="C10" s="2" t="s">
        <v>1567</v>
      </c>
      <c r="D10" s="2" t="s">
        <v>1490</v>
      </c>
      <c r="E10" s="2" t="s">
        <v>251</v>
      </c>
      <c r="F10" s="2" t="s">
        <v>1568</v>
      </c>
      <c r="G10" s="2" t="s">
        <v>1505</v>
      </c>
      <c r="H10" s="2" t="s">
        <v>1505</v>
      </c>
      <c r="I10" s="2" t="s">
        <v>1569</v>
      </c>
      <c r="J10" s="2" t="s">
        <v>1570</v>
      </c>
      <c r="K10" s="2"/>
      <c r="L10" s="2" t="s">
        <v>1538</v>
      </c>
      <c r="M10" s="2" t="s">
        <v>1571</v>
      </c>
      <c r="N10" s="2" t="s">
        <v>1572</v>
      </c>
      <c r="O10" s="2" t="s">
        <v>1499</v>
      </c>
      <c r="P10" s="2" t="s">
        <v>1573</v>
      </c>
      <c r="Q10" s="2"/>
    </row>
    <row r="11" customFormat="false" ht="69.75" hidden="false" customHeight="true" outlineLevel="0" collapsed="false">
      <c r="A11" s="3" t="s">
        <v>1574</v>
      </c>
      <c r="B11" s="3" t="s">
        <v>1488</v>
      </c>
      <c r="C11" s="3" t="s">
        <v>1575</v>
      </c>
      <c r="D11" s="3"/>
      <c r="E11" s="3" t="s">
        <v>1576</v>
      </c>
      <c r="F11" s="3" t="s">
        <v>1577</v>
      </c>
      <c r="G11" s="3" t="s">
        <v>1578</v>
      </c>
      <c r="H11" s="3" t="s">
        <v>1578</v>
      </c>
      <c r="I11" s="3" t="s">
        <v>1579</v>
      </c>
      <c r="J11" s="3" t="s">
        <v>1580</v>
      </c>
      <c r="K11" s="3"/>
      <c r="L11" s="3" t="s">
        <v>1538</v>
      </c>
      <c r="M11" s="3" t="s">
        <v>1581</v>
      </c>
      <c r="N11" s="3" t="s">
        <v>1582</v>
      </c>
      <c r="O11" s="3" t="s">
        <v>1499</v>
      </c>
      <c r="P11" s="3" t="s">
        <v>1583</v>
      </c>
      <c r="Q11" s="3"/>
    </row>
    <row r="12" customFormat="false" ht="69.75" hidden="false" customHeight="true" outlineLevel="0" collapsed="false">
      <c r="A12" s="2" t="s">
        <v>1584</v>
      </c>
      <c r="B12" s="2" t="s">
        <v>1488</v>
      </c>
      <c r="C12" s="2" t="s">
        <v>1585</v>
      </c>
      <c r="D12" s="2"/>
      <c r="E12" s="2" t="s">
        <v>251</v>
      </c>
      <c r="F12" s="2" t="s">
        <v>1586</v>
      </c>
      <c r="G12" s="2" t="s">
        <v>1492</v>
      </c>
      <c r="H12" s="2" t="s">
        <v>1499</v>
      </c>
      <c r="I12" s="2" t="s">
        <v>1587</v>
      </c>
      <c r="J12" s="2" t="s">
        <v>1588</v>
      </c>
      <c r="K12" s="2" t="s">
        <v>1589</v>
      </c>
      <c r="L12" s="2" t="s">
        <v>1496</v>
      </c>
      <c r="M12" s="2" t="s">
        <v>1590</v>
      </c>
      <c r="N12" s="2" t="s">
        <v>1591</v>
      </c>
      <c r="O12" s="2" t="s">
        <v>1499</v>
      </c>
      <c r="P12" s="2" t="s">
        <v>1592</v>
      </c>
      <c r="Q12" s="2"/>
    </row>
    <row r="13" customFormat="false" ht="69.75" hidden="false" customHeight="true" outlineLevel="0" collapsed="false">
      <c r="A13" s="3" t="s">
        <v>1593</v>
      </c>
      <c r="B13" s="3" t="s">
        <v>1488</v>
      </c>
      <c r="C13" s="3" t="s">
        <v>1594</v>
      </c>
      <c r="D13" s="3"/>
      <c r="E13" s="3" t="s">
        <v>1595</v>
      </c>
      <c r="F13" s="3" t="s">
        <v>1596</v>
      </c>
      <c r="G13" s="3" t="s">
        <v>1505</v>
      </c>
      <c r="H13" s="3" t="s">
        <v>1505</v>
      </c>
      <c r="I13" s="3" t="s">
        <v>1597</v>
      </c>
      <c r="J13" s="3" t="s">
        <v>1598</v>
      </c>
      <c r="K13" s="3"/>
      <c r="L13" s="3" t="s">
        <v>1538</v>
      </c>
      <c r="M13" s="3" t="s">
        <v>1599</v>
      </c>
      <c r="N13" s="3" t="s">
        <v>1564</v>
      </c>
      <c r="O13" s="3" t="s">
        <v>1499</v>
      </c>
      <c r="P13" s="3" t="s">
        <v>1600</v>
      </c>
      <c r="Q13" s="3"/>
    </row>
    <row r="14" customFormat="false" ht="69.75" hidden="false" customHeight="true" outlineLevel="0" collapsed="false">
      <c r="A14" s="2" t="s">
        <v>1601</v>
      </c>
      <c r="B14" s="2" t="s">
        <v>1602</v>
      </c>
      <c r="C14" s="2" t="s">
        <v>1603</v>
      </c>
      <c r="D14" s="2"/>
      <c r="E14" s="2" t="s">
        <v>1604</v>
      </c>
      <c r="F14" s="2" t="s">
        <v>1605</v>
      </c>
      <c r="G14" s="2" t="s">
        <v>1505</v>
      </c>
      <c r="H14" s="2" t="s">
        <v>1505</v>
      </c>
      <c r="I14" s="2" t="s">
        <v>1606</v>
      </c>
      <c r="J14" s="2" t="s">
        <v>1607</v>
      </c>
      <c r="K14" s="2"/>
      <c r="L14" s="2" t="s">
        <v>1608</v>
      </c>
      <c r="M14" s="2" t="s">
        <v>1609</v>
      </c>
      <c r="N14" s="2" t="s">
        <v>1610</v>
      </c>
      <c r="O14" s="2" t="s">
        <v>1499</v>
      </c>
      <c r="P14" s="2" t="s">
        <v>1611</v>
      </c>
      <c r="Q14" s="2"/>
    </row>
    <row r="15" customFormat="false" ht="69.75" hidden="false" customHeight="true" outlineLevel="0" collapsed="false">
      <c r="A15" s="3" t="s">
        <v>1612</v>
      </c>
      <c r="B15" s="3" t="s">
        <v>1602</v>
      </c>
      <c r="C15" s="3" t="s">
        <v>1613</v>
      </c>
      <c r="D15" s="3"/>
      <c r="E15" s="3" t="s">
        <v>251</v>
      </c>
      <c r="F15" s="3" t="s">
        <v>1614</v>
      </c>
      <c r="G15" s="3" t="s">
        <v>1499</v>
      </c>
      <c r="H15" s="3" t="s">
        <v>1499</v>
      </c>
      <c r="I15" s="3" t="s">
        <v>1615</v>
      </c>
      <c r="J15" s="3" t="s">
        <v>1616</v>
      </c>
      <c r="K15" s="3"/>
      <c r="L15" s="3" t="s">
        <v>1617</v>
      </c>
      <c r="M15" s="3" t="s">
        <v>1618</v>
      </c>
      <c r="N15" s="3" t="s">
        <v>1619</v>
      </c>
      <c r="O15" s="3" t="s">
        <v>1499</v>
      </c>
      <c r="P15" s="3" t="s">
        <v>1620</v>
      </c>
      <c r="Q15" s="3"/>
    </row>
    <row r="16" customFormat="false" ht="69.75" hidden="false" customHeight="true" outlineLevel="0" collapsed="false">
      <c r="A16" s="2" t="s">
        <v>1621</v>
      </c>
      <c r="B16" s="2" t="s">
        <v>1602</v>
      </c>
      <c r="C16" s="2" t="s">
        <v>1622</v>
      </c>
      <c r="D16" s="2"/>
      <c r="E16" s="2" t="s">
        <v>1526</v>
      </c>
      <c r="F16" s="2" t="s">
        <v>1623</v>
      </c>
      <c r="G16" s="2" t="s">
        <v>1499</v>
      </c>
      <c r="H16" s="2" t="s">
        <v>1499</v>
      </c>
      <c r="I16" s="2" t="s">
        <v>1624</v>
      </c>
      <c r="J16" s="2" t="s">
        <v>1625</v>
      </c>
      <c r="K16" s="2"/>
      <c r="L16" s="2" t="s">
        <v>1538</v>
      </c>
      <c r="M16" s="2" t="s">
        <v>1626</v>
      </c>
      <c r="N16" s="2" t="s">
        <v>1627</v>
      </c>
      <c r="O16" s="2" t="s">
        <v>1499</v>
      </c>
      <c r="P16" s="2" t="s">
        <v>1628</v>
      </c>
      <c r="Q16" s="2"/>
    </row>
    <row r="17" customFormat="false" ht="69.75" hidden="false" customHeight="true" outlineLevel="0" collapsed="false">
      <c r="A17" s="3" t="s">
        <v>1629</v>
      </c>
      <c r="B17" s="3" t="s">
        <v>1602</v>
      </c>
      <c r="C17" s="3" t="s">
        <v>1630</v>
      </c>
      <c r="D17" s="3"/>
      <c r="E17" s="3" t="s">
        <v>1604</v>
      </c>
      <c r="F17" s="3" t="s">
        <v>1631</v>
      </c>
      <c r="G17" s="3" t="s">
        <v>1505</v>
      </c>
      <c r="H17" s="3" t="s">
        <v>1505</v>
      </c>
      <c r="I17" s="3" t="s">
        <v>1632</v>
      </c>
      <c r="J17" s="3" t="s">
        <v>1633</v>
      </c>
      <c r="K17" s="3"/>
      <c r="L17" s="3" t="s">
        <v>1634</v>
      </c>
      <c r="M17" s="3" t="s">
        <v>1635</v>
      </c>
      <c r="N17" s="3" t="s">
        <v>1610</v>
      </c>
      <c r="O17" s="3" t="s">
        <v>1499</v>
      </c>
      <c r="P17" s="3" t="s">
        <v>1636</v>
      </c>
      <c r="Q17" s="3"/>
    </row>
    <row r="18" customFormat="false" ht="69.75" hidden="false" customHeight="true" outlineLevel="0" collapsed="false">
      <c r="A18" s="2" t="s">
        <v>1637</v>
      </c>
      <c r="B18" s="2" t="s">
        <v>1638</v>
      </c>
      <c r="C18" s="2" t="s">
        <v>1639</v>
      </c>
      <c r="D18" s="2"/>
      <c r="E18" s="2" t="s">
        <v>1526</v>
      </c>
      <c r="F18" s="2" t="s">
        <v>1640</v>
      </c>
      <c r="G18" s="2" t="s">
        <v>1499</v>
      </c>
      <c r="H18" s="2" t="s">
        <v>1499</v>
      </c>
      <c r="I18" s="2" t="s">
        <v>1641</v>
      </c>
      <c r="J18" s="2" t="s">
        <v>1642</v>
      </c>
      <c r="K18" s="2"/>
      <c r="L18" s="2" t="s">
        <v>1643</v>
      </c>
      <c r="M18" s="2" t="s">
        <v>1644</v>
      </c>
      <c r="N18" s="2" t="s">
        <v>1645</v>
      </c>
      <c r="O18" s="2" t="s">
        <v>1499</v>
      </c>
      <c r="P18" s="2" t="s">
        <v>1646</v>
      </c>
      <c r="Q18" s="2"/>
    </row>
    <row r="19" customFormat="false" ht="69.75" hidden="false" customHeight="true" outlineLevel="0" collapsed="false">
      <c r="A19" s="3" t="s">
        <v>1647</v>
      </c>
      <c r="B19" s="3" t="s">
        <v>1638</v>
      </c>
      <c r="C19" s="3" t="s">
        <v>1648</v>
      </c>
      <c r="D19" s="3" t="s">
        <v>1490</v>
      </c>
      <c r="E19" s="3" t="s">
        <v>1649</v>
      </c>
      <c r="F19" s="3" t="s">
        <v>1650</v>
      </c>
      <c r="G19" s="3" t="s">
        <v>1499</v>
      </c>
      <c r="H19" s="3" t="s">
        <v>1499</v>
      </c>
      <c r="I19" s="3" t="s">
        <v>1651</v>
      </c>
      <c r="J19" s="3" t="s">
        <v>1652</v>
      </c>
      <c r="K19" s="3" t="s">
        <v>1653</v>
      </c>
      <c r="L19" s="3" t="s">
        <v>1509</v>
      </c>
      <c r="M19" s="3" t="s">
        <v>1654</v>
      </c>
      <c r="N19" s="3" t="s">
        <v>1655</v>
      </c>
      <c r="O19" s="3" t="s">
        <v>1499</v>
      </c>
      <c r="P19" s="3" t="s">
        <v>1656</v>
      </c>
      <c r="Q19" s="3"/>
    </row>
    <row r="20" customFormat="false" ht="69.75" hidden="false" customHeight="true" outlineLevel="0" collapsed="false">
      <c r="A20" s="2" t="s">
        <v>1657</v>
      </c>
      <c r="B20" s="2" t="s">
        <v>1638</v>
      </c>
      <c r="C20" s="2" t="s">
        <v>1658</v>
      </c>
      <c r="D20" s="2" t="s">
        <v>1490</v>
      </c>
      <c r="E20" s="2" t="s">
        <v>251</v>
      </c>
      <c r="F20" s="2" t="s">
        <v>1659</v>
      </c>
      <c r="G20" s="2" t="s">
        <v>1499</v>
      </c>
      <c r="H20" s="2" t="s">
        <v>1499</v>
      </c>
      <c r="I20" s="2" t="s">
        <v>1660</v>
      </c>
      <c r="J20" s="2" t="s">
        <v>1661</v>
      </c>
      <c r="K20" s="2"/>
      <c r="L20" s="2" t="s">
        <v>1643</v>
      </c>
      <c r="M20" s="2" t="s">
        <v>1662</v>
      </c>
      <c r="N20" s="2" t="s">
        <v>1619</v>
      </c>
      <c r="O20" s="2" t="s">
        <v>1499</v>
      </c>
      <c r="P20" s="2" t="s">
        <v>1663</v>
      </c>
      <c r="Q20" s="2"/>
    </row>
    <row r="21" customFormat="false" ht="69.75" hidden="false" customHeight="true" outlineLevel="0" collapsed="false">
      <c r="A21" s="3" t="s">
        <v>1664</v>
      </c>
      <c r="B21" s="3" t="s">
        <v>1602</v>
      </c>
      <c r="C21" s="3" t="s">
        <v>1665</v>
      </c>
      <c r="D21" s="3"/>
      <c r="E21" s="3" t="s">
        <v>1604</v>
      </c>
      <c r="F21" s="3" t="s">
        <v>1666</v>
      </c>
      <c r="G21" s="3" t="s">
        <v>1505</v>
      </c>
      <c r="H21" s="3" t="s">
        <v>1505</v>
      </c>
      <c r="I21" s="3" t="s">
        <v>1667</v>
      </c>
      <c r="J21" s="3" t="s">
        <v>1668</v>
      </c>
      <c r="K21" s="3"/>
      <c r="L21" s="3" t="s">
        <v>1634</v>
      </c>
      <c r="M21" s="3" t="s">
        <v>1669</v>
      </c>
      <c r="N21" s="3" t="s">
        <v>1610</v>
      </c>
      <c r="O21" s="3" t="s">
        <v>1499</v>
      </c>
      <c r="P21" s="3" t="s">
        <v>1670</v>
      </c>
      <c r="Q21" s="3"/>
    </row>
    <row r="22" customFormat="false" ht="69.75" hidden="false" customHeight="true" outlineLevel="0" collapsed="false">
      <c r="A22" s="2" t="s">
        <v>1671</v>
      </c>
      <c r="B22" s="2" t="s">
        <v>1602</v>
      </c>
      <c r="C22" s="2" t="s">
        <v>1672</v>
      </c>
      <c r="D22" s="2"/>
      <c r="E22" s="2" t="s">
        <v>1673</v>
      </c>
      <c r="F22" s="2" t="s">
        <v>1674</v>
      </c>
      <c r="G22" s="2" t="s">
        <v>1499</v>
      </c>
      <c r="H22" s="2" t="s">
        <v>1499</v>
      </c>
      <c r="I22" s="2" t="s">
        <v>1675</v>
      </c>
      <c r="J22" s="2" t="s">
        <v>1676</v>
      </c>
      <c r="K22" s="2"/>
      <c r="L22" s="2" t="s">
        <v>1634</v>
      </c>
      <c r="M22" s="2" t="s">
        <v>1677</v>
      </c>
      <c r="N22" s="2" t="s">
        <v>1627</v>
      </c>
      <c r="O22" s="2" t="s">
        <v>1499</v>
      </c>
      <c r="P22" s="2" t="s">
        <v>1678</v>
      </c>
      <c r="Q22" s="2"/>
    </row>
    <row r="23" customFormat="false" ht="69.75" hidden="false" customHeight="true" outlineLevel="0" collapsed="false">
      <c r="A23" s="3" t="s">
        <v>1679</v>
      </c>
      <c r="B23" s="3" t="s">
        <v>1680</v>
      </c>
      <c r="C23" s="3" t="s">
        <v>1681</v>
      </c>
      <c r="D23" s="3"/>
      <c r="E23" s="3" t="s">
        <v>1682</v>
      </c>
      <c r="F23" s="3" t="s">
        <v>1683</v>
      </c>
      <c r="G23" s="3" t="s">
        <v>1578</v>
      </c>
      <c r="H23" s="3" t="s">
        <v>1499</v>
      </c>
      <c r="I23" s="3" t="s">
        <v>1684</v>
      </c>
      <c r="J23" s="3" t="s">
        <v>1685</v>
      </c>
      <c r="K23" s="3"/>
      <c r="L23" s="3" t="s">
        <v>1686</v>
      </c>
      <c r="M23" s="3" t="s">
        <v>1687</v>
      </c>
      <c r="N23" s="3" t="s">
        <v>1688</v>
      </c>
      <c r="O23" s="3" t="s">
        <v>1499</v>
      </c>
      <c r="P23" s="3" t="s">
        <v>1689</v>
      </c>
      <c r="Q23" s="3" t="s">
        <v>1690</v>
      </c>
    </row>
    <row r="24" customFormat="false" ht="69.75" hidden="false" customHeight="true" outlineLevel="0" collapsed="false">
      <c r="A24" s="2" t="s">
        <v>1691</v>
      </c>
      <c r="B24" s="2" t="s">
        <v>1692</v>
      </c>
      <c r="C24" s="2" t="s">
        <v>1693</v>
      </c>
      <c r="D24" s="2"/>
      <c r="E24" s="2" t="s">
        <v>1526</v>
      </c>
      <c r="F24" s="2" t="s">
        <v>1694</v>
      </c>
      <c r="G24" s="2" t="s">
        <v>1499</v>
      </c>
      <c r="H24" s="2" t="s">
        <v>1499</v>
      </c>
      <c r="I24" s="2" t="s">
        <v>1695</v>
      </c>
      <c r="J24" s="2" t="s">
        <v>1696</v>
      </c>
      <c r="K24" s="2"/>
      <c r="L24" s="2" t="s">
        <v>1538</v>
      </c>
      <c r="M24" s="2" t="s">
        <v>1697</v>
      </c>
      <c r="N24" s="2" t="s">
        <v>1698</v>
      </c>
      <c r="O24" s="2" t="s">
        <v>1499</v>
      </c>
      <c r="P24" s="2" t="s">
        <v>1699</v>
      </c>
      <c r="Q24" s="2"/>
    </row>
    <row r="25" customFormat="false" ht="69.75" hidden="false" customHeight="true" outlineLevel="0" collapsed="false">
      <c r="A25" s="3" t="s">
        <v>1700</v>
      </c>
      <c r="B25" s="3" t="s">
        <v>1602</v>
      </c>
      <c r="C25" s="3" t="s">
        <v>1701</v>
      </c>
      <c r="D25" s="3"/>
      <c r="E25" s="3" t="s">
        <v>1702</v>
      </c>
      <c r="F25" s="3" t="s">
        <v>1703</v>
      </c>
      <c r="G25" s="3" t="s">
        <v>1499</v>
      </c>
      <c r="H25" s="3" t="s">
        <v>1499</v>
      </c>
      <c r="I25" s="3" t="s">
        <v>1704</v>
      </c>
      <c r="J25" s="3" t="s">
        <v>1705</v>
      </c>
      <c r="K25" s="3" t="s">
        <v>1589</v>
      </c>
      <c r="L25" s="3" t="s">
        <v>1496</v>
      </c>
      <c r="M25" s="3" t="s">
        <v>1706</v>
      </c>
      <c r="N25" s="3" t="s">
        <v>1591</v>
      </c>
      <c r="O25" s="3" t="s">
        <v>1499</v>
      </c>
      <c r="P25" s="3" t="s">
        <v>1707</v>
      </c>
      <c r="Q25" s="3"/>
    </row>
    <row r="26" customFormat="false" ht="69.75" hidden="false" customHeight="true" outlineLevel="0" collapsed="false">
      <c r="A26" s="2" t="s">
        <v>1708</v>
      </c>
      <c r="B26" s="2" t="s">
        <v>1488</v>
      </c>
      <c r="C26" s="2" t="s">
        <v>1709</v>
      </c>
      <c r="D26" s="2"/>
      <c r="E26" s="2" t="s">
        <v>1710</v>
      </c>
      <c r="F26" s="2" t="s">
        <v>1711</v>
      </c>
      <c r="G26" s="2" t="s">
        <v>1499</v>
      </c>
      <c r="H26" s="2" t="s">
        <v>1499</v>
      </c>
      <c r="I26" s="2" t="s">
        <v>1712</v>
      </c>
      <c r="J26" s="2" t="s">
        <v>1713</v>
      </c>
      <c r="K26" s="2"/>
      <c r="L26" s="2" t="s">
        <v>1714</v>
      </c>
      <c r="M26" s="2" t="s">
        <v>1715</v>
      </c>
      <c r="N26" s="2" t="s">
        <v>1716</v>
      </c>
      <c r="O26" s="2" t="s">
        <v>1499</v>
      </c>
      <c r="P26" s="2" t="s">
        <v>1717</v>
      </c>
      <c r="Q26" s="2" t="s">
        <v>1718</v>
      </c>
    </row>
    <row r="27" customFormat="false" ht="69.75" hidden="false" customHeight="true" outlineLevel="0" collapsed="false">
      <c r="A27" s="3" t="s">
        <v>1719</v>
      </c>
      <c r="B27" s="3" t="s">
        <v>1488</v>
      </c>
      <c r="C27" s="3" t="s">
        <v>1720</v>
      </c>
      <c r="D27" s="3"/>
      <c r="E27" s="3" t="s">
        <v>1595</v>
      </c>
      <c r="F27" s="3" t="s">
        <v>1721</v>
      </c>
      <c r="G27" s="3" t="s">
        <v>1505</v>
      </c>
      <c r="H27" s="3" t="s">
        <v>1505</v>
      </c>
      <c r="I27" s="3" t="s">
        <v>1722</v>
      </c>
      <c r="J27" s="3" t="s">
        <v>1723</v>
      </c>
      <c r="K27" s="3"/>
      <c r="L27" s="3" t="s">
        <v>1538</v>
      </c>
      <c r="M27" s="3" t="s">
        <v>1724</v>
      </c>
      <c r="N27" s="3" t="s">
        <v>1725</v>
      </c>
      <c r="O27" s="3" t="s">
        <v>1499</v>
      </c>
      <c r="P27" s="3" t="s">
        <v>1726</v>
      </c>
      <c r="Q27" s="3"/>
    </row>
    <row r="28" customFormat="false" ht="69.75" hidden="false" customHeight="true" outlineLevel="0" collapsed="false">
      <c r="A28" s="2" t="s">
        <v>1727</v>
      </c>
      <c r="B28" s="2" t="s">
        <v>1488</v>
      </c>
      <c r="C28" s="2" t="s">
        <v>1728</v>
      </c>
      <c r="D28" s="2"/>
      <c r="E28" s="2" t="s">
        <v>1729</v>
      </c>
      <c r="F28" s="2" t="s">
        <v>1730</v>
      </c>
      <c r="G28" s="2" t="s">
        <v>1499</v>
      </c>
      <c r="H28" s="2" t="s">
        <v>1499</v>
      </c>
      <c r="I28" s="2" t="s">
        <v>1731</v>
      </c>
      <c r="J28" s="2" t="s">
        <v>1732</v>
      </c>
      <c r="K28" s="2"/>
      <c r="L28" s="2" t="s">
        <v>1733</v>
      </c>
      <c r="M28" s="2" t="s">
        <v>1734</v>
      </c>
      <c r="N28" s="2" t="s">
        <v>1735</v>
      </c>
      <c r="O28" s="2" t="s">
        <v>1499</v>
      </c>
      <c r="P28" s="2" t="s">
        <v>1736</v>
      </c>
      <c r="Q28" s="2"/>
    </row>
    <row r="29" customFormat="false" ht="69.75" hidden="false" customHeight="true" outlineLevel="0" collapsed="false">
      <c r="A29" s="3" t="s">
        <v>1737</v>
      </c>
      <c r="B29" s="3" t="s">
        <v>1488</v>
      </c>
      <c r="C29" s="3" t="s">
        <v>1738</v>
      </c>
      <c r="D29" s="3"/>
      <c r="E29" s="3" t="s">
        <v>1739</v>
      </c>
      <c r="F29" s="3" t="s">
        <v>1740</v>
      </c>
      <c r="G29" s="3" t="s">
        <v>1499</v>
      </c>
      <c r="H29" s="3" t="s">
        <v>1499</v>
      </c>
      <c r="I29" s="3" t="s">
        <v>1741</v>
      </c>
      <c r="J29" s="3" t="s">
        <v>1742</v>
      </c>
      <c r="K29" s="3"/>
      <c r="L29" s="3" t="s">
        <v>1743</v>
      </c>
      <c r="M29" s="3" t="s">
        <v>1744</v>
      </c>
      <c r="N29" s="3" t="s">
        <v>1591</v>
      </c>
      <c r="O29" s="3" t="s">
        <v>1499</v>
      </c>
      <c r="P29" s="3" t="s">
        <v>1745</v>
      </c>
      <c r="Q29" s="3"/>
    </row>
    <row r="30" customFormat="false" ht="69.75" hidden="false" customHeight="true" outlineLevel="0" collapsed="false">
      <c r="A30" s="2" t="s">
        <v>1746</v>
      </c>
      <c r="B30" s="2" t="s">
        <v>1747</v>
      </c>
      <c r="C30" s="2" t="s">
        <v>1748</v>
      </c>
      <c r="D30" s="2"/>
      <c r="E30" s="2" t="s">
        <v>1749</v>
      </c>
      <c r="F30" s="2" t="s">
        <v>1750</v>
      </c>
      <c r="G30" s="2" t="s">
        <v>1751</v>
      </c>
      <c r="H30" s="2" t="s">
        <v>1751</v>
      </c>
      <c r="I30" s="2" t="s">
        <v>1752</v>
      </c>
      <c r="J30" s="2" t="s">
        <v>1753</v>
      </c>
      <c r="K30" s="2" t="s">
        <v>1754</v>
      </c>
      <c r="L30" s="2" t="s">
        <v>1755</v>
      </c>
      <c r="M30" s="2" t="s">
        <v>1756</v>
      </c>
      <c r="N30" s="2" t="s">
        <v>1757</v>
      </c>
      <c r="O30" s="2" t="s">
        <v>1499</v>
      </c>
      <c r="P30" s="2" t="s">
        <v>1758</v>
      </c>
      <c r="Q30" s="2" t="s">
        <v>1759</v>
      </c>
    </row>
    <row r="31" customFormat="false" ht="69.75" hidden="false" customHeight="true" outlineLevel="0" collapsed="false">
      <c r="A31" s="3" t="s">
        <v>1760</v>
      </c>
      <c r="B31" s="3" t="s">
        <v>1761</v>
      </c>
      <c r="C31" s="3" t="s">
        <v>1762</v>
      </c>
      <c r="D31" s="3"/>
      <c r="E31" s="3" t="s">
        <v>1763</v>
      </c>
      <c r="F31" s="3" t="s">
        <v>1764</v>
      </c>
      <c r="G31" s="3" t="s">
        <v>1499</v>
      </c>
      <c r="H31" s="3" t="s">
        <v>1499</v>
      </c>
      <c r="I31" s="3" t="s">
        <v>1765</v>
      </c>
      <c r="J31" s="3" t="s">
        <v>1766</v>
      </c>
      <c r="K31" s="3" t="s">
        <v>1767</v>
      </c>
      <c r="L31" s="7" t="s">
        <v>1768</v>
      </c>
      <c r="M31" s="3" t="s">
        <v>1769</v>
      </c>
      <c r="N31" s="3" t="s">
        <v>1770</v>
      </c>
      <c r="O31" s="3" t="s">
        <v>1499</v>
      </c>
      <c r="P31" s="3" t="s">
        <v>1771</v>
      </c>
      <c r="Q31" s="3" t="s">
        <v>1772</v>
      </c>
    </row>
    <row r="32" customFormat="false" ht="69.75" hidden="false" customHeight="true" outlineLevel="0" collapsed="false">
      <c r="A32" s="2" t="s">
        <v>1773</v>
      </c>
      <c r="B32" s="2" t="s">
        <v>1761</v>
      </c>
      <c r="C32" s="2" t="s">
        <v>1774</v>
      </c>
      <c r="D32" s="2"/>
      <c r="E32" s="2" t="s">
        <v>1763</v>
      </c>
      <c r="F32" s="2" t="s">
        <v>1764</v>
      </c>
      <c r="G32" s="2" t="s">
        <v>1499</v>
      </c>
      <c r="H32" s="2" t="s">
        <v>1499</v>
      </c>
      <c r="I32" s="2" t="s">
        <v>1775</v>
      </c>
      <c r="J32" s="2" t="s">
        <v>1776</v>
      </c>
      <c r="K32" s="2" t="s">
        <v>1777</v>
      </c>
      <c r="L32" s="2" t="s">
        <v>1755</v>
      </c>
      <c r="M32" s="2" t="s">
        <v>1778</v>
      </c>
      <c r="N32" s="2" t="s">
        <v>1779</v>
      </c>
      <c r="O32" s="2" t="s">
        <v>1499</v>
      </c>
      <c r="P32" s="2" t="s">
        <v>1780</v>
      </c>
      <c r="Q32" s="2" t="s">
        <v>1781</v>
      </c>
    </row>
    <row r="33" customFormat="false" ht="69.75" hidden="false" customHeight="true" outlineLevel="0" collapsed="false">
      <c r="A33" s="3" t="s">
        <v>1782</v>
      </c>
      <c r="B33" s="3" t="s">
        <v>1761</v>
      </c>
      <c r="C33" s="3" t="s">
        <v>1783</v>
      </c>
      <c r="D33" s="3"/>
      <c r="E33" s="3" t="s">
        <v>1763</v>
      </c>
      <c r="F33" s="3" t="s">
        <v>1764</v>
      </c>
      <c r="G33" s="3" t="s">
        <v>1505</v>
      </c>
      <c r="H33" s="3" t="s">
        <v>1505</v>
      </c>
      <c r="I33" s="3" t="s">
        <v>1784</v>
      </c>
      <c r="J33" s="3" t="s">
        <v>1785</v>
      </c>
      <c r="K33" s="3" t="s">
        <v>1777</v>
      </c>
      <c r="L33" s="3" t="s">
        <v>1755</v>
      </c>
      <c r="M33" s="3" t="s">
        <v>1786</v>
      </c>
      <c r="N33" s="3" t="s">
        <v>1787</v>
      </c>
      <c r="O33" s="3" t="s">
        <v>1499</v>
      </c>
      <c r="P33" s="3" t="s">
        <v>1788</v>
      </c>
      <c r="Q33" s="3" t="s">
        <v>1789</v>
      </c>
    </row>
    <row r="34" customFormat="false" ht="69.75" hidden="false" customHeight="true" outlineLevel="0" collapsed="false">
      <c r="A34" s="2" t="s">
        <v>1790</v>
      </c>
      <c r="B34" s="2" t="s">
        <v>1761</v>
      </c>
      <c r="C34" s="2" t="s">
        <v>1791</v>
      </c>
      <c r="D34" s="2"/>
      <c r="E34" s="2" t="s">
        <v>1763</v>
      </c>
      <c r="F34" s="2" t="s">
        <v>1764</v>
      </c>
      <c r="G34" s="2" t="s">
        <v>1505</v>
      </c>
      <c r="H34" s="2" t="s">
        <v>1505</v>
      </c>
      <c r="I34" s="2" t="s">
        <v>1792</v>
      </c>
      <c r="J34" s="2" t="s">
        <v>1793</v>
      </c>
      <c r="K34" s="2" t="s">
        <v>1777</v>
      </c>
      <c r="L34" s="2" t="s">
        <v>1755</v>
      </c>
      <c r="M34" s="2" t="s">
        <v>1794</v>
      </c>
      <c r="N34" s="2" t="s">
        <v>1795</v>
      </c>
      <c r="O34" s="2" t="s">
        <v>1499</v>
      </c>
      <c r="P34" s="2" t="s">
        <v>1796</v>
      </c>
      <c r="Q34" s="2"/>
    </row>
    <row r="35" customFormat="false" ht="69.75" hidden="false" customHeight="true" outlineLevel="0" collapsed="false">
      <c r="A35" s="3" t="s">
        <v>1797</v>
      </c>
      <c r="B35" s="3" t="s">
        <v>1761</v>
      </c>
      <c r="C35" s="3" t="s">
        <v>1798</v>
      </c>
      <c r="D35" s="3"/>
      <c r="E35" s="3" t="s">
        <v>1763</v>
      </c>
      <c r="F35" s="3" t="s">
        <v>1764</v>
      </c>
      <c r="G35" s="3" t="s">
        <v>1505</v>
      </c>
      <c r="H35" s="3" t="s">
        <v>1505</v>
      </c>
      <c r="I35" s="3" t="s">
        <v>1799</v>
      </c>
      <c r="J35" s="3" t="s">
        <v>1800</v>
      </c>
      <c r="K35" s="3" t="s">
        <v>1777</v>
      </c>
      <c r="L35" s="7" t="s">
        <v>1768</v>
      </c>
      <c r="M35" s="3" t="s">
        <v>1801</v>
      </c>
      <c r="N35" s="3" t="s">
        <v>1802</v>
      </c>
      <c r="O35" s="3" t="s">
        <v>1499</v>
      </c>
      <c r="P35" s="3" t="s">
        <v>1803</v>
      </c>
      <c r="Q35" s="3" t="s">
        <v>1804</v>
      </c>
    </row>
    <row r="36" customFormat="false" ht="69.75" hidden="false" customHeight="true" outlineLevel="0" collapsed="false">
      <c r="A36" s="2" t="s">
        <v>1805</v>
      </c>
      <c r="B36" s="2" t="s">
        <v>1806</v>
      </c>
      <c r="C36" s="2" t="s">
        <v>1807</v>
      </c>
      <c r="D36" s="2"/>
      <c r="E36" s="2" t="s">
        <v>1763</v>
      </c>
      <c r="F36" s="2" t="s">
        <v>1764</v>
      </c>
      <c r="G36" s="2" t="s">
        <v>1499</v>
      </c>
      <c r="H36" s="2" t="s">
        <v>1499</v>
      </c>
      <c r="I36" s="2" t="s">
        <v>1808</v>
      </c>
      <c r="J36" s="2" t="s">
        <v>1809</v>
      </c>
      <c r="K36" s="2" t="s">
        <v>1810</v>
      </c>
      <c r="L36" s="2" t="s">
        <v>1811</v>
      </c>
      <c r="M36" s="2" t="s">
        <v>1812</v>
      </c>
      <c r="N36" s="2" t="s">
        <v>1813</v>
      </c>
      <c r="O36" s="2" t="s">
        <v>1499</v>
      </c>
      <c r="P36" s="2" t="s">
        <v>1814</v>
      </c>
      <c r="Q36" s="2" t="s">
        <v>1815</v>
      </c>
    </row>
    <row r="37" customFormat="false" ht="69.75" hidden="false" customHeight="true" outlineLevel="0" collapsed="false">
      <c r="A37" s="3" t="s">
        <v>1816</v>
      </c>
      <c r="B37" s="3" t="s">
        <v>1806</v>
      </c>
      <c r="C37" s="3" t="s">
        <v>1817</v>
      </c>
      <c r="D37" s="3"/>
      <c r="E37" s="3" t="s">
        <v>1763</v>
      </c>
      <c r="F37" s="3" t="s">
        <v>1764</v>
      </c>
      <c r="G37" s="3" t="s">
        <v>1505</v>
      </c>
      <c r="H37" s="3" t="s">
        <v>1505</v>
      </c>
      <c r="I37" s="3" t="s">
        <v>1818</v>
      </c>
      <c r="J37" s="3" t="s">
        <v>1819</v>
      </c>
      <c r="K37" s="3" t="s">
        <v>1820</v>
      </c>
      <c r="L37" s="3" t="s">
        <v>1755</v>
      </c>
      <c r="M37" s="3" t="s">
        <v>1821</v>
      </c>
      <c r="N37" s="3" t="s">
        <v>1822</v>
      </c>
      <c r="O37" s="3" t="s">
        <v>1499</v>
      </c>
      <c r="P37" s="3" t="s">
        <v>1823</v>
      </c>
      <c r="Q37" s="3" t="s">
        <v>1824</v>
      </c>
    </row>
    <row r="38" customFormat="false" ht="69.75" hidden="false" customHeight="true" outlineLevel="0" collapsed="false">
      <c r="A38" s="2" t="s">
        <v>1825</v>
      </c>
      <c r="B38" s="2" t="s">
        <v>1826</v>
      </c>
      <c r="C38" s="2" t="s">
        <v>1827</v>
      </c>
      <c r="D38" s="2"/>
      <c r="E38" s="2" t="s">
        <v>1763</v>
      </c>
      <c r="F38" s="2" t="s">
        <v>1764</v>
      </c>
      <c r="G38" s="2" t="s">
        <v>1492</v>
      </c>
      <c r="H38" s="2" t="s">
        <v>1505</v>
      </c>
      <c r="I38" s="2" t="s">
        <v>1828</v>
      </c>
      <c r="J38" s="2" t="s">
        <v>1829</v>
      </c>
      <c r="K38" s="2" t="s">
        <v>1830</v>
      </c>
      <c r="L38" s="2" t="s">
        <v>1831</v>
      </c>
      <c r="M38" s="2" t="s">
        <v>1832</v>
      </c>
      <c r="N38" s="2" t="s">
        <v>1833</v>
      </c>
      <c r="O38" s="2" t="s">
        <v>1499</v>
      </c>
      <c r="P38" s="2" t="s">
        <v>1834</v>
      </c>
      <c r="Q38" s="2" t="s">
        <v>1835</v>
      </c>
    </row>
    <row r="39" customFormat="false" ht="69.75" hidden="false" customHeight="true" outlineLevel="0" collapsed="false">
      <c r="A39" s="3" t="s">
        <v>1836</v>
      </c>
      <c r="B39" s="3" t="s">
        <v>1826</v>
      </c>
      <c r="C39" s="3" t="s">
        <v>1837</v>
      </c>
      <c r="D39" s="3"/>
      <c r="E39" s="3" t="s">
        <v>1763</v>
      </c>
      <c r="F39" s="3" t="s">
        <v>1764</v>
      </c>
      <c r="G39" s="3" t="s">
        <v>1499</v>
      </c>
      <c r="H39" s="3" t="s">
        <v>1505</v>
      </c>
      <c r="I39" s="3" t="s">
        <v>1838</v>
      </c>
      <c r="J39" s="3" t="s">
        <v>1839</v>
      </c>
      <c r="K39" s="3" t="s">
        <v>1840</v>
      </c>
      <c r="L39" s="3" t="s">
        <v>1841</v>
      </c>
      <c r="M39" s="3" t="s">
        <v>1842</v>
      </c>
      <c r="N39" s="3" t="s">
        <v>1843</v>
      </c>
      <c r="O39" s="3" t="s">
        <v>1499</v>
      </c>
      <c r="P39" s="3" t="s">
        <v>1844</v>
      </c>
      <c r="Q39" s="3" t="s">
        <v>1845</v>
      </c>
    </row>
    <row r="40" customFormat="false" ht="69.75" hidden="false" customHeight="true" outlineLevel="0" collapsed="false">
      <c r="A40" s="2" t="s">
        <v>1846</v>
      </c>
      <c r="B40" s="2" t="s">
        <v>1847</v>
      </c>
      <c r="C40" s="2" t="s">
        <v>1848</v>
      </c>
      <c r="D40" s="2"/>
      <c r="E40" s="2" t="s">
        <v>1763</v>
      </c>
      <c r="F40" s="2" t="s">
        <v>1764</v>
      </c>
      <c r="G40" s="2" t="s">
        <v>1505</v>
      </c>
      <c r="H40" s="2" t="s">
        <v>1505</v>
      </c>
      <c r="I40" s="2" t="s">
        <v>1849</v>
      </c>
      <c r="J40" s="2" t="s">
        <v>1850</v>
      </c>
      <c r="K40" s="2" t="s">
        <v>1851</v>
      </c>
      <c r="L40" s="2" t="s">
        <v>1755</v>
      </c>
      <c r="M40" s="2" t="s">
        <v>1852</v>
      </c>
      <c r="N40" s="2" t="s">
        <v>1853</v>
      </c>
      <c r="O40" s="2" t="s">
        <v>1499</v>
      </c>
      <c r="P40" s="2" t="s">
        <v>1854</v>
      </c>
      <c r="Q40" s="2" t="s">
        <v>1855</v>
      </c>
    </row>
    <row r="41" customFormat="false" ht="69.75" hidden="false" customHeight="true" outlineLevel="0" collapsed="false">
      <c r="A41" s="3" t="s">
        <v>1856</v>
      </c>
      <c r="B41" s="3" t="s">
        <v>1847</v>
      </c>
      <c r="C41" s="3" t="s">
        <v>1857</v>
      </c>
      <c r="D41" s="3"/>
      <c r="E41" s="3" t="s">
        <v>1763</v>
      </c>
      <c r="F41" s="3" t="s">
        <v>1764</v>
      </c>
      <c r="G41" s="3" t="s">
        <v>1578</v>
      </c>
      <c r="H41" s="3" t="s">
        <v>1499</v>
      </c>
      <c r="I41" s="3" t="s">
        <v>1858</v>
      </c>
      <c r="J41" s="3" t="s">
        <v>1859</v>
      </c>
      <c r="K41" s="3" t="s">
        <v>1767</v>
      </c>
      <c r="L41" s="7" t="s">
        <v>1860</v>
      </c>
      <c r="M41" s="3" t="s">
        <v>1861</v>
      </c>
      <c r="N41" s="3" t="s">
        <v>1862</v>
      </c>
      <c r="O41" s="3" t="s">
        <v>1499</v>
      </c>
      <c r="P41" s="3" t="s">
        <v>1863</v>
      </c>
      <c r="Q41" s="3" t="s">
        <v>1864</v>
      </c>
    </row>
    <row r="42" customFormat="false" ht="69.75" hidden="false" customHeight="true" outlineLevel="0" collapsed="false">
      <c r="A42" s="2" t="s">
        <v>1865</v>
      </c>
      <c r="B42" s="2" t="s">
        <v>1847</v>
      </c>
      <c r="C42" s="2" t="s">
        <v>1866</v>
      </c>
      <c r="D42" s="2"/>
      <c r="E42" s="2" t="s">
        <v>1763</v>
      </c>
      <c r="F42" s="2" t="s">
        <v>1764</v>
      </c>
      <c r="G42" s="2" t="s">
        <v>1505</v>
      </c>
      <c r="H42" s="2" t="s">
        <v>1505</v>
      </c>
      <c r="I42" s="2" t="s">
        <v>1867</v>
      </c>
      <c r="J42" s="2" t="s">
        <v>1868</v>
      </c>
      <c r="K42" s="2" t="s">
        <v>1851</v>
      </c>
      <c r="L42" s="2" t="s">
        <v>1755</v>
      </c>
      <c r="M42" s="2" t="s">
        <v>1869</v>
      </c>
      <c r="N42" s="2" t="s">
        <v>1870</v>
      </c>
      <c r="O42" s="2" t="s">
        <v>1499</v>
      </c>
      <c r="P42" s="2" t="s">
        <v>1871</v>
      </c>
      <c r="Q42" s="2" t="s">
        <v>1872</v>
      </c>
    </row>
    <row r="43" customFormat="false" ht="69.75" hidden="false" customHeight="true" outlineLevel="0" collapsed="false">
      <c r="A43" s="3" t="s">
        <v>1873</v>
      </c>
      <c r="B43" s="3" t="s">
        <v>1847</v>
      </c>
      <c r="C43" s="3" t="s">
        <v>1874</v>
      </c>
      <c r="D43" s="3"/>
      <c r="E43" s="3" t="s">
        <v>1763</v>
      </c>
      <c r="F43" s="3" t="s">
        <v>1764</v>
      </c>
      <c r="G43" s="3" t="s">
        <v>1499</v>
      </c>
      <c r="H43" s="3" t="s">
        <v>1499</v>
      </c>
      <c r="I43" s="3" t="s">
        <v>1875</v>
      </c>
      <c r="J43" s="3" t="s">
        <v>1876</v>
      </c>
      <c r="K43" s="3" t="s">
        <v>1767</v>
      </c>
      <c r="L43" s="7" t="s">
        <v>1768</v>
      </c>
      <c r="M43" s="3" t="s">
        <v>1877</v>
      </c>
      <c r="N43" s="3" t="s">
        <v>1878</v>
      </c>
      <c r="O43" s="3" t="s">
        <v>1499</v>
      </c>
      <c r="P43" s="3" t="s">
        <v>1879</v>
      </c>
      <c r="Q43" s="3" t="s">
        <v>1880</v>
      </c>
    </row>
    <row r="44" customFormat="false" ht="69.75" hidden="false" customHeight="true" outlineLevel="0" collapsed="false">
      <c r="A44" s="2" t="s">
        <v>1881</v>
      </c>
      <c r="B44" s="2" t="s">
        <v>1847</v>
      </c>
      <c r="C44" s="2" t="s">
        <v>1882</v>
      </c>
      <c r="D44" s="2"/>
      <c r="E44" s="2" t="s">
        <v>1763</v>
      </c>
      <c r="F44" s="2" t="s">
        <v>1764</v>
      </c>
      <c r="G44" s="2" t="s">
        <v>1499</v>
      </c>
      <c r="H44" s="2" t="s">
        <v>1499</v>
      </c>
      <c r="I44" s="2" t="s">
        <v>1883</v>
      </c>
      <c r="J44" s="2" t="s">
        <v>1884</v>
      </c>
      <c r="K44" s="2" t="s">
        <v>1851</v>
      </c>
      <c r="L44" s="2" t="s">
        <v>1755</v>
      </c>
      <c r="M44" s="2" t="s">
        <v>1885</v>
      </c>
      <c r="N44" s="2" t="s">
        <v>1886</v>
      </c>
      <c r="O44" s="2" t="s">
        <v>1499</v>
      </c>
      <c r="P44" s="2" t="s">
        <v>1887</v>
      </c>
      <c r="Q44" s="2" t="s">
        <v>1888</v>
      </c>
    </row>
    <row r="45" customFormat="false" ht="69.75" hidden="false" customHeight="true" outlineLevel="0" collapsed="false">
      <c r="A45" s="3" t="s">
        <v>1889</v>
      </c>
      <c r="B45" s="3" t="s">
        <v>1847</v>
      </c>
      <c r="C45" s="3" t="s">
        <v>1890</v>
      </c>
      <c r="D45" s="3"/>
      <c r="E45" s="3" t="s">
        <v>1763</v>
      </c>
      <c r="F45" s="3" t="s">
        <v>1764</v>
      </c>
      <c r="G45" s="3" t="s">
        <v>1505</v>
      </c>
      <c r="H45" s="3" t="s">
        <v>1505</v>
      </c>
      <c r="I45" s="3" t="s">
        <v>1891</v>
      </c>
      <c r="J45" s="3" t="s">
        <v>1892</v>
      </c>
      <c r="K45" s="3" t="s">
        <v>1851</v>
      </c>
      <c r="L45" s="3" t="s">
        <v>1755</v>
      </c>
      <c r="M45" s="3" t="s">
        <v>1893</v>
      </c>
      <c r="N45" s="3" t="s">
        <v>1894</v>
      </c>
      <c r="O45" s="3" t="s">
        <v>1499</v>
      </c>
      <c r="P45" s="3" t="s">
        <v>1895</v>
      </c>
      <c r="Q45" s="3" t="s">
        <v>1896</v>
      </c>
    </row>
    <row r="46" customFormat="false" ht="69.75" hidden="false" customHeight="true" outlineLevel="0" collapsed="false">
      <c r="A46" s="2" t="s">
        <v>1897</v>
      </c>
      <c r="B46" s="2" t="s">
        <v>1847</v>
      </c>
      <c r="C46" s="2" t="s">
        <v>1898</v>
      </c>
      <c r="D46" s="2"/>
      <c r="E46" s="2" t="s">
        <v>1763</v>
      </c>
      <c r="F46" s="2" t="s">
        <v>1764</v>
      </c>
      <c r="G46" s="2" t="s">
        <v>1499</v>
      </c>
      <c r="H46" s="2" t="s">
        <v>1499</v>
      </c>
      <c r="I46" s="2" t="s">
        <v>1899</v>
      </c>
      <c r="J46" s="2" t="s">
        <v>1900</v>
      </c>
      <c r="K46" s="2" t="s">
        <v>1851</v>
      </c>
      <c r="L46" s="2" t="s">
        <v>1755</v>
      </c>
      <c r="M46" s="2" t="s">
        <v>1901</v>
      </c>
      <c r="N46" s="2" t="s">
        <v>1902</v>
      </c>
      <c r="O46" s="2" t="s">
        <v>1499</v>
      </c>
      <c r="P46" s="2" t="s">
        <v>1903</v>
      </c>
      <c r="Q46" s="2" t="s">
        <v>1904</v>
      </c>
    </row>
    <row r="47" customFormat="false" ht="69.75" hidden="false" customHeight="true" outlineLevel="0" collapsed="false">
      <c r="A47" s="3" t="s">
        <v>1905</v>
      </c>
      <c r="B47" s="3" t="s">
        <v>1906</v>
      </c>
      <c r="C47" s="3" t="s">
        <v>1907</v>
      </c>
      <c r="D47" s="3"/>
      <c r="E47" s="3" t="s">
        <v>1763</v>
      </c>
      <c r="F47" s="3" t="s">
        <v>1764</v>
      </c>
      <c r="G47" s="3" t="s">
        <v>1499</v>
      </c>
      <c r="H47" s="3" t="s">
        <v>1499</v>
      </c>
      <c r="I47" s="3" t="s">
        <v>1908</v>
      </c>
      <c r="J47" s="3" t="s">
        <v>1909</v>
      </c>
      <c r="K47" s="3" t="s">
        <v>1910</v>
      </c>
      <c r="L47" s="3" t="s">
        <v>1755</v>
      </c>
      <c r="M47" s="3" t="s">
        <v>1911</v>
      </c>
      <c r="N47" s="3" t="s">
        <v>1912</v>
      </c>
      <c r="O47" s="3" t="s">
        <v>1499</v>
      </c>
      <c r="P47" s="3" t="s">
        <v>1913</v>
      </c>
      <c r="Q47" s="3" t="s">
        <v>1914</v>
      </c>
    </row>
    <row r="48" customFormat="false" ht="69.75" hidden="false" customHeight="true" outlineLevel="0" collapsed="false">
      <c r="A48" s="2" t="s">
        <v>1915</v>
      </c>
      <c r="B48" s="2" t="s">
        <v>1916</v>
      </c>
      <c r="C48" s="2" t="s">
        <v>1917</v>
      </c>
      <c r="D48" s="2" t="s">
        <v>1918</v>
      </c>
      <c r="E48" s="2" t="s">
        <v>531</v>
      </c>
      <c r="F48" s="2" t="s">
        <v>1919</v>
      </c>
      <c r="G48" s="2" t="s">
        <v>1505</v>
      </c>
      <c r="H48" s="2" t="s">
        <v>1505</v>
      </c>
      <c r="I48" s="2" t="s">
        <v>1920</v>
      </c>
      <c r="J48" s="2" t="s">
        <v>1921</v>
      </c>
      <c r="K48" s="2" t="s">
        <v>1922</v>
      </c>
      <c r="L48" s="2" t="s">
        <v>1923</v>
      </c>
      <c r="M48" s="2" t="s">
        <v>1924</v>
      </c>
      <c r="N48" s="2" t="s">
        <v>1925</v>
      </c>
      <c r="O48" s="2" t="s">
        <v>1499</v>
      </c>
      <c r="P48" s="2" t="s">
        <v>1926</v>
      </c>
      <c r="Q48" s="2" t="s">
        <v>1927</v>
      </c>
    </row>
    <row r="49" customFormat="false" ht="69.75" hidden="false" customHeight="true" outlineLevel="0" collapsed="false">
      <c r="A49" s="3" t="s">
        <v>1928</v>
      </c>
      <c r="B49" s="3" t="s">
        <v>1916</v>
      </c>
      <c r="C49" s="3" t="s">
        <v>1929</v>
      </c>
      <c r="D49" s="3"/>
      <c r="E49" s="3" t="s">
        <v>1930</v>
      </c>
      <c r="F49" s="3" t="s">
        <v>1931</v>
      </c>
      <c r="G49" s="3" t="s">
        <v>1505</v>
      </c>
      <c r="H49" s="3" t="s">
        <v>1505</v>
      </c>
      <c r="I49" s="3" t="s">
        <v>1932</v>
      </c>
      <c r="J49" s="3" t="s">
        <v>1933</v>
      </c>
      <c r="K49" s="3" t="s">
        <v>1934</v>
      </c>
      <c r="L49" s="3" t="s">
        <v>1935</v>
      </c>
      <c r="M49" s="3" t="s">
        <v>1936</v>
      </c>
      <c r="N49" s="3" t="s">
        <v>1937</v>
      </c>
      <c r="O49" s="3" t="s">
        <v>1499</v>
      </c>
      <c r="P49" s="3" t="s">
        <v>1938</v>
      </c>
      <c r="Q49" s="3" t="s">
        <v>1939</v>
      </c>
    </row>
    <row r="50" customFormat="false" ht="69.75" hidden="false" customHeight="true" outlineLevel="0" collapsed="false">
      <c r="A50" s="2" t="s">
        <v>1940</v>
      </c>
      <c r="B50" s="2" t="s">
        <v>1916</v>
      </c>
      <c r="C50" s="2" t="s">
        <v>1941</v>
      </c>
      <c r="D50" s="2"/>
      <c r="E50" s="2" t="s">
        <v>1942</v>
      </c>
      <c r="F50" s="2" t="s">
        <v>1943</v>
      </c>
      <c r="G50" s="2" t="s">
        <v>1505</v>
      </c>
      <c r="H50" s="2" t="s">
        <v>1505</v>
      </c>
      <c r="I50" s="2" t="s">
        <v>1944</v>
      </c>
      <c r="J50" s="2" t="s">
        <v>1945</v>
      </c>
      <c r="K50" s="2" t="s">
        <v>1946</v>
      </c>
      <c r="L50" s="2" t="s">
        <v>1935</v>
      </c>
      <c r="M50" s="2" t="s">
        <v>1947</v>
      </c>
      <c r="N50" s="2" t="s">
        <v>1948</v>
      </c>
      <c r="O50" s="2" t="s">
        <v>1499</v>
      </c>
      <c r="P50" s="2" t="s">
        <v>1949</v>
      </c>
      <c r="Q50" s="2" t="s">
        <v>1950</v>
      </c>
    </row>
  </sheetData>
  <autoFilter ref="A1:Q50"/>
  <hyperlinks>
    <hyperlink ref="L31" r:id="rId1" display="https://www.yanmar.com/marine/wp-content/uploads/2020/03/DS_8LV320-350-370_A4_2021_1018_HR.pdf?download=1 | https://www.yanmar.com/marine/wp-content/uploads/2020/05/Yanmar-Datasheet_6LPA-STP2.pdf?download=1"/>
    <hyperlink ref="L35" r:id="rId2" display="https://www.yanmar.com/marine/wp-content/uploads/2020/03/DS_8LV320-350-370_A4_2021_1018_HR.pdf?download=1 | https://www.yanmar.com/marine/wp-content/uploads/2020/05/Yanmar-Datasheet_6LPA-STP2.pdf?download=1"/>
    <hyperlink ref="L41" r:id="rId3" display="https://www.yanmar.com/marine/product/engines/8lv320/"/>
    <hyperlink ref="L43" r:id="rId4" display="https://www.yanmar.com/marine/wp-content/uploads/2020/03/DS_8LV320-350-370_A4_2021_1018_HR.pdf?download=1 | https://www.yanmar.com/marine/wp-content/uploads/2020/05/Yanmar-Datasheet_6LPA-STP2.pdf?download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2026-09-15T10:59:09Z</dcterms:created>
  <dc:creator>openpyxl</dc:creator>
  <dc:description/>
  <dc:language>en-US</dc:language>
  <cp:lastModifiedBy/>
  <dcterms:modified xsi:type="dcterms:W3CDTF">2026-09-15T10:59:10Z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