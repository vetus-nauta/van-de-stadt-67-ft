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.xml" ContentType="application/vnd.openxmlformats-officedocument.spreadsheetml.table+xml"/>
  <Override PartName="/xl/tables/table15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Старт" sheetId="1" state="visible" r:id="rId3"/>
    <sheet name="01_Основания" sheetId="2" state="visible" r:id="rId4"/>
    <sheet name="02_WBS" sheetId="3" state="visible" r:id="rId5"/>
    <sheet name="03_Пакеты" sheetId="4" state="visible" r:id="rId6"/>
    <sheet name="04_КП" sheetId="5" state="visible" r:id="rId7"/>
    <sheet name="05_Строки_КП" sheetId="6" state="visible" r:id="rId8"/>
    <sheet name="06_КАЦ" sheetId="7" state="visible" r:id="rId9"/>
    <sheet name="07_Смета" sheetId="8" state="visible" r:id="rId10"/>
    <sheet name="06а_Оценки" sheetId="9" state="visible" r:id="rId11"/>
    <sheet name="08_Сводка" sheetId="10" state="visible" r:id="rId12"/>
    <sheet name="09_Риски" sheetId="11" state="visible" r:id="rId13"/>
    <sheet name="10_Изменения" sheetId="12" state="visible" r:id="rId14"/>
    <sheet name="11_Контроль" sheetId="13" state="visible" r:id="rId15"/>
    <sheet name="12_Стыки" sheetId="14" state="visible" r:id="rId16"/>
    <sheet name="13_Источники" sheetId="15" state="visible" r:id="rId17"/>
  </sheets>
  <definedNames>
    <definedName function="false" hidden="false" localSheetId="0" name="_xlnm.Print_Titles" vbProcedure="false">00_Старт!$1:$3</definedName>
    <definedName function="false" hidden="true" localSheetId="0" name="_xlnm._FilterDatabase" vbProcedure="false">00_Старт!$A$3:$B$20</definedName>
    <definedName function="false" hidden="false" localSheetId="1" name="_xlnm.Print_Titles" vbProcedure="false">01_Основания!$1:$3</definedName>
    <definedName function="false" hidden="true" localSheetId="1" name="_xlnm._FilterDatabase" vbProcedure="false">01_Основания!$A$3:$C$22</definedName>
    <definedName function="false" hidden="false" localSheetId="2" name="_xlnm.Print_Titles" vbProcedure="false">02_WBS!$1:$3</definedName>
    <definedName function="false" hidden="true" localSheetId="2" name="_xlnm._FilterDatabase" vbProcedure="false">02_WBS!$A$3:$H$87</definedName>
    <definedName function="false" hidden="false" localSheetId="3" name="_xlnm.Print_Titles" vbProcedure="false">03_Пакеты!$1:$3</definedName>
    <definedName function="false" hidden="true" localSheetId="3" name="_xlnm._FilterDatabase" vbProcedure="false">03_Пакеты!$A$3:$Q$203</definedName>
    <definedName function="false" hidden="false" localSheetId="4" name="_xlnm.Print_Titles" vbProcedure="false">04_КП!$1:$3</definedName>
    <definedName function="false" hidden="true" localSheetId="4" name="_xlnm._FilterDatabase" vbProcedure="false">04_КП!$A$3:$T$203</definedName>
    <definedName function="false" hidden="false" localSheetId="5" name="_xlnm.Print_Titles" vbProcedure="false">05_Строки_КП!$1:$3</definedName>
    <definedName function="false" hidden="true" localSheetId="5" name="_xlnm._FilterDatabase" vbProcedure="false">05_Строки_КП!$A$3:$O$203</definedName>
    <definedName function="false" hidden="false" localSheetId="6" name="_xlnm.Print_Titles" vbProcedure="false">06_КАЦ!$1:$3</definedName>
    <definedName function="false" hidden="true" localSheetId="6" name="_xlnm._FilterDatabase" vbProcedure="false">06_КАЦ!$A$3:$W$203</definedName>
    <definedName function="false" hidden="false" localSheetId="8" name="_xlnm.Print_Titles" vbProcedure="false">06а_Оценки!$1:$3</definedName>
    <definedName function="false" hidden="true" localSheetId="8" name="_xlnm._FilterDatabase" vbProcedure="false">06а_Оценки!$A$3:$N$203</definedName>
    <definedName function="false" hidden="false" localSheetId="7" name="_xlnm.Print_Titles" vbProcedure="false">07_Смета!$1:$3</definedName>
    <definedName function="false" hidden="true" localSheetId="7" name="_xlnm._FilterDatabase" vbProcedure="false">07_Смета!$A$3:$V$203</definedName>
    <definedName function="false" hidden="false" localSheetId="9" name="_xlnm.Print_Titles" vbProcedure="false">08_Сводка!$1:$3</definedName>
    <definedName function="false" hidden="true" localSheetId="9" name="_xlnm._FilterDatabase" vbProcedure="false">08_Сводка!$A$3:$I$17</definedName>
    <definedName function="false" hidden="false" localSheetId="10" name="_xlnm.Print_Titles" vbProcedure="false">09_Риски!$1:$3</definedName>
    <definedName function="false" hidden="true" localSheetId="10" name="_xlnm._FilterDatabase" vbProcedure="false">09_Риски!$A$3:$L$203</definedName>
    <definedName function="false" hidden="false" localSheetId="11" name="_xlnm.Print_Titles" vbProcedure="false">10_Изменения!$1:$3</definedName>
    <definedName function="false" hidden="true" localSheetId="11" name="_xlnm._FilterDatabase" vbProcedure="false">10_Изменения!$A$3:$M$203</definedName>
    <definedName function="false" hidden="false" localSheetId="12" name="_xlnm.Print_Titles" vbProcedure="false">11_Контроль!$1:$3</definedName>
    <definedName function="false" hidden="true" localSheetId="12" name="_xlnm._FilterDatabase" vbProcedure="false">11_Контроль!$A$3:$N$203</definedName>
    <definedName function="false" hidden="false" localSheetId="13" name="_xlnm.Print_Titles" vbProcedure="false">12_Стыки!$1:$3</definedName>
    <definedName function="false" hidden="true" localSheetId="13" name="_xlnm._FilterDatabase" vbProcedure="false">12_Стыки!$A$3:$I$203</definedName>
    <definedName function="false" hidden="false" localSheetId="14" name="_xlnm.Print_Titles" vbProcedure="false">13_Источники!$1:$3</definedName>
    <definedName function="false" hidden="true" localSheetId="14" name="_xlnm._FilterDatabase" vbProcedure="false">13_Источники!$A$3:$J$203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<sst xmlns="http://schemas.openxmlformats.org/spreadsheetml/2006/main" count="1248" uniqueCount="701">
  <si>
    <t xml:space="preserve">VDS67 • Шаблон будущей УТВ</t>
  </si>
  <si>
    <t xml:space="preserve">Синие ячейки — ввод; серые — формулы. Пусто = нет данных. Код строки сохранять при сортировке.</t>
  </si>
  <si>
    <t xml:space="preserve">Раздел</t>
  </si>
  <si>
    <t xml:space="preserve">Порядок работы / правило</t>
  </si>
  <si>
    <t xml:space="preserve">Статус</t>
  </si>
  <si>
    <t xml:space="preserve">TEMPLATE / INCOMPLETE. УТВ возникает после отдельного решения владельца о базовом бюджете.</t>
  </si>
  <si>
    <t xml:space="preserve">1. Основания</t>
  </si>
  <si>
    <t xml:space="preserve">Установить границу остатка достройки, валюту, налоговую основу, дату цен и ревизию проекта.</t>
  </si>
  <si>
    <t xml:space="preserve">2. Состав</t>
  </si>
  <si>
    <t xml:space="preserve">WBS — системы яхты. Строки сметы разворачивать по ресурсам/работам; один пакет может содержать несколько строк.</t>
  </si>
  <si>
    <t xml:space="preserve">3. Пакеты</t>
  </si>
  <si>
    <t xml:space="preserve">Сначала составить одинаковые задания RFQ с границами поставки, монтажа и испытаний.</t>
  </si>
  <si>
    <t xml:space="preserve">4. КП</t>
  </si>
  <si>
    <t xml:space="preserve">Регистрировать документы и исходные строки без изменения оригиналов.</t>
  </si>
  <si>
    <t xml:space="preserve">5. КАЦ</t>
  </si>
  <si>
    <t xml:space="preserve">Сначала техническая сопоставимость, затем единицы, валюта, налоги и исключённые работы. Автоматического выбора минимальной цены нет.</t>
  </si>
  <si>
    <t xml:space="preserve">6. Смета</t>
  </si>
  <si>
    <t xml:space="preserve">Цена из выбранной КАЦ (KAC) или обоснованной оценки без КП (DIRECT). Количество и источник отдельно; выбор КАЦ единственный в группе.</t>
  </si>
  <si>
    <t xml:space="preserve">7. Сводка</t>
  </si>
  <si>
    <t xml:space="preserve">Показывает только известную часть и незаполненные позиции. Пустые суммы не равны нулю. Полнота состава отдельно проверяется.</t>
  </si>
  <si>
    <t xml:space="preserve">Существующее</t>
  </si>
  <si>
    <t xml:space="preserve">Наличие, поставщик и граница затрат — разные поля. Имеющийся корпус не считать новой покупкой по умолчанию.</t>
  </si>
  <si>
    <t xml:space="preserve">Ноль</t>
  </si>
  <si>
    <t xml:space="preserve">Числовой 0 допустим с подтверждением; UNKNOWN и NOT_APPLICABLE не вводить в денежные клетки.</t>
  </si>
  <si>
    <t xml:space="preserve">Двойной счёт</t>
  </si>
  <si>
    <t xml:space="preserve">Включённые монтаж, доставка и испытания не добавлять повторно. Вести лист Стыки и ссылку на покрывающую строку.</t>
  </si>
  <si>
    <t xml:space="preserve">Резерв</t>
  </si>
  <si>
    <t xml:space="preserve">Только по риску и решению. Утверждённый резерв включать отдельной строкой сметы один раз; лист Риски не прибавляется автоматически.</t>
  </si>
  <si>
    <t xml:space="preserve">Версия</t>
  </si>
  <si>
    <t xml:space="preserve">Исходный U01 неизменен. Для заполнения создать рабочую копию; при утверждении базового бюджета отдельный выпуск.</t>
  </si>
  <si>
    <t xml:space="preserve">Конфиденциальность</t>
  </si>
  <si>
    <t xml:space="preserve">Репозиторий публичный. Частные КП и контактные данные хранить в .local или согласованном закрытом хранилище; сюда безопасный ID.</t>
  </si>
  <si>
    <t xml:space="preserve">Вместимость формы</t>
  </si>
  <si>
    <t xml:space="preserve">По200 строк на регистрах. При расширении продлить формулы, проверки, диапазоны сводки и поисков; не писать за последней строкой.</t>
  </si>
  <si>
    <t xml:space="preserve">Расчёт</t>
  </si>
  <si>
    <t xml:space="preserve">Суммы в одной базовой валюте и основе; округление строк до0.01. Пустые вводные не заменяются нулями.</t>
  </si>
  <si>
    <t xml:space="preserve">Модель</t>
  </si>
  <si>
    <t xml:space="preserve">EXP-003 — принятая стартовая идея. Производственные объёмы, мощность оборудования и размеры из неё не утверждены.</t>
  </si>
  <si>
    <t xml:space="preserve">Основания будущего бюджета</t>
  </si>
  <si>
    <t xml:space="preserve">Поле</t>
  </si>
  <si>
    <t xml:space="preserve">Значение</t>
  </si>
  <si>
    <t xml:space="preserve">Источник / решение</t>
  </si>
  <si>
    <t xml:space="preserve">Проект</t>
  </si>
  <si>
    <t xml:space="preserve">VDS67</t>
  </si>
  <si>
    <t xml:space="preserve">office/project.json</t>
  </si>
  <si>
    <t xml:space="preserve">Стройка</t>
  </si>
  <si>
    <t xml:space="preserve">Польша</t>
  </si>
  <si>
    <t xml:space="preserve">Решение владельца</t>
  </si>
  <si>
    <t xml:space="preserve">TEMPLATE / INCOMPLETE</t>
  </si>
  <si>
    <t xml:space="preserve">Утверждение бюджета отсутствует</t>
  </si>
  <si>
    <t xml:space="preserve">Граница бюджета</t>
  </si>
  <si>
    <t xml:space="preserve">Остаток достройки; понесённое отдельно</t>
  </si>
  <si>
    <t xml:space="preserve">Уточнить перечень имущества и ранее оплаченного</t>
  </si>
  <si>
    <t xml:space="preserve">Базовая валюта</t>
  </si>
  <si>
    <t xml:space="preserve">Налоговая основа NET/GROSS</t>
  </si>
  <si>
    <t xml:space="preserve">Дата цен</t>
  </si>
  <si>
    <t xml:space="preserve">Ревизия проекта</t>
  </si>
  <si>
    <t xml:space="preserve">Владелец / заказчик</t>
  </si>
  <si>
    <t xml:space="preserve">Верфь / место передачи</t>
  </si>
  <si>
    <t xml:space="preserve">Налоговый режим / обоснование</t>
  </si>
  <si>
    <t xml:space="preserve">Курс: базовая валюта за1 валюты КП</t>
  </si>
  <si>
    <t xml:space="preserve">Решение об утверждении УТВ</t>
  </si>
  <si>
    <t xml:space="preserve">Дата утверждения</t>
  </si>
  <si>
    <t xml:space="preserve">Полнота состава проверена</t>
  </si>
  <si>
    <t xml:space="preserve">Правило округления</t>
  </si>
  <si>
    <t xml:space="preserve">Строка0.01; сумма округлённых строк</t>
  </si>
  <si>
    <t xml:space="preserve">Проверить договорные требования</t>
  </si>
  <si>
    <t xml:space="preserve">Версия шаблона</t>
  </si>
  <si>
    <t xml:space="preserve">U01/v001</t>
  </si>
  <si>
    <t xml:space="preserve">Пустой инструмент; для заполнения копия</t>
  </si>
  <si>
    <t xml:space="preserve">Рабочая копия / ответственный</t>
  </si>
  <si>
    <t xml:space="preserve">Флаг / эксплуатация / применимость</t>
  </si>
  <si>
    <t xml:space="preserve">Структура работ и систем яхты</t>
  </si>
  <si>
    <t xml:space="preserve">WBS</t>
  </si>
  <si>
    <t xml:space="preserve">Родитель</t>
  </si>
  <si>
    <t xml:space="preserve">Раздел / пакет</t>
  </si>
  <si>
    <t xml:space="preserve">Входит</t>
  </si>
  <si>
    <t xml:space="preserve">Граница / исключено</t>
  </si>
  <si>
    <t xml:space="preserve">Нужные исходные данные</t>
  </si>
  <si>
    <t xml:space="preserve">Применимость</t>
  </si>
  <si>
    <t xml:space="preserve">Ответственный</t>
  </si>
  <si>
    <t xml:space="preserve">W00</t>
  </si>
  <si>
    <t xml:space="preserve">Управление проектом</t>
  </si>
  <si>
    <t xml:space="preserve">Задание, бюджет, координация и документы</t>
  </si>
  <si>
    <t xml:space="preserve">См. дочерние пакеты</t>
  </si>
  <si>
    <t xml:space="preserve">Установить состав и ревизию</t>
  </si>
  <si>
    <t xml:space="preserve">REVIEW_REQUIRED</t>
  </si>
  <si>
    <t xml:space="preserve">W00.10</t>
  </si>
  <si>
    <t xml:space="preserve">Управление и координация проекта</t>
  </si>
  <si>
    <t xml:space="preserve">Планирование, ведение бюджета и документов, координация исполнителей</t>
  </si>
  <si>
    <t xml:space="preserve">Техническое проектирование W02; включённые накладные подрядчиков</t>
  </si>
  <si>
    <t xml:space="preserve">Организация проекта; состав услуг и договоры</t>
  </si>
  <si>
    <t xml:space="preserve">W01</t>
  </si>
  <si>
    <t xml:space="preserve">Исходники и обследование</t>
  </si>
  <si>
    <t xml:space="preserve">Получение документов, обмер и состояние существующего</t>
  </si>
  <si>
    <t xml:space="preserve">W01.10</t>
  </si>
  <si>
    <t xml:space="preserve">Приёмка существующего корпуса и документов</t>
  </si>
  <si>
    <t xml:space="preserve">Реестр фактически имеющегося, ревизии, фотофиксация, права использования чертежей; отделение поставленного владельцем от недостающего</t>
  </si>
  <si>
    <t xml:space="preserve">Повторная покупка существующего корпуса; ремонт и достройка</t>
  </si>
  <si>
    <t xml:space="preserve">Передаточные документы; перечень имущества; происхождение и ревизии CAD</t>
  </si>
  <si>
    <t xml:space="preserve">W01.20</t>
  </si>
  <si>
    <t xml:space="preserve">Обмер, контроль состояния и дефектная ведомость</t>
  </si>
  <si>
    <t xml:space="preserve">Геометрия и толщины по программе обследования, доступные сварные соединения, коррозия, фактические переборки/фундаменты/танки</t>
  </si>
  <si>
    <t xml:space="preserve">Ремонт выявленного; производственный контроль новых швов</t>
  </si>
  <si>
    <t xml:space="preserve">Доступ к корпусу; программа обследования; квалификация исполнителей</t>
  </si>
  <si>
    <t xml:space="preserve">W02</t>
  </si>
  <si>
    <t xml:space="preserve">Проектирование и применимость требований</t>
  </si>
  <si>
    <t xml:space="preserve">Расчётные задания, решения и необходимые согласования</t>
  </si>
  <si>
    <t xml:space="preserve">W02.10</t>
  </si>
  <si>
    <t xml:space="preserve">Базовая геометрия, компоновка и расчётная координация</t>
  </si>
  <si>
    <t xml:space="preserve">Сверка CAD и обмеров, общий вид/сечения, массы и центры, гидростатика/остойчивость, согласование геометрии всех дисциплин</t>
  </si>
  <si>
    <t xml:space="preserve">Серийное оборудование; повторное включение проектирования из пакетов поставщика</t>
  </si>
  <si>
    <t xml:space="preserve">Назначение и режим эксплуатации; обмер; выбранные варианты; применимые требования</t>
  </si>
  <si>
    <t xml:space="preserve">W02.20</t>
  </si>
  <si>
    <t xml:space="preserve">Проект конструкции и изменений</t>
  </si>
  <si>
    <t xml:space="preserve">Корпус, рубка, hardtop, мачтовая опора, кормовой гараж, фальшборт, проёмы/подкрепления; рабочие чертежи</t>
  </si>
  <si>
    <t xml:space="preserve">Материалы и изготовление W10; EXP-003 не рабочий проект</t>
  </si>
  <si>
    <t xml:space="preserve">Расчётные нагрузки; состояние корпуса; утверждённая конструктивная схема; ревизии</t>
  </si>
  <si>
    <t xml:space="preserve">W02.30</t>
  </si>
  <si>
    <t xml:space="preserve">Интерьерный проект и макеты помещаемости</t>
  </si>
  <si>
    <t xml:space="preserve">Раскладки помещений, чистые высоты, макеты критических проходов/мебели/мокрых зон, спецификации отделки</t>
  </si>
  <si>
    <t xml:space="preserve">Серийная мебель и её монтаж; повторение общей CAD координации</t>
  </si>
  <si>
    <t xml:space="preserve">Цель 3+1 каюты/санузлы; геометрия; сервисные габариты оборудования; образцы отделки</t>
  </si>
  <si>
    <t xml:space="preserve">W02.40</t>
  </si>
  <si>
    <t xml:space="preserve">Применимость требований и согласования</t>
  </si>
  <si>
    <t xml:space="preserve">Маршрут оценки соответствия, технический файл и необходимые внешние проверки по установленному флагу и эксплуатации</t>
  </si>
  <si>
    <t xml:space="preserve">Согласования не назначены автоматически; инженерная разработка в W02.10–30</t>
  </si>
  <si>
    <t xml:space="preserve">Статус корпуса; флаг; режим эксплуатации; требования компетентных организаций</t>
  </si>
  <si>
    <t xml:space="preserve">W10</t>
  </si>
  <si>
    <t xml:space="preserve">Корпус и конструкция</t>
  </si>
  <si>
    <t xml:space="preserve">Существующее, доработки и подтверждённые объёмы конструкции</t>
  </si>
  <si>
    <t xml:space="preserve">W10.10</t>
  </si>
  <si>
    <t xml:space="preserve">Ремонт и завершение исходного корпуса</t>
  </si>
  <si>
    <t xml:space="preserve">Только подтверждённые дефекты/недоделки: обшивка, набор, переборки, сварка, локальный производственный контроль</t>
  </si>
  <si>
    <t xml:space="preserve">Стоимость уже имеющегося корпуса; будущие изменения W10.20–40; покрытия W10.70–80</t>
  </si>
  <si>
    <t xml:space="preserve">Дефектная ведомость; перечень выполненного; чертежи; программа контроля</t>
  </si>
  <si>
    <t xml:space="preserve">W10.20</t>
  </si>
  <si>
    <t xml:space="preserve">Новая рубка и hardtop</t>
  </si>
  <si>
    <t xml:space="preserve">Конструктивный металл, набор, опоры, крыша, переходы и сварка; геометрическая стартовая идея EXP-003 после переработки</t>
  </si>
  <si>
    <t xml:space="preserve">Остекление W20.10; интерьер W60; электрические/жидкостные сети; смета по массе визуальной сетки</t>
  </si>
  <si>
    <t xml:space="preserve">Рабочие чертежи; нагрузки мачты/гика; чистые высоты; ведомость металла</t>
  </si>
  <si>
    <t xml:space="preserve">W10.30</t>
  </si>
  <si>
    <t xml:space="preserve">Корма, гараж и встроенная дверь</t>
  </si>
  <si>
    <t xml:space="preserve">Изменение обшивки/набора, конструктивный объём гаража, силовая дверь/рама, переборки и корпусные усиления</t>
  </si>
  <si>
    <t xml:space="preserve">Тендер/балка W20.70–80; привод двери W20.80; отделка и системы</t>
  </si>
  <si>
    <t xml:space="preserve">Выбранный тендер; траектория; чертежи; нагрузки; водонепроницаемость; существующие отсеки</t>
  </si>
  <si>
    <t xml:space="preserve">W10.40</t>
  </si>
  <si>
    <t xml:space="preserve">Фальшборт, корпусные вырезы и проходы</t>
  </si>
  <si>
    <t xml:space="preserve">Добавка фальшборта, конструктивные кромки отверстий, приварные комингсы, встроенные подкрепления; корпусные шпигаты/штормовые портики и их конструктивное обрамление по проекту без назначения размеров</t>
  </si>
  <si>
    <t xml:space="preserve">Съёмные клюзы/утки/релинги W20; трубные системы палубного отвода и стоков W50; уже включённые в W10.20–30 отверстия; интегральные танки W10.90; аноды W10.85</t>
  </si>
  <si>
    <t xml:space="preserve">Утверждённый периметр; узлы; водоотвод; координаты швартовного оборудования</t>
  </si>
  <si>
    <t xml:space="preserve">W10.50</t>
  </si>
  <si>
    <t xml:space="preserve">Корпусные фундаменты и встроенные опоры</t>
  </si>
  <si>
    <t xml:space="preserve">Приварные силовые основания двигателя/агрегатов/мачты/балки/оборудования, закладные и конструктивные проходки по единой ведомости</t>
  </si>
  <si>
    <t xml:space="preserve">Рамы в составе купленного агрегата; виброопоры и окончательная установка систем; уже включённые в другие W10 позиции</t>
  </si>
  <si>
    <t xml:space="preserve">Ведомость нагрузок и координат; граница заводского комплекта; интерфейсные листы</t>
  </si>
  <si>
    <t xml:space="preserve">W10.60</t>
  </si>
  <si>
    <t xml:space="preserve">Киль, балласт и корпусные элементы рулевого узла</t>
  </si>
  <si>
    <t xml:space="preserve">Проверка наличия, недостающая поставка/установка киля и балласта, корпусные опоры и трубы рулевого узла по проекту</t>
  </si>
  <si>
    <t xml:space="preserve">Рулевая машина/перья/подшипники если отнесены W30; не подтверждённые тип/масса балласта</t>
  </si>
  <si>
    <t xml:space="preserve">Исполнительные данные; выбранная конструкция; массы; комплектность; граница W30</t>
  </si>
  <si>
    <t xml:space="preserve">W10.70</t>
  </si>
  <si>
    <t xml:space="preserve">Наружные покрытия корпуса и надстройки</t>
  </si>
  <si>
    <t xml:space="preserve">Подготовка алюминия, выравнивание по согласованным зонам, грунты/барьеры, наружный финиш, подводная система, локальная окраска после монтажа</t>
  </si>
  <si>
    <t xml:space="preserve">Палубный настил W20.30; заводское покрытие оборудования; двойной учёт ремонтной подкраски</t>
  </si>
  <si>
    <t xml:space="preserve">Карты площадей; требования к поверхности; выбранная совместимая система; климат нанесения</t>
  </si>
  <si>
    <t xml:space="preserve">W10.80</t>
  </si>
  <si>
    <t xml:space="preserve">Внутренние защитные покрытия</t>
  </si>
  <si>
    <t xml:space="preserve">Выбранные внутренние зоны корпуса, льяла и защищаемые металлические поверхности, подготовка и контроль нанесения</t>
  </si>
  <si>
    <t xml:space="preserve">Окраска мебельных деталей W60; заводское покрытие агрегатов; автоматически вся площадь алюминия</t>
  </si>
  <si>
    <t xml:space="preserve">Карта зон и доступа; спецификация покрытий; последовательность до изоляции</t>
  </si>
  <si>
    <t xml:space="preserve">W10.85</t>
  </si>
  <si>
    <t xml:space="preserve">Аноды и наружные элементы противокоррозионной защиты</t>
  </si>
  <si>
    <t xml:space="preserve">Аноды, их корпусные крепления и установка по проекту защиты алюминиевого корпуса</t>
  </si>
  <si>
    <t xml:space="preserve">Электрические защитные соединения и развязка W40.25; покрытия W10.70–80</t>
  </si>
  <si>
    <t xml:space="preserve">Проект защиты; материалы смежных узлов; условия эксплуатации</t>
  </si>
  <si>
    <t xml:space="preserve">W10.90</t>
  </si>
  <si>
    <t xml:space="preserve">Интегральные сварные танки — условный пакет</t>
  </si>
  <si>
    <t xml:space="preserve">Изготовление встроенных танков, корпусные стенки/люки и испытание герметичности до подключения системы</t>
  </si>
  <si>
    <t xml:space="preserve">Покупные съёмные ёмкости и трубная обвязка W50; повторное начисление испытаний всей системы</t>
  </si>
  <si>
    <t xml:space="preserve">Решение о типе и материале танков; объёмы; чертежи; программа испытаний</t>
  </si>
  <si>
    <t xml:space="preserve">W20</t>
  </si>
  <si>
    <t xml:space="preserve">Рангоут и палуба</t>
  </si>
  <si>
    <t xml:space="preserve">Пакеты систем Rig и Deck исходной базы</t>
  </si>
  <si>
    <t xml:space="preserve">W20.10</t>
  </si>
  <si>
    <t xml:space="preserve">Наружное остекление, люки и закрытия</t>
  </si>
  <si>
    <t xml:space="preserve">Изделия, рамки, стекло/прозрачные панели, уплотнение, крепёж, установка и локальный тест герметичности; наружные двери кроме силовой гаражной</t>
  </si>
  <si>
    <t xml:space="preserve">Приварные комингсы W10; шторы W60; силовая дверь гаража W10.30; непринятый материал тёмного стекла</t>
  </si>
  <si>
    <t xml:space="preserve">Ведомость проёмов; нагрузки; открывание/выходы; кривизна; оптические требования; монтажный узел</t>
  </si>
  <si>
    <t xml:space="preserve">W20.20</t>
  </si>
  <si>
    <t xml:space="preserve">Палубная металлическая арматура и швартовка</t>
  </si>
  <si>
    <t xml:space="preserve">Релинги/леера, поручни, утки, клюзы, трапы и съёмные детали: поставка, крепёж, установка</t>
  </si>
  <si>
    <t xml:space="preserve">Конструктивный фальшборт/подкрепления W10; якорная лебёдка W20.40; спасательные леера отдельно W70 если так назначено</t>
  </si>
  <si>
    <t xml:space="preserve">План палубы; нагрузки; электрическая изоляция соединений; чистые проходы</t>
  </si>
  <si>
    <t xml:space="preserve">W20.30</t>
  </si>
  <si>
    <t xml:space="preserve">Палубные настилы и наружная обивка</t>
  </si>
  <si>
    <t xml:space="preserve">Выбранный нескользящий настил или покрытие по раздельным зонам, наружные подушки/чехлы, посадочные поверхности</t>
  </si>
  <si>
    <t xml:space="preserve">Подготовка и окраска под настилом W10.70 если включена туда; интерьерная мягкая мебель W60</t>
  </si>
  <si>
    <t xml:space="preserve">Карта зон; материал; масса; дренаж; уход; граница подготовки поверхности</t>
  </si>
  <si>
    <t xml:space="preserve">W20.40</t>
  </si>
  <si>
    <t xml:space="preserve">Якорное оборудование</t>
  </si>
  <si>
    <t xml:space="preserve">Якоря, цепь/канат, лебёдка, стопоры, ролики, направляющие: поставка и механический монтаж</t>
  </si>
  <si>
    <t xml:space="preserve">Корпус якорного колодца/подкрепления W10; питание W40; слив W50</t>
  </si>
  <si>
    <t xml:space="preserve">Сценарий якорения; выбранные массы/цепь; падение цепи; места; граница электрического комплекта</t>
  </si>
  <si>
    <t xml:space="preserve">W20.50</t>
  </si>
  <si>
    <t xml:space="preserve">Рангоут и стоячий такелаж</t>
  </si>
  <si>
    <t xml:space="preserve">Мачта/гик, стоячий такелаж, оконцеватели и серийный степс, монтаж, настройка и собственные проверки</t>
  </si>
  <si>
    <t xml:space="preserve">Силовая опора корпуса W10.50; электрическая разводка мачты W40; общий спуск W90; паруса</t>
  </si>
  <si>
    <t xml:space="preserve">Парусный план; нагрузки; мачтовая схема; перечень включённого поставщиком; крановый план</t>
  </si>
  <si>
    <t xml:space="preserve">W20.55</t>
  </si>
  <si>
    <t xml:space="preserve">Бегучий такелаж и управление парусами</t>
  </si>
  <si>
    <t xml:space="preserve">Шкоты/фалы, блоки, погоны, каретки, лебёдки и закрутки: комплекты, монтаж, настройка</t>
  </si>
  <si>
    <t xml:space="preserve">Стоячий такелаж W20.50; центральная гидростанция/сеть W50 если назначена там; питание W40</t>
  </si>
  <si>
    <t xml:space="preserve">Схема проводки; тип приводов; состав комплекта; рабочие зоны и усилия</t>
  </si>
  <si>
    <t xml:space="preserve">W20.60</t>
  </si>
  <si>
    <t xml:space="preserve">Паруса и их принадлежности</t>
  </si>
  <si>
    <t xml:space="preserve">Выбранный комплект парусов, чехлы/мешки, измерение под рангоут, доставка и примерка</t>
  </si>
  <si>
    <t xml:space="preserve">Неутверждённые площади как закупочные объёмы; бегучий такелаж; общесудовые ходовые испытания</t>
  </si>
  <si>
    <t xml:space="preserve">Окончательный парусный план; материал; комплектация; ветровые сценарии; согласование с рангоутом</t>
  </si>
  <si>
    <t xml:space="preserve">W20.70</t>
  </si>
  <si>
    <t xml:space="preserve">Тендер и его штатное оснащение</t>
  </si>
  <si>
    <t xml:space="preserve">Одна выбранная комплектация тендера, штатные принадлежности, передаточная проверка</t>
  </si>
  <si>
    <t xml:space="preserve">Гараж W10.30; балка/крепления W20.80; автоматический выбор Williams по названию типа</t>
  </si>
  <si>
    <t xml:space="preserve">Модель/масса в рабочем состоянии; габариты; способ хранения; комплектация и документы</t>
  </si>
  <si>
    <t xml:space="preserve">W20.80</t>
  </si>
  <si>
    <t xml:space="preserve">Подъём и размещение тендера, механизация гаража</t>
  </si>
  <si>
    <t xml:space="preserve">Кран-балка, тележка/стропы, ложемент, крепление в море, привод двери, локальная механика и собственные испытания</t>
  </si>
  <si>
    <t xml:space="preserve">Силовые корпусные основания/дверь W10; тендер W20.70; общая сеть гидравлики/питания вне локального комплекта</t>
  </si>
  <si>
    <t xml:space="preserve">Траектория и режимы; рабочая масса; опорные реакции; состав привода; аварийное закрытие; границы поставки</t>
  </si>
  <si>
    <t xml:space="preserve">W30</t>
  </si>
  <si>
    <t xml:space="preserve">Движение и управление</t>
  </si>
  <si>
    <t xml:space="preserve">Propulsion, Steering и Thruster</t>
  </si>
  <si>
    <t xml:space="preserve">W30.10</t>
  </si>
  <si>
    <t xml:space="preserve">Главный двигатель и его установка</t>
  </si>
  <si>
    <t xml:space="preserve">Агрегат с редуктором по будущей комплектности; штатные приборы и локальные системы; монтаж, выверка и первичная проверка исполнителя.</t>
  </si>
  <si>
    <t xml:space="preserve">Изготовление корпусного фундамента W10; валопровод W30.20; общесудовое топливо W50.10; вентиляция W50.75; общие испытания W80.</t>
  </si>
  <si>
    <t xml:space="preserve">Утверждённая пропульсивная концепция, мощностной и весовой расчёт, габариты/сервисный доступ, перечень штатной поставки; модель не выбрана.</t>
  </si>
  <si>
    <t xml:space="preserve">W30.20</t>
  </si>
  <si>
    <t xml:space="preserve">Валопровод, движитель и внешние системы двигателя</t>
  </si>
  <si>
    <t xml:space="preserve">Муфты, упорный узел, вал, подшипники, уплотнения и винт по расчёту; внешние охлаждение и выхлоп от границы агрегата; защита от затопления, сервисные соединения.</t>
  </si>
  <si>
    <t xml:space="preserve">Редуктор, если включён в W30.10; изготовление корпуса/дейдвудных опор W10; общие забортные проходы W50.65; повторный учёт штатного охлаждения двигателя.</t>
  </si>
  <si>
    <t xml:space="preserve">Геометрия кормы, ось вала, расчёт нагрузок/вибрации, требования производителя к охлаждению/выхлопу, границы поставки.</t>
  </si>
  <si>
    <t xml:space="preserve">W30.30</t>
  </si>
  <si>
    <t xml:space="preserve">Рулевое устройство и аварийное управление</t>
  </si>
  <si>
    <t xml:space="preserve">Баллера/перо и подшипники по границе с конструкцией; механическое или гидравлическое управление, посты, аварийное управление; исполнительный привод автопилота и местные обходы.</t>
  </si>
  <si>
    <t xml:space="preserve">Киль/балласт W10.60; усиления корпуса W10; вычислитель/датчики автопилота W40.60; общая гидростанция W50.80.</t>
  </si>
  <si>
    <t xml:space="preserve">Обмер существующего рулевого, расчёт момента, выбор архитектуры, независимое аварийное управление, доступ и интерфейсы с автопилотом.</t>
  </si>
  <si>
    <t xml:space="preserve">W30.40</t>
  </si>
  <si>
    <t xml:space="preserve">Маневровые устройства — условный пакет</t>
  </si>
  <si>
    <t xml:space="preserve">Подруливающие или иные вспомогательные устройства, локальные исполнительные узлы и монтаж при принятии решения об установке.</t>
  </si>
  <si>
    <t xml:space="preserve">Туннели/вырезы/усиления W10; силовые батареи W40.40; внешние кабели W40.30; общая гидравлика W50.80.</t>
  </si>
  <si>
    <t xml:space="preserve">Решение о наличии, расчёт усилия/энергии, корпусная компоновка, шум и сервис; тип и количество не назначены.</t>
  </si>
  <si>
    <t xml:space="preserve">W40</t>
  </si>
  <si>
    <t xml:space="preserve">Энергия, электрика и связь</t>
  </si>
  <si>
    <t xml:space="preserve">Electrical, Navigation и Networking</t>
  </si>
  <si>
    <t xml:space="preserve">W40.10</t>
  </si>
  <si>
    <t xml:space="preserve">Судовые источники электроэнергии</t>
  </si>
  <si>
    <t xml:space="preserve">Генераторные установки и штатные локальные системы, монтаж, внешние охлаждение/выхлоп генераторов от границ агрегатов; альтернативные источники только после выбора архитектуры.</t>
  </si>
  <si>
    <t xml:space="preserve">Корпусные фундаменты W10; общие топливные магистрали W50.10; AC распределение W40.20; повторные батареи/зарядные W40.40.</t>
  </si>
  <si>
    <t xml:space="preserve">Баланс нагрузок и резервирования, эксплуатационные режимы, состав штатной поставки, схема отвода тепла/газов и демонтажа.</t>
  </si>
  <si>
    <t xml:space="preserve">W40.20</t>
  </si>
  <si>
    <t xml:space="preserve">Сеть AC и береговое питание</t>
  </si>
  <si>
    <t xml:space="preserve">Береговой ввод, разделение/защита, переключение источников, щиты, селективность, кабельные линии до согласованных клемм потребителей, маркировка и локальные измерения.</t>
  </si>
  <si>
    <t xml:space="preserve">Генераторы W40.10; преобразователи/зарядные W40.40; внутренние заводские провода приборов; бытовые приборы W60.60.</t>
  </si>
  <si>
    <t xml:space="preserve">Однолинейная схема, напряжение/частота после утверждения, таблица нагрузок, требования марин, кабельные трассы, отключающая способность.</t>
  </si>
  <si>
    <t xml:space="preserve">W40.25</t>
  </si>
  <si>
    <t xml:space="preserve">Защитное соединение и электрическая защита алюминиевого корпуса</t>
  </si>
  <si>
    <t xml:space="preserve">Согласованная схема защитных проводников/уравнивания потенциалов, контроль утечек и гальванического взаимодействия, измерительные точки; молниезащита если предусмотрена проектом.</t>
  </si>
  <si>
    <t xml:space="preserve">Аноды и их механические крепления — W10.85; покрытия и иные корпусные работы — W10; береговой разделительный аппарат уже в W40.20. Проводники и электрическая защита остаются в W40.25; не считать корпус автоматически проводником тока.</t>
  </si>
  <si>
    <t xml:space="preserve">Электрическая концепция алюминиевого корпуса, сведения обо всех металлах/забортных соединениях, проект защиты и точки контроля.</t>
  </si>
  <si>
    <t xml:space="preserve">W40.30</t>
  </si>
  <si>
    <t xml:space="preserve">Сеть DC и критические потребители</t>
  </si>
  <si>
    <t xml:space="preserve">Главное и критическое DC распределение, коммутация, защиты, кабели и выводы к оборудованию, линии пуска по границе заводской поставки; местное аварийное управление.</t>
  </si>
  <si>
    <t xml:space="preserve">Батареи/зарядные/инверторы W40.40; заводские жгуты агрегатов; светильники W40.90; исполнительные насосы профильных пакетов.</t>
  </si>
  <si>
    <t xml:space="preserve">Однолинейная схема, токи/падение напряжения, режимы отказа, трассы, разделение стартовых и сервисных сетей.</t>
  </si>
  <si>
    <t xml:space="preserve">W40.40</t>
  </si>
  <si>
    <t xml:space="preserve">Батареи и преобразование энергии</t>
  </si>
  <si>
    <t xml:space="preserve">Стартовые/сервисные накопители по выбранной химии, BMS, инверторы/зарядные, DC преобразователи, UPS по согласованной границе; корпуса батарейных блоков и локальная защита.</t>
  </si>
  <si>
    <t xml:space="preserve">Основные питающие кабели W40.20/30; корпусные основания W10; общая вентиляция W50.75; не учитывать UPS отдельно повторно в навигации/сети.</t>
  </si>
  <si>
    <t xml:space="preserve">Суточный энергобаланс, резервирование, химия и ёмкость, размещение/вентиляция/тепло, аварийное отключение, комплектность.</t>
  </si>
  <si>
    <t xml:space="preserve">W40.50</t>
  </si>
  <si>
    <t xml:space="preserve">Автоматика, мониторинг и общесудовые тревоги</t>
  </si>
  <si>
    <t xml:space="preserve">Контроллеры, цифровая коммутация, интерфейсные модули, отображение уровней/энергии/машинных параметров, матрица тревог, локальное резервное управление, конфигурация и резервные копии.</t>
  </si>
  <si>
    <t xml:space="preserve">Первичные датчики в профильных системах, пожарные датчики W70.10; базовая сеть W40.80; штатные панели агрегатов; итоговые межсистемные испытания W80.</t>
  </si>
  <si>
    <t xml:space="preserve">Матрица сигналов/I-O, границы безопасности и удобства, независимость критических функций, протоколы, лицензии/подписки если потребуются.</t>
  </si>
  <si>
    <t xml:space="preserve">W40.60</t>
  </si>
  <si>
    <t xml:space="preserve">Навигация и навигационные сигналы</t>
  </si>
  <si>
    <t xml:space="preserve">Навигационные вычислители/дисплеи, компасы, датчики и антенны, радар/AIS по применимости, лог/эхолот/ветер, вычислитель автопилота; навигационные огни и звуковые сигналы.</t>
  </si>
  <si>
    <t xml:space="preserve">Механический привод автопилота W30.30; штатные двигательные панели W30.10; обычное освещение W40.90; инфраструктура сети W40.80; радио W40.70.</t>
  </si>
  <si>
    <t xml:space="preserve">Район плавания/назначение, компоновка постов, требования к независимости, сенсорный план, интерфейсы рулевого и места монтажа.</t>
  </si>
  <si>
    <t xml:space="preserve">W40.70</t>
  </si>
  <si>
    <t xml:space="preserve">Радиосвязь и внешние каналы данных</t>
  </si>
  <si>
    <t xml:space="preserve">Судовые радиостанции и средства доступа к ним, антенные тракты, спутниковый/сотовый канал по выбранной концепции, ввод и настройка разрешённых идентификаторов.</t>
  </si>
  <si>
    <t xml:space="preserve">Внутренняя сеть W40.80; AIS W40.60; аварийные автономные маяки/спасательное снабжение — отдельный пакет W70 после распределения ответственности.</t>
  </si>
  <si>
    <t xml:space="preserve">Флаг/район эксплуатации, лицензирование и радиоплан, выбранные каналы, антенные взаимные помехи, условия будущих подписок.</t>
  </si>
  <si>
    <t xml:space="preserve">W40.80</t>
  </si>
  <si>
    <t xml:space="preserve">Судовая сеть, AV и видеонаблюдение</t>
  </si>
  <si>
    <t xml:space="preserve">Кабельная информационная инфраструктура, коммутаторы/точки доступа, защищённые сегменты, AV стойка/усилители/экраны/акустика и камеры по согласованному интерьерному заданию; локальная работа без облака как проверяемая цель.</t>
  </si>
  <si>
    <t xml:space="preserve">Радиоканалы W40.70; навигационные приборы W40.60; деревянные ниши/панели/мебель W60; UPS W40.40; общий AC/DC кабель до шкафа.</t>
  </si>
  <si>
    <t xml:space="preserve">Топология, места установки и теплоотвод, AV требования, границы поставки дисплеев, резервирование, управление доступом/копиями конфигурации.</t>
  </si>
  <si>
    <t xml:space="preserve">W40.90</t>
  </si>
  <si>
    <t xml:space="preserve">Рабочее, бытовое и аварийное освещение</t>
  </si>
  <si>
    <t xml:space="preserve">Светильники, местные органы управления и специфические драйверы, подсветка обслуживания/эвакуации, световые сцены по согласованному проекту.</t>
  </si>
  <si>
    <t xml:space="preserve">Навигационные огни W40.60; главные линии питания W40.20/30; контроллеры общего цифрового переключения W40.50; декоративная мебель W60.</t>
  </si>
  <si>
    <t xml:space="preserve">Светотехнический план, нагрузки, зоны защиты от воды, автономность аварийного режима, схема управления.</t>
  </si>
  <si>
    <t xml:space="preserve">W50</t>
  </si>
  <si>
    <t xml:space="preserve">Жидкостные системы и климат</t>
  </si>
  <si>
    <t xml:space="preserve">Fuel, Water, Waste, Watermaker, Hot water, HVAC и Bilge</t>
  </si>
  <si>
    <t xml:space="preserve">W50.10</t>
  </si>
  <si>
    <t xml:space="preserve">Топливная система</t>
  </si>
  <si>
    <t xml:space="preserve">Съёмные/покупные топливные ёмкости с установкой; функциональная комплектация интегральных цистерн, залив/вентиляция, арматура, магистрали и возврат, фильтрация/перекачка, отсечение и первичные датчики; сервисный танк только при обосновании; испытание полной топливной системы.</t>
  </si>
  <si>
    <t xml:space="preserve">Изготовление/ремонт интегральных сварных цистерн, сварные патрубки и отдельное испытание изготовленного танка — W10.90; заводские топливные узлы агрегатов W30.10/W40.10; пожарная логика W70.10. Не повторять отдельное испытание танка как проверку монтажа системы.</t>
  </si>
  <si>
    <t xml:space="preserve">Реестр существующих танков, материалы/состояние, топливо, автономность, схема потребителей и возвратов, комплектность датчиков.</t>
  </si>
  <si>
    <t xml:space="preserve">W50.20</t>
  </si>
  <si>
    <t xml:space="preserve">Пресная вода</t>
  </si>
  <si>
    <t xml:space="preserve">Съёмные/покупные ёмкости пресной воды с установкой; функциональное оснащение интегральных ёмкостей, наполнение/вентиляция, арматура, насосы и коллекторы, холодные магистрали, изоляция и фильтрация; резервные пути как проектная цель; испытание полной водопроводной системы.</t>
  </si>
  <si>
    <t xml:space="preserve">Интегральные сварные цистерны и отдельное испытание изготовленного танка — W10.90; опреснитель W50.30; горячая вода W50.40; санприборы, раковины, смесители и душевые приборы — W50.58; электрические преобразователи W40.40.</t>
  </si>
  <si>
    <t xml:space="preserve">Баланс потребления/автономности, гигиеническая схема, карта танков, разводка, давление, выбранная концепция резервирования.</t>
  </si>
  <si>
    <t xml:space="preserve">W50.30</t>
  </si>
  <si>
    <t xml:space="preserve">Опреснение — условный пакет</t>
  </si>
  <si>
    <t xml:space="preserve">Опреснительная установка, предочистка, промывка, контроль качества, отвод некондиционного продукта и рассола; подключение в согласованных точках.</t>
  </si>
  <si>
    <t xml:space="preserve">Общий забортный ввод W50.65; пресноводное распределение W50.20; питание W40; не назначать производительность по прежним примерам.</t>
  </si>
  <si>
    <t xml:space="preserve">Решение о наличии, водный/энергетический баланс, качество исходной воды, сервисный доступ, паспортная комплектность.</t>
  </si>
  <si>
    <t xml:space="preserve">W50.40</t>
  </si>
  <si>
    <t xml:space="preserve">Горячее водоснабжение</t>
  </si>
  <si>
    <t xml:space="preserve">Нагреватели/теплообменники по концепции, горячие линии, рециркуляция при обосновании, смесительная защита и изоляция.</t>
  </si>
  <si>
    <t xml:space="preserve">Отопление помещений W50.70; холодный водопровод W50.20; штатные внутренние узлы двигателя; AC/DC питание W40.</t>
  </si>
  <si>
    <t xml:space="preserve">Потребление, источники тепла, температурные режимы, трассы, безопасность и санитарные требования после выбора решения.</t>
  </si>
  <si>
    <t xml:space="preserve">W50.50</t>
  </si>
  <si>
    <t xml:space="preserve">Чёрные воды и санитарная водоподача</t>
  </si>
  <si>
    <t xml:space="preserve">Съёмные/покупные ёмкости чёрных вод с установкой; функциональное оснащение интегральных танков, приём/перекачка/хранение/вентиляция стоков, арматура, палубная откачка, разрешённые запираемые сбросы; магистрали и насосы смыва с защитой питьевой воды, первичные датчики; испытание полной системы.</t>
  </si>
  <si>
    <t xml:space="preserve">Изготовление интегральных сварных танков и отдельное испытание изготовленного танка — W10.90; унитазы и остальные санприборы — W50.58; серые воды W50.55; общая автоматика W40.50.</t>
  </si>
  <si>
    <t xml:space="preserve">Санитарная схема, количество пользователей после утверждения, район/режим эксплуатации, танки, схема исключения обратного загрязнения.</t>
  </si>
  <si>
    <t xml:space="preserve">W50.55</t>
  </si>
  <si>
    <t xml:space="preserve">Серые воды и конденсат</t>
  </si>
  <si>
    <t xml:space="preserve">Съёмные/покупные ёмкости и локальные сборники серых вод с установкой; функциональное оснащение интегральных ёмкостей, магистрали, арматура, сбор/перекачка душевых и бытовых стоков, запахозапирание и вентиляция, общий приём кондиционерного конденсата по интерфейсу; испытание полной системы.</t>
  </si>
  <si>
    <t xml:space="preserve">Интегральные сварные ёмкости и отдельное испытание изготовленного танка — W10.90; трюмное осушение W50.60; бытовые приборы W60.60; санприборы W50.58; индивидуальный конденсатоотвод W50.70; не дублировать общие линии чёрных вод.</t>
  </si>
  <si>
    <t xml:space="preserve">Согласованная политика сброса/накопления, компоновка приёмников, допустимые высоты/уклоны, характеристики бытовых приборов.</t>
  </si>
  <si>
    <t xml:space="preserve">W50.58</t>
  </si>
  <si>
    <t xml:space="preserve">Санитарные приборы и их установка</t>
  </si>
  <si>
    <t xml:space="preserve">Унитазы, раковины, смесители, душевые приборы и установочные комплекты; приёмка подключения по интерфейсу</t>
  </si>
  <si>
    <t xml:space="preserve">Магистрали и насосы W50.20/50; мебель и гидроизоляция помещений W60.50; бытовые приборы W60.60</t>
  </si>
  <si>
    <t xml:space="preserve">План санитарных зон; спецификация приборов; граница комплектов</t>
  </si>
  <si>
    <t xml:space="preserve">W50.60</t>
  </si>
  <si>
    <t xml:space="preserve">Осушение трюмов и аварийное удаление воды</t>
  </si>
  <si>
    <t xml:space="preserve">Зональные насосы/датчики, ручной независимый путь, аварийная магистраль при обосновании, сигнализация на первичном уровне и доступ к очистке.</t>
  </si>
  <si>
    <t xml:space="preserve">Серые/чёрные воды W50.50/55; основная автоматика W40.50; силовые сети W40.30; корпусные отверстия W10.</t>
  </si>
  <si>
    <t xml:space="preserve">Карта отсеков и низких точек, водонепроницаемые границы, сценарии затопления, расчёт производительности, независимость питания.</t>
  </si>
  <si>
    <t xml:space="preserve">W50.65</t>
  </si>
  <si>
    <t xml:space="preserve">Забортная арматура, общие морские магистрали и палубный водоотвод</t>
  </si>
  <si>
    <t xml:space="preserve">Реестр и комплектование проходов: кингстоны/клапаны, фильтры, общие коллекторы, антисифонные устройства, доступ/маркировка и присоединения к системам. Отдельная гравитационная ветвь трубного палубного водоотвода: приёмные соединения, трубы/шланги, арматура по проекту, крепления и проверка свободного отвода; это отвод воды, не забортная подача.</t>
  </si>
  <si>
    <t xml:space="preserve">Вырезы, сварные патрубки и усиления W10; локальные линии от согласованной границы к двигателю/генератору/чиллеру в профильном пакете; повторный учёт каждого общего ввода. Корпусные шпигаты, штормовые портики и их конструктивное обрамление — W10.40; не дублировать их трубной ветвью.</t>
  </si>
  <si>
    <t xml:space="preserve">Единый реестр забортных отверстий и владельцев, материалы совместимые с алюминием, расчёт расхода/затопления, доступ и границы поставки.</t>
  </si>
  <si>
    <t xml:space="preserve">W50.70</t>
  </si>
  <si>
    <t xml:space="preserve">Климат, охлаждение и отопление</t>
  </si>
  <si>
    <t xml:space="preserve">Теплохолодильные агрегаты по теплотехническому расчёту, распределительные контуры, зональные блоки, местное управление, изоляция и конденсат до приёмной точки W50.55.</t>
  </si>
  <si>
    <t xml:space="preserve">Общая вентиляция W50.75; горячая питьевая вода W50.40; общие забортные вводы W50.65; электропитание W40; мебельные короба W60.</t>
  </si>
  <si>
    <t xml:space="preserve">Тепловой баланс после принятия остекления/изоляции, климатические режимы, резервирование, шум, доступ, тепловыделение оборудования.</t>
  </si>
  <si>
    <t xml:space="preserve">W50.75</t>
  </si>
  <si>
    <t xml:space="preserve">Вентиляция помещений и машинных пространств</t>
  </si>
  <si>
    <t xml:space="preserve">Воздухообмен жилых/технических зон и машинного отделения, каналы, вентиляторы, решётки/заслонки, защита от воды, связь с пожарным отключением.</t>
  </si>
  <si>
    <t xml:space="preserve">Вентиляторы внутри заводских приборов; фанкойлы W50.70; мебельные декоративные панели W60; корпусные отверстия/усиления W10; пожарная управляющая логика W70.10.</t>
  </si>
  <si>
    <t xml:space="preserve">Баланс воздуха/тепла, компоновка каналов, требования производителей агрегатов, шум, огнестойкие границы по применимости.</t>
  </si>
  <si>
    <t xml:space="preserve">W50.80</t>
  </si>
  <si>
    <t xml:space="preserve">Общая гидравлика — условный пакет</t>
  </si>
  <si>
    <t xml:space="preserve">Общий источник/бак/аккумуляторы и распределительные магистрали, охлаждение/фильтрация, управление и аварийная изоляция при принятой общей гидравлической архитектуре.</t>
  </si>
  <si>
    <t xml:space="preserve">Локальные исполнительные устройства рулевого W30.30, маневровых W30.40, палубы/такелажа W20; автономные комплектные станции, уже включённые в соответствующее оборудование.</t>
  </si>
  <si>
    <t xml:space="preserve">Решение об общей или раздельных системах, потребители/приоритеты, давление/расход, схема резервирования, комплектность каждого привода.</t>
  </si>
  <si>
    <t xml:space="preserve">W50.85</t>
  </si>
  <si>
    <t xml:space="preserve">Газовая система — только при выборе газового оборудования</t>
  </si>
  <si>
    <t xml:space="preserve">Газовый шкаф, баллоны, редуцирование, трубопроводы, контроль утечки и испытания по отдельному решению</t>
  </si>
  <si>
    <t xml:space="preserve">Полностью электрическое исполнение не принято автоматически; газовые потребители W60.60; не считать пакет обязательным</t>
  </si>
  <si>
    <t xml:space="preserve">Выбор газ/электричество; требования эксплуатации; проект системы</t>
  </si>
  <si>
    <t xml:space="preserve">W50.90</t>
  </si>
  <si>
    <t xml:space="preserve">Интерфейсы бытовых приборов и санитарных устройств</t>
  </si>
  <si>
    <t xml:space="preserve">Только специфические переходники и подключения воды/слива/воздуха на согласованной границе с бытовыми приборами W60.60 и санприборами W50.58; проверка герметичности интерфейса.</t>
  </si>
  <si>
    <t xml:space="preserve">Поставка и установка бытовых приборов — W60.60; унитазы/раковины/смесители/душевые приборы — W50.58; общие подводящие сети W50.20/40/50/55/75; линии и защиты питания W40; заводские соединители в комплекте прибора. Интерфейсную работу распределять по владельцам без дополнительного двойного счёта.</t>
  </si>
  <si>
    <t xml:space="preserve">Ведомость выбранных приборов/санприборов, карты подключений, ответственность поставщиков, сервисный доступ; пакет может быть распределён по системам без самостоятельной стоимости.</t>
  </si>
  <si>
    <t xml:space="preserve">W60</t>
  </si>
  <si>
    <t xml:space="preserve">Компоновка и интерьер</t>
  </si>
  <si>
    <t xml:space="preserve">Accommodation и Machinery; смежные границы уточняются</t>
  </si>
  <si>
    <t xml:space="preserve">W60.10</t>
  </si>
  <si>
    <t xml:space="preserve">Тепло-, акустическая изоляция и обработка конденсата</t>
  </si>
  <si>
    <t xml:space="preserve">Материалы, крепления, согласованные паро/влагозащитные слои, монтаж по картам зон корпуса и машинных помещений</t>
  </si>
  <si>
    <t xml:space="preserve">Изоляция труб/воздуховодов W50; заводские капсулы агрегатов; декоративные панели W60.20</t>
  </si>
  <si>
    <t xml:space="preserve">Климатический/акустический расчёт; карта мостиков; доступ к сварке/контролю; требования пожарной безопасности</t>
  </si>
  <si>
    <t xml:space="preserve">W60.20</t>
  </si>
  <si>
    <t xml:space="preserve">Подконструкции, чистые полы, потолки и облицовки</t>
  </si>
  <si>
    <t xml:space="preserve">Ненесущий интерьерный каркас, съёмные панели, чистые настилы, потолки, сервисные люки и финиш</t>
  </si>
  <si>
    <t xml:space="preserve">Силовые переборки W10; изоляция W60.10; уже включённые мебельные поверхности W60.30</t>
  </si>
  <si>
    <t xml:space="preserve">Уровни пола и низа бимсов; трассы; весовая ведомость; карта ревизионного доступа</t>
  </si>
  <si>
    <t xml:space="preserve">W60.30</t>
  </si>
  <si>
    <t xml:space="preserve">Встроенная мебель и каютные двери</t>
  </si>
  <si>
    <t xml:space="preserve">Мебель кают/салона/штурманской, кровати, шкафы, столы, двери, фурнитура, покрытия, установка</t>
  </si>
  <si>
    <t xml:space="preserve">Светильники/AV W40; HVAC W50; матрасы/шторы W60.40; наружные закрытия W20.10</t>
  </si>
  <si>
    <t xml:space="preserve">Утверждённая планировка 3+1; эргономика; материал; ведомость мебели; сервисные зоны</t>
  </si>
  <si>
    <t xml:space="preserve">W60.40</t>
  </si>
  <si>
    <t xml:space="preserve">Мягкая отделка, матрасы и солнцезащита</t>
  </si>
  <si>
    <t xml:space="preserve">Внутренние матрасы/обивка, шторы/жалюзи и съёмный интерьерный текстиль</t>
  </si>
  <si>
    <t xml:space="preserve">Наружные подушки W20.30; стационарная мебель W60.30; личные вещи владельца</t>
  </si>
  <si>
    <t xml:space="preserve">Раскладка спальных мест; образцы; требования ухода и влагостойкости</t>
  </si>
  <si>
    <t xml:space="preserve">W60.50</t>
  </si>
  <si>
    <t xml:space="preserve">Мокрые зоны и интерьер камбуза</t>
  </si>
  <si>
    <t xml:space="preserve">Душевые поддоны/экраны, гидроизоляция интерьерных сопряжений, столешницы/шкафы камбуза, установка мебели</t>
  </si>
  <si>
    <t xml:space="preserve">Поставка и установка унитазов/раковин/моек/смесителей/душевой арматуры W50.58; трубопроводы W50; бытовые приборы W60.60; повторные шкафы W60.30</t>
  </si>
  <si>
    <t xml:space="preserve">Четыре санузла как цель; реальные габариты; уклоны/отвод; границы оборудования и мебели</t>
  </si>
  <si>
    <t xml:space="preserve">W60.60</t>
  </si>
  <si>
    <t xml:space="preserve">Бытовые приборы и неморское оснащение помещений</t>
  </si>
  <si>
    <t xml:space="preserve">Выбранные холодильники/плита/духовка/стирка и прочие приборы: поставка и установка в мебель</t>
  </si>
  <si>
    <t xml:space="preserve">Питание W40; газ/вода/слив/вентиляция W50; интегральные холодильные установки при включении W50; мебель</t>
  </si>
  <si>
    <t xml:space="preserve">Перечень и единый владелец каждого прибора; мощности; габариты; гарантийный доступ</t>
  </si>
  <si>
    <t xml:space="preserve">W70</t>
  </si>
  <si>
    <t xml:space="preserve">Безопасность</t>
  </si>
  <si>
    <t xml:space="preserve">Fire и Safety; требования ещё подлежат установлению</t>
  </si>
  <si>
    <t xml:space="preserve">W70.10</t>
  </si>
  <si>
    <t xml:space="preserve">Обнаружение пожара и причинно-следственная логика</t>
  </si>
  <si>
    <t xml:space="preserve">Пожарные/газовые датчики по анализу рисков, панели/первичные цепи, ручные органы, останов вентиляции/машин и отсечение топлива через согласованные интерфейсы.</t>
  </si>
  <si>
    <t xml:space="preserve">Общесудовое отображение W40.50; исполнительные топливные клапаны W50.10; вентиляционные заслонки W50.75; системы тушения W70.20.</t>
  </si>
  <si>
    <t xml:space="preserve">План пожарной безопасности, карта опасных зон, матрица причин/следствий, независимость питания, нормы по выбранной применимости.</t>
  </si>
  <si>
    <t xml:space="preserve">W70.20</t>
  </si>
  <si>
    <t xml:space="preserve">Пожаротушение и противопожарное снабжение</t>
  </si>
  <si>
    <t xml:space="preserve">Стационарное тушение машинных/технических зон по проекту; переносные средства и одеяла, доступ/маркировка, исполнительные линии и безопасная проверка цепей.</t>
  </si>
  <si>
    <t xml:space="preserve">Огнезащитные корпусные/интерьерные конструкции W10/W60; пожарное обнаружение W70.10; расходование огнетушащего вещества при испытании не предполагается автоматически.</t>
  </si>
  <si>
    <t xml:space="preserve">Объёмы защищаемых помещений, пожарная нагрузка, выбранный агент/безопасность людей, применимые правила и программа приёмки.</t>
  </si>
  <si>
    <t xml:space="preserve">W70.30</t>
  </si>
  <si>
    <t xml:space="preserve">Спасательное, аварийное и медицинское снабжение</t>
  </si>
  <si>
    <t xml:space="preserve">Плоты, жилеты/страховочные системы, средства поиска и подъёма человека за бортом, автономные аварийные маяки/сигнальные средства, аварийный комплект и медицинское снабжение по выбранной применимости; размещение, крепления, учёт сроков обслуживания и обучение по границе с W80.</t>
  </si>
  <si>
    <t xml:space="preserve">Стационарная радио-/навигационная инфраструктура W40.60/70; корпусные усиления/вырезы W10 и общие палубные конструкции W20; пожарное снабжение W70.20; стационарное осушение W50.60. Маяк учитывается единожды в этом пакете, радиоданные/регистрация согласуются с W40.</t>
  </si>
  <si>
    <t xml:space="preserve">Флаг, режим/район эксплуатации, утверждённое число людей, план эвакуации/MOB, места хранения и доступ, применимые требования, обслуживание/сроки годности; типы и количества не назначены.</t>
  </si>
  <si>
    <t xml:space="preserve">W80</t>
  </si>
  <si>
    <t xml:space="preserve">Интеграция, испытания и передача</t>
  </si>
  <si>
    <t xml:space="preserve">Монтажные стыки и согласованный объём проверки/сдачи</t>
  </si>
  <si>
    <t xml:space="preserve">W80.10</t>
  </si>
  <si>
    <t xml:space="preserve">Межсистемная проверка и готовность к закрытию</t>
  </si>
  <si>
    <t xml:space="preserve">План общесудовой приёмки и испытаний: критерии от W02/изготовителей, ответственные и точки контроля; готовность до закрытия работ/пуска/спуска; общий контроль интерфейсов, проходов/эвакуации, доступа, массы и комплектации; координационные протоколы</t>
  </si>
  <si>
    <t xml:space="preserve">Повторный монтаж, FAT и локальные проверки, включённые в профильные пакеты; инженерное обоснование критериев и расчёты W02; дополнительное участие свидетелей только отдельным согласованным составом</t>
  </si>
  <si>
    <t xml:space="preserve">Планы инспекций; checklists; исполнительная модель; протоколы дисциплин</t>
  </si>
  <si>
    <t xml:space="preserve">W80.20</t>
  </si>
  <si>
    <t xml:space="preserve">Общесудовые швартовные и ходовые испытания</t>
  </si>
  <si>
    <t xml:space="preserve">Общесудовые швартовные, ходовые и парусные проверки; согласованные первые пуски/межсистемная настройка только вне включений поставщиков, совместные нагрузки, тревоги/блокировки и резервные пути; организация, экипаж/измерения по договорной границе</t>
  </si>
  <si>
    <t xml:space="preserve">FAT, локальный первый пуск/настройка и проверки уже включённые в оборудование/монтаж; повторная оплата подготовки рангоута W20; аренда подъёмных средств/стоянки W90 если уже там; штатный ЗИП и начальный запас W80.40</t>
  </si>
  <si>
    <t xml:space="preserve">Критерии и программа приёмки; акты локальной готовности; место/период/загрузка; специалисты и свидетели; единственный владелец топлива/масел/воды и других испытательных расходников; основания повторных выходов</t>
  </si>
  <si>
    <t xml:space="preserve">W80.30</t>
  </si>
  <si>
    <t xml:space="preserve">Исполнительная документация и сдача</t>
  </si>
  <si>
    <t xml:space="preserve">Общесудовое комплектование исполнительных схем/руководств/сертификатов и версий конфигураций, связь требований с протоколами, обучение владельца, гарантийная информация, закрытие замечаний и сдача; сверка реестра ЗИП без его повторной покупки</t>
  </si>
  <si>
    <t xml:space="preserve">Повторная оплата документации уже включённой поставщиками; физический ЗИП/специнструменты W80.40; эксплуатационное обслуживание после сдачи; гарантийное исправление подрядчиком не новая платная работа автоматически</t>
  </si>
  <si>
    <t xml:space="preserve">Контрактный перечень; реестр поставщиков; языки; испытательные протоколы; ответственность за замечания</t>
  </si>
  <si>
    <t xml:space="preserve">W80.40</t>
  </si>
  <si>
    <t xml:space="preserve">Первичное снабжение, запасные части и инструменты</t>
  </si>
  <si>
    <t xml:space="preserve">Первичный комплект ЗИП, специальные инструменты, маркировка и согласованное снабжение при передаче</t>
  </si>
  <si>
    <t xml:space="preserve">Штатные комплекты уже включённые в поставку систем; последующие эксплуатационные закупки</t>
  </si>
  <si>
    <t xml:space="preserve">BOM выбранного оборудования; комплектность поставок; перечень сдачи</t>
  </si>
  <si>
    <t xml:space="preserve">W90</t>
  </si>
  <si>
    <t xml:space="preserve">Логистика и условия производства</t>
  </si>
  <si>
    <t xml:space="preserve">Доставка, хранение, доступ и производственная площадка по применимости</t>
  </si>
  <si>
    <t xml:space="preserve">W90.10</t>
  </si>
  <si>
    <t xml:space="preserve">Перемещение, хранение, помещение и стапель</t>
  </si>
  <si>
    <t xml:space="preserve">Доставка корпуса/крупных элементов по согласованным маршрутам, хранение, аренда места, опоры/леса и инфраструктура</t>
  </si>
  <si>
    <t xml:space="preserve">Доставка поставщика уже включённая в КП; станочное время/оснастка включённые в изготовление; произвольная ставка накладных</t>
  </si>
  <si>
    <t xml:space="preserve">Верфь/маршрут; габариты/массы; календарный план; договорные включения</t>
  </si>
  <si>
    <t xml:space="preserve">W90.20</t>
  </si>
  <si>
    <t xml:space="preserve">Общие производственные услуги и временные средства</t>
  </si>
  <si>
    <t xml:space="preserve">Общее электроснабжение/вентиляция/уборка/удаление отходов/защита готового по договорной границе, временные средства и охрана если поручена</t>
  </si>
  <si>
    <t xml:space="preserve">Пакетные расходники и локальная защита в цене работ; двойные общецеховые начисления; всё страхование W90.50</t>
  </si>
  <si>
    <t xml:space="preserve">Условия верфи; календарь; разделение прямых услуг и включённых накладных; перечень временных средств</t>
  </si>
  <si>
    <t xml:space="preserve">W90.30</t>
  </si>
  <si>
    <t xml:space="preserve">Общие подъёмные операции и спуск</t>
  </si>
  <si>
    <t xml:space="preserve">Подъём/перестановка/спуск корпуса, общие подъёмы и обеспечение установки мачты/крупных агрегатов по реестру операций</t>
  </si>
  <si>
    <t xml:space="preserve">Крановая услуга внутри цены монтажа поставщика; собственно монтаж рангоута/оборудования</t>
  </si>
  <si>
    <t xml:space="preserve">План подъёмов; включения подрядчиков; число операций; массы/центры; доступ к воде</t>
  </si>
  <si>
    <t xml:space="preserve">W90.40</t>
  </si>
  <si>
    <t xml:space="preserve">Общая логистика и внешние расходы</t>
  </si>
  <si>
    <t xml:space="preserve">Перевозка оборудования/материалов, общая доставка и оформление по применимости</t>
  </si>
  <si>
    <t xml:space="preserve">Доставка уже включённая в цены КП или распределённая по позициям; двойное начисление запрещено</t>
  </si>
  <si>
    <t xml:space="preserve">Место передачи; условия КП; состав грузов; схема распределения</t>
  </si>
  <si>
    <t xml:space="preserve">W90.50</t>
  </si>
  <si>
    <t xml:space="preserve">Страхование строительства и согласованные сборы</t>
  </si>
  <si>
    <t xml:space="preserve">Страхование рисков строительства/перевозки и проектные сборы по подтверждённым условиям</t>
  </si>
  <si>
    <t xml:space="preserve">Включённые страховки подрядчиков; эксплуатационные расходы после передачи</t>
  </si>
  <si>
    <t xml:space="preserve">Граница ответственности; договоры и основания сборов</t>
  </si>
  <si>
    <t xml:space="preserve">Задания на запрос КП / RFQ</t>
  </si>
  <si>
    <t xml:space="preserve">Пакет_ID</t>
  </si>
  <si>
    <t xml:space="preserve">Название</t>
  </si>
  <si>
    <t xml:space="preserve">Ревизия ТЗ</t>
  </si>
  <si>
    <t xml:space="preserve">Описание и характеристики</t>
  </si>
  <si>
    <t xml:space="preserve">Количество</t>
  </si>
  <si>
    <t xml:space="preserve">Единица</t>
  </si>
  <si>
    <t xml:space="preserve">Поставка / состав</t>
  </si>
  <si>
    <t xml:space="preserve">Монтаж / изготовление</t>
  </si>
  <si>
    <t xml:space="preserve">Испытания / документы</t>
  </si>
  <si>
    <t xml:space="preserve">Исключено</t>
  </si>
  <si>
    <t xml:space="preserve">Место передачи</t>
  </si>
  <si>
    <t xml:space="preserve">Желаемый срок</t>
  </si>
  <si>
    <t xml:space="preserve">Гарантия / сервис</t>
  </si>
  <si>
    <t xml:space="preserve">Источник ТЗ</t>
  </si>
  <si>
    <t xml:space="preserve">Реестр исходных коммерческих предложений</t>
  </si>
  <si>
    <t xml:space="preserve">КП_ID</t>
  </si>
  <si>
    <t xml:space="preserve">Поставщик_ID / имя</t>
  </si>
  <si>
    <t xml:space="preserve">Документ №</t>
  </si>
  <si>
    <t xml:space="preserve">Дата цены</t>
  </si>
  <si>
    <t xml:space="preserve">Действует до</t>
  </si>
  <si>
    <t xml:space="preserve">Валюта КП</t>
  </si>
  <si>
    <t xml:space="preserve">Основа NET/GROSS/OTHER</t>
  </si>
  <si>
    <t xml:space="preserve">Налог / режим текстом</t>
  </si>
  <si>
    <t xml:space="preserve">Ставка по документу</t>
  </si>
  <si>
    <t xml:space="preserve">Условия оплаты</t>
  </si>
  <si>
    <t xml:space="preserve">Срок поставки</t>
  </si>
  <si>
    <t xml:space="preserve">Место / условия передачи</t>
  </si>
  <si>
    <t xml:space="preserve">Доставка включена?</t>
  </si>
  <si>
    <t xml:space="preserve">Монтаж включён?</t>
  </si>
  <si>
    <t xml:space="preserve">Документ_ID</t>
  </si>
  <si>
    <t xml:space="preserve">Путь к оригиналу</t>
  </si>
  <si>
    <t xml:space="preserve">Доступ</t>
  </si>
  <si>
    <t xml:space="preserve">Примечание</t>
  </si>
  <si>
    <t xml:space="preserve">Контроль</t>
  </si>
  <si>
    <t xml:space="preserve">Исходные строки КП — без нормализации</t>
  </si>
  <si>
    <t xml:space="preserve">СтрокаКП_ID</t>
  </si>
  <si>
    <t xml:space="preserve">Позиция / лист</t>
  </si>
  <si>
    <t xml:space="preserve">Наименование / исполнение</t>
  </si>
  <si>
    <t xml:space="preserve">Количество в КП</t>
  </si>
  <si>
    <t xml:space="preserve">Единица КП</t>
  </si>
  <si>
    <t xml:space="preserve">Цена единицы в валюте КП</t>
  </si>
  <si>
    <t xml:space="preserve">Состояние цены</t>
  </si>
  <si>
    <t xml:space="preserve">Включено</t>
  </si>
  <si>
    <t xml:space="preserve">Валюта (из КП)</t>
  </si>
  <si>
    <t xml:space="preserve">Основа (из КП)</t>
  </si>
  <si>
    <t xml:space="preserve">Источник / locator</t>
  </si>
  <si>
    <t xml:space="preserve">Сопоставление вариантов в единой валюте и составе</t>
  </si>
  <si>
    <t xml:space="preserve">Опция_ID</t>
  </si>
  <si>
    <t xml:space="preserve">Группа сравнения_ID</t>
  </si>
  <si>
    <t xml:space="preserve">Техническая сопоставимость</t>
  </si>
  <si>
    <t xml:space="preserve">Единица бюджета</t>
  </si>
  <si>
    <t xml:space="preserve">Единиц КП на1 ед. бюджета</t>
  </si>
  <si>
    <t xml:space="preserve">FX: база за1 валюты КП</t>
  </si>
  <si>
    <t xml:space="preserve">Дата FX</t>
  </si>
  <si>
    <t xml:space="preserve">Документ FX_ID</t>
  </si>
  <si>
    <t xml:space="preserve">Налоговая корректировка / ед. базы</t>
  </si>
  <si>
    <t xml:space="preserve">Недостающие работы / ед. базы</t>
  </si>
  <si>
    <t xml:space="preserve">Доставка / ед. базы</t>
  </si>
  <si>
    <t xml:space="preserve">Иные корректировки / ед. базы</t>
  </si>
  <si>
    <t xml:space="preserve">Исходная цена (из строки КП)</t>
  </si>
  <si>
    <t xml:space="preserve">Основа КП</t>
  </si>
  <si>
    <t xml:space="preserve">Сопоставимая цена / ед. базы</t>
  </si>
  <si>
    <t xml:space="preserve">Выбор</t>
  </si>
  <si>
    <t xml:space="preserve">Причина решения</t>
  </si>
  <si>
    <t xml:space="preserve">Метод всех корректировок / единиц</t>
  </si>
  <si>
    <t xml:space="preserve">Документ корректировок_ID</t>
  </si>
  <si>
    <t xml:space="preserve">Рабочая смета — заготовка будущей УТВ</t>
  </si>
  <si>
    <t xml:space="preserve">Строка_ID</t>
  </si>
  <si>
    <t xml:space="preserve">Наименование работы / ресурса</t>
  </si>
  <si>
    <t xml:space="preserve">Вид затрат</t>
  </si>
  <si>
    <t xml:space="preserve">Состояние объекта</t>
  </si>
  <si>
    <t xml:space="preserve">Кто поставляет</t>
  </si>
  <si>
    <t xml:space="preserve">Граница затрат</t>
  </si>
  <si>
    <t xml:space="preserve">Основание цены_ID</t>
  </si>
  <si>
    <t xml:space="preserve">Цена / ед. базовая</t>
  </si>
  <si>
    <t xml:space="preserve">Сумма базовая</t>
  </si>
  <si>
    <t xml:space="preserve">Контроль готовности</t>
  </si>
  <si>
    <t xml:space="preserve">Документ количества_ID</t>
  </si>
  <si>
    <t xml:space="preserve">Ревизия / лист</t>
  </si>
  <si>
    <t xml:space="preserve">Состояние количества</t>
  </si>
  <si>
    <t xml:space="preserve">Состав / исключения</t>
  </si>
  <si>
    <t xml:space="preserve">Решение / версия УТВ</t>
  </si>
  <si>
    <t xml:space="preserve">Тип основания цены</t>
  </si>
  <si>
    <t xml:space="preserve">EST-001</t>
  </si>
  <si>
    <t xml:space="preserve">UNKNOWN</t>
  </si>
  <si>
    <t xml:space="preserve">EST-002</t>
  </si>
  <si>
    <t xml:space="preserve">EST-003</t>
  </si>
  <si>
    <t xml:space="preserve">EST-004</t>
  </si>
  <si>
    <t xml:space="preserve">EST-005</t>
  </si>
  <si>
    <t xml:space="preserve">EST-006</t>
  </si>
  <si>
    <t xml:space="preserve">EST-007</t>
  </si>
  <si>
    <t xml:space="preserve">EST-008</t>
  </si>
  <si>
    <t xml:space="preserve">EST-009</t>
  </si>
  <si>
    <t xml:space="preserve">EST-010</t>
  </si>
  <si>
    <t xml:space="preserve">EST-011</t>
  </si>
  <si>
    <t xml:space="preserve">EST-012</t>
  </si>
  <si>
    <t xml:space="preserve">EST-013</t>
  </si>
  <si>
    <t xml:space="preserve">EST-014</t>
  </si>
  <si>
    <t xml:space="preserve">EST-015</t>
  </si>
  <si>
    <t xml:space="preserve">EST-016</t>
  </si>
  <si>
    <t xml:space="preserve">EST-017</t>
  </si>
  <si>
    <t xml:space="preserve">EST-018</t>
  </si>
  <si>
    <t xml:space="preserve">EST-019</t>
  </si>
  <si>
    <t xml:space="preserve">EST-020</t>
  </si>
  <si>
    <t xml:space="preserve">EST-021</t>
  </si>
  <si>
    <t xml:space="preserve">EST-022</t>
  </si>
  <si>
    <t xml:space="preserve">EST-023</t>
  </si>
  <si>
    <t xml:space="preserve">EST-024</t>
  </si>
  <si>
    <t xml:space="preserve">EST-025</t>
  </si>
  <si>
    <t xml:space="preserve">EST-026</t>
  </si>
  <si>
    <t xml:space="preserve">EST-027</t>
  </si>
  <si>
    <t xml:space="preserve">EST-028</t>
  </si>
  <si>
    <t xml:space="preserve">EST-029</t>
  </si>
  <si>
    <t xml:space="preserve">EST-030</t>
  </si>
  <si>
    <t xml:space="preserve">EST-031</t>
  </si>
  <si>
    <t xml:space="preserve">EST-032</t>
  </si>
  <si>
    <t xml:space="preserve">EST-033</t>
  </si>
  <si>
    <t xml:space="preserve">EST-034</t>
  </si>
  <si>
    <t xml:space="preserve">EST-035</t>
  </si>
  <si>
    <t xml:space="preserve">EST-036</t>
  </si>
  <si>
    <t xml:space="preserve">EST-037</t>
  </si>
  <si>
    <t xml:space="preserve">EST-038</t>
  </si>
  <si>
    <t xml:space="preserve">EST-039</t>
  </si>
  <si>
    <t xml:space="preserve">EST-040</t>
  </si>
  <si>
    <t xml:space="preserve">EST-041</t>
  </si>
  <si>
    <t xml:space="preserve">EST-042</t>
  </si>
  <si>
    <t xml:space="preserve">EST-043</t>
  </si>
  <si>
    <t xml:space="preserve">EST-044</t>
  </si>
  <si>
    <t xml:space="preserve">EST-045</t>
  </si>
  <si>
    <t xml:space="preserve">EST-046</t>
  </si>
  <si>
    <t xml:space="preserve">EST-047</t>
  </si>
  <si>
    <t xml:space="preserve">EST-048</t>
  </si>
  <si>
    <t xml:space="preserve">EST-049</t>
  </si>
  <si>
    <t xml:space="preserve">EST-050</t>
  </si>
  <si>
    <t xml:space="preserve">EST-051</t>
  </si>
  <si>
    <t xml:space="preserve">EST-052</t>
  </si>
  <si>
    <t xml:space="preserve">EST-053</t>
  </si>
  <si>
    <t xml:space="preserve">EST-054</t>
  </si>
  <si>
    <t xml:space="preserve">EST-055</t>
  </si>
  <si>
    <t xml:space="preserve">EST-056</t>
  </si>
  <si>
    <t xml:space="preserve">EST-057</t>
  </si>
  <si>
    <t xml:space="preserve">EST-058</t>
  </si>
  <si>
    <t xml:space="preserve">EST-059</t>
  </si>
  <si>
    <t xml:space="preserve">EST-060</t>
  </si>
  <si>
    <t xml:space="preserve">EST-061</t>
  </si>
  <si>
    <t xml:space="preserve">EST-062</t>
  </si>
  <si>
    <t xml:space="preserve">EST-063</t>
  </si>
  <si>
    <t xml:space="preserve">EST-064</t>
  </si>
  <si>
    <t xml:space="preserve">EST-065</t>
  </si>
  <si>
    <t xml:space="preserve">EST-066</t>
  </si>
  <si>
    <t xml:space="preserve">EST-067</t>
  </si>
  <si>
    <t xml:space="preserve">EST-068</t>
  </si>
  <si>
    <t xml:space="preserve">EST-069</t>
  </si>
  <si>
    <t xml:space="preserve">EST-070</t>
  </si>
  <si>
    <t xml:space="preserve">EST-071</t>
  </si>
  <si>
    <t xml:space="preserve">EST-072</t>
  </si>
  <si>
    <t xml:space="preserve">Обоснованные расценки без КП — отдельный источник</t>
  </si>
  <si>
    <t xml:space="preserve">Оценка_ID</t>
  </si>
  <si>
    <t xml:space="preserve">Тип основания</t>
  </si>
  <si>
    <t xml:space="preserve">Описание</t>
  </si>
  <si>
    <t xml:space="preserve">Валюта базы</t>
  </si>
  <si>
    <t xml:space="preserve">Основа NET/GROSS</t>
  </si>
  <si>
    <t xml:space="preserve">Дата оценки</t>
  </si>
  <si>
    <t xml:space="preserve">Расчёт / метод / locator</t>
  </si>
  <si>
    <t xml:space="preserve">Статус цены</t>
  </si>
  <si>
    <t xml:space="preserve">Решение о применении</t>
  </si>
  <si>
    <t xml:space="preserve">Сводка известной части — не утверждённая цена яхты</t>
  </si>
  <si>
    <t xml:space="preserve">Позиций</t>
  </si>
  <si>
    <t xml:space="preserve">Готово к оценке</t>
  </si>
  <si>
    <t xml:space="preserve">Не закрыто</t>
  </si>
  <si>
    <t xml:space="preserve">Известный остаток достройки</t>
  </si>
  <si>
    <t xml:space="preserve">Известные понесённые</t>
  </si>
  <si>
    <t xml:space="preserve">Известное вне бюджета</t>
  </si>
  <si>
    <t xml:space="preserve">ИЗВЕСТНАЯ ЧАСТЬ</t>
  </si>
  <si>
    <t xml:space="preserve">Не полная стоимость яхты</t>
  </si>
  <si>
    <t xml:space="preserve">Риски и обоснование резервов</t>
  </si>
  <si>
    <t xml:space="preserve">Риск_ID</t>
  </si>
  <si>
    <t xml:space="preserve">Вероятность / основание</t>
  </si>
  <si>
    <t xml:space="preserve">Влияние / основание</t>
  </si>
  <si>
    <t xml:space="preserve">Мера снижения</t>
  </si>
  <si>
    <t xml:space="preserve">Резерв базовая валюта</t>
  </si>
  <si>
    <t xml:space="preserve">Метод / источник</t>
  </si>
  <si>
    <t xml:space="preserve">Решение</t>
  </si>
  <si>
    <t xml:space="preserve">Включён в Строка_ID</t>
  </si>
  <si>
    <t xml:space="preserve">Изменения после фиксации базового бюджета</t>
  </si>
  <si>
    <t xml:space="preserve">Изменение_ID</t>
  </si>
  <si>
    <t xml:space="preserve">Дата</t>
  </si>
  <si>
    <t xml:space="preserve">Исходная версия УТВ</t>
  </si>
  <si>
    <t xml:space="preserve">Причина / решение</t>
  </si>
  <si>
    <t xml:space="preserve">Прежний состав</t>
  </si>
  <si>
    <t xml:space="preserve">Новый состав</t>
  </si>
  <si>
    <t xml:space="preserve">Старая сумма базы</t>
  </si>
  <si>
    <t xml:space="preserve">Новая сумма базы</t>
  </si>
  <si>
    <t xml:space="preserve">Дельта</t>
  </si>
  <si>
    <t xml:space="preserve">Влияние на срок</t>
  </si>
  <si>
    <t xml:space="preserve">Утвердил / документ</t>
  </si>
  <si>
    <t xml:space="preserve">После утверждения: факт, обязательства и прогноз</t>
  </si>
  <si>
    <t xml:space="preserve">Период</t>
  </si>
  <si>
    <t xml:space="preserve">Версия утверждённой УТВ</t>
  </si>
  <si>
    <t xml:space="preserve">Базовый бюджет</t>
  </si>
  <si>
    <t xml:space="preserve">Обязательства всего</t>
  </si>
  <si>
    <t xml:space="preserve">Факт стоимости</t>
  </si>
  <si>
    <t xml:space="preserve">Оплачено (справочно)</t>
  </si>
  <si>
    <t xml:space="preserve">Остаток обязательств</t>
  </si>
  <si>
    <t xml:space="preserve">Незаконтрактованный остаток</t>
  </si>
  <si>
    <t xml:space="preserve">Утверждённый неучтённый резерв</t>
  </si>
  <si>
    <t xml:space="preserve">Прогноз завершения</t>
  </si>
  <si>
    <t xml:space="preserve">Отклонение от базы</t>
  </si>
  <si>
    <t xml:space="preserve">Включения и исключения — контроль двойного счёта</t>
  </si>
  <si>
    <t xml:space="preserve">Стык_ID</t>
  </si>
  <si>
    <t xml:space="preserve">Операция / компонент</t>
  </si>
  <si>
    <t xml:space="preserve">Статус включения</t>
  </si>
  <si>
    <t xml:space="preserve">Покрывающая Строка_ID</t>
  </si>
  <si>
    <t xml:space="preserve">Ответственный пакет_ID</t>
  </si>
  <si>
    <t xml:space="preserve">Основание / КП / ревизия</t>
  </si>
  <si>
    <t xml:space="preserve">Документы и основания — реестр для заполнения</t>
  </si>
  <si>
    <t xml:space="preserve">Тип</t>
  </si>
  <si>
    <t xml:space="preserve">Ревизия</t>
  </si>
  <si>
    <t xml:space="preserve">Путь / ссылка</t>
  </si>
  <si>
    <t xml:space="preserve">SHA256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</si>
</sst>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####;[RED]\(#,##0.00####\);0.00"/>
    <numFmt numFmtId="166" formatCode="#,##0.00;[RED]\(#,##0.00\);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164B78"/>
      <name val="Calibri"/>
      <family val="0"/>
      <charset val="1"/>
    </font>
    <font>
      <sz val="11"/>
      <color rgb="FF33434B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94A"/>
        <bgColor rgb="FF33434B"/>
      </patternFill>
    </fill>
    <fill>
      <patternFill patternType="solid">
        <fgColor rgb="FFEAF2FA"/>
        <bgColor rgb="FFEDF0F2"/>
      </patternFill>
    </fill>
    <fill>
      <patternFill patternType="solid">
        <fgColor rgb="FFEDF0F2"/>
        <bgColor rgb="FFEAF2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5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9394A"/>
          <bgColor rgb="FF000000"/>
        </patternFill>
      </fill>
    </dxf>
    <dxf>
      <fill>
        <patternFill patternType="solid">
          <fgColor rgb="FFEAF2FA"/>
          <bgColor rgb="FF000000"/>
        </patternFill>
      </fill>
    </dxf>
    <dxf>
      <fill>
        <patternFill patternType="solid">
          <fgColor rgb="FF164B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F0F2"/>
          <bgColor rgb="FF000000"/>
        </patternFill>
      </fill>
    </dxf>
    <dxf>
      <fill>
        <patternFill patternType="solid">
          <fgColor rgb="FF33434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0F2"/>
      <rgbColor rgb="FFEA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9394A"/>
      <rgbColor rgb="FF339966"/>
      <rgbColor rgb="FF003300"/>
      <rgbColor rgb="FF333300"/>
      <rgbColor rgb="FF993300"/>
      <rgbColor rgb="FF993366"/>
      <rgbColor rgb="FF164B78"/>
      <rgbColor rgb="FF3343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1" displayName="T1" ref="A3:B20" headerRowCount="1" totalsRowCount="0" totalsRowShown="0">
  <autoFilter ref="A3:B20"/>
  <tableColumns count="2">
    <tableColumn id="1" name="Раздел"/>
    <tableColumn id="2" name="Порядок работы / правило"/>
  </tableColumns>
</table>
</file>

<file path=xl/tables/table2.xml><?xml version="1.0" encoding="utf-8"?>
<table xmlns="http://schemas.openxmlformats.org/spreadsheetml/2006/main" id="2" name="T10" displayName="T10" ref="A3:I17" headerRowCount="1" totalsRowCount="0" totalsRowShown="0">
  <autoFilter ref="A3:I17"/>
  <tableColumns count="9">
    <tableColumn id="1" name="WBS"/>
    <tableColumn id="2" name="Раздел"/>
    <tableColumn id="3" name="Позиций"/>
    <tableColumn id="4" name="Готово к оценке"/>
    <tableColumn id="5" name="Не закрыто"/>
    <tableColumn id="6" name="Известный остаток достройки"/>
    <tableColumn id="7" name="Известные понесённые"/>
    <tableColumn id="8" name="Известное вне бюджета"/>
    <tableColumn id="9" name="Статус"/>
  </tableColumns>
</table>
</file>

<file path=xl/tables/table3.xml><?xml version="1.0" encoding="utf-8"?>
<table xmlns="http://schemas.openxmlformats.org/spreadsheetml/2006/main" id="3" name="T11" displayName="T11" ref="A3:L203" headerRowCount="1" totalsRowCount="0" totalsRowShown="0">
  <autoFilter ref="A3:L203"/>
  <tableColumns count="12">
    <tableColumn id="1" name="Риск_ID"/>
    <tableColumn id="2" name="WBS"/>
    <tableColumn id="3" name="Описание"/>
    <tableColumn id="4" name="Вероятность / основание"/>
    <tableColumn id="5" name="Влияние / основание"/>
    <tableColumn id="6" name="Мера снижения"/>
    <tableColumn id="7" name="Резерв базовая валюта"/>
    <tableColumn id="8" name="Метод / источник"/>
    <tableColumn id="9" name="Решение"/>
    <tableColumn id="10" name="Включён в Строка_ID"/>
    <tableColumn id="11" name="Статус"/>
    <tableColumn id="12" name="Ответственный"/>
  </tableColumns>
</table>
</file>

<file path=xl/tables/table4.xml><?xml version="1.0" encoding="utf-8"?>
<table xmlns="http://schemas.openxmlformats.org/spreadsheetml/2006/main" id="4" name="T12" displayName="T12" ref="A3:M203" headerRowCount="1" totalsRowCount="0" totalsRowShown="0">
  <autoFilter ref="A3:M203"/>
  <tableColumns count="13">
    <tableColumn id="1" name="Изменение_ID"/>
    <tableColumn id="2" name="Дата"/>
    <tableColumn id="3" name="Исходная версия УТВ"/>
    <tableColumn id="4" name="Строка_ID"/>
    <tableColumn id="5" name="Причина / решение"/>
    <tableColumn id="6" name="Прежний состав"/>
    <tableColumn id="7" name="Новый состав"/>
    <tableColumn id="8" name="Старая сумма базы"/>
    <tableColumn id="9" name="Новая сумма базы"/>
    <tableColumn id="10" name="Дельта"/>
    <tableColumn id="11" name="Влияние на срок"/>
    <tableColumn id="12" name="Статус"/>
    <tableColumn id="13" name="Утвердил / документ"/>
  </tableColumns>
</table>
</file>

<file path=xl/tables/table5.xml><?xml version="1.0" encoding="utf-8"?>
<table xmlns="http://schemas.openxmlformats.org/spreadsheetml/2006/main" id="5" name="T13" displayName="T13" ref="A3:N203" headerRowCount="1" totalsRowCount="0" totalsRowShown="0">
  <autoFilter ref="A3:N203"/>
  <tableColumns count="14">
    <tableColumn id="1" name="Период"/>
    <tableColumn id="2" name="WBS"/>
    <tableColumn id="3" name="Версия утверждённой УТВ"/>
    <tableColumn id="4" name="Базовый бюджет"/>
    <tableColumn id="5" name="Обязательства всего"/>
    <tableColumn id="6" name="Факт стоимости"/>
    <tableColumn id="7" name="Оплачено (справочно)"/>
    <tableColumn id="8" name="Остаток обязательств"/>
    <tableColumn id="9" name="Незаконтрактованный остаток"/>
    <tableColumn id="10" name="Утверждённый неучтённый резерв"/>
    <tableColumn id="11" name="Прогноз завершения"/>
    <tableColumn id="12" name="Отклонение от базы"/>
    <tableColumn id="13" name="Источник / решение"/>
    <tableColumn id="14" name="Контроль"/>
  </tableColumns>
</table>
</file>

<file path=xl/tables/table6.xml><?xml version="1.0" encoding="utf-8"?>
<table xmlns="http://schemas.openxmlformats.org/spreadsheetml/2006/main" id="6" name="T14" displayName="T14" ref="A3:I203" headerRowCount="1" totalsRowCount="0" totalsRowShown="0">
  <autoFilter ref="A3:I203"/>
  <tableColumns count="9">
    <tableColumn id="1" name="Стык_ID"/>
    <tableColumn id="2" name="Пакет_ID"/>
    <tableColumn id="3" name="Операция / компонент"/>
    <tableColumn id="4" name="Статус включения"/>
    <tableColumn id="5" name="Покрывающая Строка_ID"/>
    <tableColumn id="6" name="Ответственный пакет_ID"/>
    <tableColumn id="7" name="Основание / КП / ревизия"/>
    <tableColumn id="8" name="Решение"/>
    <tableColumn id="9" name="Статус"/>
  </tableColumns>
</table>
</file>

<file path=xl/tables/table7.xml><?xml version="1.0" encoding="utf-8"?>
<table xmlns="http://schemas.openxmlformats.org/spreadsheetml/2006/main" id="7" name="T15" displayName="T15" ref="A3:J203" headerRowCount="1" totalsRowCount="0" totalsRowShown="0">
  <autoFilter ref="A3:J203"/>
  <tableColumns count="10">
    <tableColumn id="1" name="Документ_ID"/>
    <tableColumn id="2" name="Тип"/>
    <tableColumn id="3" name="Название"/>
    <tableColumn id="4" name="Дата"/>
    <tableColumn id="5" name="Ревизия"/>
    <tableColumn id="6" name="Путь / ссылка"/>
    <tableColumn id="7" name="SHA256"/>
    <tableColumn id="8" name="Доступ"/>
    <tableColumn id="9" name="Статус"/>
    <tableColumn id="10" name="Примечание"/>
  </tableColumns>
</table>
</file>

<file path=xl/tables/table8.xml><?xml version="1.0" encoding="utf-8"?>
<table xmlns="http://schemas.openxmlformats.org/spreadsheetml/2006/main" id="8" name="T2" displayName="T2" ref="A3:C22" headerRowCount="1" totalsRowCount="0" totalsRowShown="0">
  <autoFilter ref="A3:C22"/>
  <tableColumns count="3">
    <tableColumn id="1" name="Поле"/>
    <tableColumn id="2" name="Значение"/>
    <tableColumn id="3" name="Источник / решение"/>
  </tableColumns>
</table>
</file>

<file path=xl/tables/table9.xml><?xml version="1.0" encoding="utf-8"?>
<table xmlns="http://schemas.openxmlformats.org/spreadsheetml/2006/main" id="9" name="T3" displayName="T3" ref="A3:H87" headerRowCount="1" totalsRowCount="0" totalsRowShown="0">
  <autoFilter ref="A3:H87"/>
  <tableColumns count="8">
    <tableColumn id="1" name="WBS"/>
    <tableColumn id="2" name="Родитель"/>
    <tableColumn id="3" name="Раздел / пакет"/>
    <tableColumn id="4" name="Входит"/>
    <tableColumn id="5" name="Граница / исключено"/>
    <tableColumn id="6" name="Нужные исходные данные"/>
    <tableColumn id="7" name="Применимость"/>
    <tableColumn id="8" name="Ответственный"/>
  </tableColumns>
</table>
</file>

<file path=xl/tables/table10.xml><?xml version="1.0" encoding="utf-8"?>
<table xmlns="http://schemas.openxmlformats.org/spreadsheetml/2006/main" id="10" name="T4" displayName="T4" ref="A3:Q203" headerRowCount="1" totalsRowCount="0" totalsRowShown="0">
  <autoFilter ref="A3:Q203"/>
  <tableColumns count="17">
    <tableColumn id="1" name="Пакет_ID"/>
    <tableColumn id="2" name="WBS"/>
    <tableColumn id="3" name="Название"/>
    <tableColumn id="4" name="Ревизия ТЗ"/>
    <tableColumn id="5" name="Описание и характеристики"/>
    <tableColumn id="6" name="Количество"/>
    <tableColumn id="7" name="Единица"/>
    <tableColumn id="8" name="Поставка / состав"/>
    <tableColumn id="9" name="Монтаж / изготовление"/>
    <tableColumn id="10" name="Испытания / документы"/>
    <tableColumn id="11" name="Исключено"/>
    <tableColumn id="12" name="Место передачи"/>
    <tableColumn id="13" name="Желаемый срок"/>
    <tableColumn id="14" name="Гарантия / сервис"/>
    <tableColumn id="15" name="Источник ТЗ"/>
    <tableColumn id="16" name="Ответственный"/>
    <tableColumn id="17" name="Статус"/>
  </tableColumns>
</table>
</file>

<file path=xl/tables/table11.xml><?xml version="1.0" encoding="utf-8"?>
<table xmlns="http://schemas.openxmlformats.org/spreadsheetml/2006/main" id="11" name="T5" displayName="T5" ref="A3:T203" headerRowCount="1" totalsRowCount="0" totalsRowShown="0">
  <autoFilter ref="A3:T203"/>
  <tableColumns count="20">
    <tableColumn id="1" name="КП_ID"/>
    <tableColumn id="2" name="Поставщик_ID / имя"/>
    <tableColumn id="3" name="Документ №"/>
    <tableColumn id="4" name="Дата цены"/>
    <tableColumn id="5" name="Действует до"/>
    <tableColumn id="6" name="Валюта КП"/>
    <tableColumn id="7" name="Основа NET/GROSS/OTHER"/>
    <tableColumn id="8" name="Налог / режим текстом"/>
    <tableColumn id="9" name="Ставка по документу"/>
    <tableColumn id="10" name="Условия оплаты"/>
    <tableColumn id="11" name="Срок поставки"/>
    <tableColumn id="12" name="Место / условия передачи"/>
    <tableColumn id="13" name="Доставка включена?"/>
    <tableColumn id="14" name="Монтаж включён?"/>
    <tableColumn id="15" name="Гарантия / сервис"/>
    <tableColumn id="16" name="Документ_ID"/>
    <tableColumn id="17" name="Путь к оригиналу"/>
    <tableColumn id="18" name="Доступ"/>
    <tableColumn id="19" name="Примечание"/>
    <tableColumn id="20" name="Контроль"/>
  </tableColumns>
</table>
</file>

<file path=xl/tables/table12.xml><?xml version="1.0" encoding="utf-8"?>
<table xmlns="http://schemas.openxmlformats.org/spreadsheetml/2006/main" id="12" name="T6" displayName="T6" ref="A3:O203" headerRowCount="1" totalsRowCount="0" totalsRowShown="0">
  <autoFilter ref="A3:O203"/>
  <tableColumns count="15">
    <tableColumn id="1" name="СтрокаКП_ID"/>
    <tableColumn id="2" name="КП_ID"/>
    <tableColumn id="3" name="Пакет_ID"/>
    <tableColumn id="4" name="Позиция / лист"/>
    <tableColumn id="5" name="Наименование / исполнение"/>
    <tableColumn id="6" name="Количество в КП"/>
    <tableColumn id="7" name="Единица КП"/>
    <tableColumn id="8" name="Цена единицы в валюте КП"/>
    <tableColumn id="9" name="Состояние цены"/>
    <tableColumn id="10" name="Включено"/>
    <tableColumn id="11" name="Исключено"/>
    <tableColumn id="12" name="Валюта (из КП)"/>
    <tableColumn id="13" name="Основа (из КП)"/>
    <tableColumn id="14" name="Источник / locator"/>
    <tableColumn id="15" name="Контроль"/>
  </tableColumns>
</table>
</file>

<file path=xl/tables/table13.xml><?xml version="1.0" encoding="utf-8"?>
<table xmlns="http://schemas.openxmlformats.org/spreadsheetml/2006/main" id="13" name="T7" displayName="T7" ref="A3:W203" headerRowCount="1" totalsRowCount="0" totalsRowShown="0">
  <autoFilter ref="A3:W203"/>
  <tableColumns count="23">
    <tableColumn id="1" name="Опция_ID"/>
    <tableColumn id="2" name="Группа сравнения_ID"/>
    <tableColumn id="3" name="СтрокаКП_ID"/>
    <tableColumn id="4" name="Пакет_ID"/>
    <tableColumn id="5" name="Техническая сопоставимость"/>
    <tableColumn id="6" name="Единица бюджета"/>
    <tableColumn id="7" name="Единиц КП на1 ед. бюджета"/>
    <tableColumn id="8" name="FX: база за1 валюты КП"/>
    <tableColumn id="9" name="Дата FX"/>
    <tableColumn id="10" name="Документ FX_ID"/>
    <tableColumn id="11" name="Налоговая корректировка / ед. базы"/>
    <tableColumn id="12" name="Недостающие работы / ед. базы"/>
    <tableColumn id="13" name="Доставка / ед. базы"/>
    <tableColumn id="14" name="Иные корректировки / ед. базы"/>
    <tableColumn id="15" name="Исходная цена (из строки КП)"/>
    <tableColumn id="16" name="Валюта КП"/>
    <tableColumn id="17" name="Основа КП"/>
    <tableColumn id="18" name="Сопоставимая цена / ед. базы"/>
    <tableColumn id="19" name="Выбор"/>
    <tableColumn id="20" name="Причина решения"/>
    <tableColumn id="21" name="Метод всех корректировок / единиц"/>
    <tableColumn id="22" name="Контроль"/>
    <tableColumn id="23" name="Документ корректировок_ID"/>
  </tableColumns>
</table>
</file>

<file path=xl/tables/table14.xml><?xml version="1.0" encoding="utf-8"?>
<table xmlns="http://schemas.openxmlformats.org/spreadsheetml/2006/main" id="14" name="T8" displayName="T8" ref="A3:V203" headerRowCount="1" totalsRowCount="0" totalsRowShown="0">
  <autoFilter ref="A3:V203"/>
  <tableColumns count="22">
    <tableColumn id="1" name="Строка_ID"/>
    <tableColumn id="2" name="WBS"/>
    <tableColumn id="3" name="Пакет_ID"/>
    <tableColumn id="4" name="Наименование работы / ресурса"/>
    <tableColumn id="5" name="Вид затрат"/>
    <tableColumn id="6" name="Состояние объекта"/>
    <tableColumn id="7" name="Кто поставляет"/>
    <tableColumn id="8" name="Граница затрат"/>
    <tableColumn id="9" name="Количество"/>
    <tableColumn id="10" name="Единица"/>
    <tableColumn id="11" name="Основание цены_ID"/>
    <tableColumn id="12" name="Цена / ед. базовая"/>
    <tableColumn id="13" name="Сумма базовая"/>
    <tableColumn id="14" name="Контроль готовности"/>
    <tableColumn id="15" name="Документ количества_ID"/>
    <tableColumn id="16" name="Ревизия / лист"/>
    <tableColumn id="17" name="Состояние количества"/>
    <tableColumn id="18" name="Состав / исключения"/>
    <tableColumn id="19" name="Ответственный"/>
    <tableColumn id="20" name="Решение / версия УТВ"/>
    <tableColumn id="21" name="Примечание"/>
    <tableColumn id="22" name="Тип основания цены"/>
  </tableColumns>
</table>
</file>

<file path=xl/tables/table15.xml><?xml version="1.0" encoding="utf-8"?>
<table xmlns="http://schemas.openxmlformats.org/spreadsheetml/2006/main" id="15" name="T9" displayName="T9" ref="A3:N203" headerRowCount="1" totalsRowCount="0" totalsRowShown="0">
  <autoFilter ref="A3:N203"/>
  <tableColumns count="14">
    <tableColumn id="1" name="Оценка_ID"/>
    <tableColumn id="2" name="Пакет_ID"/>
    <tableColumn id="3" name="Тип основания"/>
    <tableColumn id="4" name="Описание"/>
    <tableColumn id="5" name="Единица"/>
    <tableColumn id="6" name="Цена / ед. базовая"/>
    <tableColumn id="7" name="Валюта базы"/>
    <tableColumn id="8" name="Основа NET/GROSS"/>
    <tableColumn id="9" name="Дата оценки"/>
    <tableColumn id="10" name="Документ_ID"/>
    <tableColumn id="11" name="Расчёт / метод / locator"/>
    <tableColumn id="12" name="Статус цены"/>
    <tableColumn id="13" name="Решение о применении"/>
    <tableColumn id="14" name="Контроль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5"/>
  </cols>
  <sheetData>
    <row r="1" customFormat="false" ht="33.75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3" customFormat="false" ht="48" hidden="false" customHeight="true" outlineLevel="0" collapsed="false">
      <c r="A3" s="3" t="s">
        <v>2</v>
      </c>
      <c r="B3" s="3" t="s">
        <v>3</v>
      </c>
    </row>
    <row r="4" customFormat="false" ht="39.75" hidden="false" customHeight="true" outlineLevel="0" collapsed="false">
      <c r="A4" s="4" t="s">
        <v>4</v>
      </c>
      <c r="B4" s="4" t="s">
        <v>5</v>
      </c>
    </row>
    <row r="5" customFormat="false" ht="39.75" hidden="false" customHeight="true" outlineLevel="0" collapsed="false">
      <c r="A5" s="4" t="s">
        <v>6</v>
      </c>
      <c r="B5" s="4" t="s">
        <v>7</v>
      </c>
    </row>
    <row r="6" customFormat="false" ht="39.75" hidden="false" customHeight="true" outlineLevel="0" collapsed="false">
      <c r="A6" s="4" t="s">
        <v>8</v>
      </c>
      <c r="B6" s="4" t="s">
        <v>9</v>
      </c>
    </row>
    <row r="7" customFormat="false" ht="39.75" hidden="false" customHeight="true" outlineLevel="0" collapsed="false">
      <c r="A7" s="4" t="s">
        <v>10</v>
      </c>
      <c r="B7" s="4" t="s">
        <v>11</v>
      </c>
    </row>
    <row r="8" customFormat="false" ht="39.75" hidden="false" customHeight="true" outlineLevel="0" collapsed="false">
      <c r="A8" s="4" t="s">
        <v>12</v>
      </c>
      <c r="B8" s="4" t="s">
        <v>13</v>
      </c>
    </row>
    <row r="9" customFormat="false" ht="39.75" hidden="false" customHeight="true" outlineLevel="0" collapsed="false">
      <c r="A9" s="4" t="s">
        <v>14</v>
      </c>
      <c r="B9" s="4" t="s">
        <v>15</v>
      </c>
    </row>
    <row r="10" customFormat="false" ht="39.75" hidden="false" customHeight="true" outlineLevel="0" collapsed="false">
      <c r="A10" s="4" t="s">
        <v>16</v>
      </c>
      <c r="B10" s="4" t="s">
        <v>17</v>
      </c>
    </row>
    <row r="11" customFormat="false" ht="39.75" hidden="false" customHeight="true" outlineLevel="0" collapsed="false">
      <c r="A11" s="4" t="s">
        <v>18</v>
      </c>
      <c r="B11" s="4" t="s">
        <v>19</v>
      </c>
    </row>
    <row r="12" customFormat="false" ht="39.75" hidden="false" customHeight="true" outlineLevel="0" collapsed="false">
      <c r="A12" s="4" t="s">
        <v>20</v>
      </c>
      <c r="B12" s="4" t="s">
        <v>21</v>
      </c>
    </row>
    <row r="13" customFormat="false" ht="39.75" hidden="false" customHeight="true" outlineLevel="0" collapsed="false">
      <c r="A13" s="4" t="s">
        <v>22</v>
      </c>
      <c r="B13" s="4" t="s">
        <v>23</v>
      </c>
    </row>
    <row r="14" customFormat="false" ht="39.75" hidden="false" customHeight="true" outlineLevel="0" collapsed="false">
      <c r="A14" s="4" t="s">
        <v>24</v>
      </c>
      <c r="B14" s="4" t="s">
        <v>25</v>
      </c>
    </row>
    <row r="15" customFormat="false" ht="39.75" hidden="false" customHeight="true" outlineLevel="0" collapsed="false">
      <c r="A15" s="4" t="s">
        <v>26</v>
      </c>
      <c r="B15" s="4" t="s">
        <v>27</v>
      </c>
    </row>
    <row r="16" customFormat="false" ht="39.75" hidden="false" customHeight="true" outlineLevel="0" collapsed="false">
      <c r="A16" s="4" t="s">
        <v>28</v>
      </c>
      <c r="B16" s="4" t="s">
        <v>29</v>
      </c>
    </row>
    <row r="17" customFormat="false" ht="39.75" hidden="false" customHeight="true" outlineLevel="0" collapsed="false">
      <c r="A17" s="4" t="s">
        <v>30</v>
      </c>
      <c r="B17" s="4" t="s">
        <v>31</v>
      </c>
    </row>
    <row r="18" customFormat="false" ht="39.75" hidden="false" customHeight="true" outlineLevel="0" collapsed="false">
      <c r="A18" s="4" t="s">
        <v>32</v>
      </c>
      <c r="B18" s="4" t="s">
        <v>33</v>
      </c>
    </row>
    <row r="19" customFormat="false" ht="39.75" hidden="false" customHeight="true" outlineLevel="0" collapsed="false">
      <c r="A19" s="4" t="s">
        <v>34</v>
      </c>
      <c r="B19" s="4" t="s">
        <v>35</v>
      </c>
    </row>
    <row r="20" customFormat="false" ht="39.75" hidden="false" customHeight="true" outlineLevel="0" collapsed="false">
      <c r="A20" s="4" t="s">
        <v>36</v>
      </c>
      <c r="B20" s="4" t="s">
        <v>37</v>
      </c>
    </row>
  </sheetData>
  <autoFilter ref="A3:B20"/>
  <mergeCells count="2">
    <mergeCell ref="A1:B1"/>
    <mergeCell ref="A2:B2"/>
  </mergeCell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48"/>
    <col collapsed="false" customWidth="true" hidden="false" outlineLevel="0" max="3" min="3" style="0" width="70"/>
  </cols>
  <sheetData>
    <row r="1" customFormat="false" ht="33.75" hidden="false" customHeight="true" outlineLevel="0" collapsed="false">
      <c r="A1" s="1" t="s">
        <v>38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48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16.4" hidden="false" customHeight="false" outlineLevel="0" collapsed="false">
      <c r="A4" s="4" t="s">
        <v>42</v>
      </c>
      <c r="B4" s="4" t="s">
        <v>43</v>
      </c>
      <c r="C4" s="4" t="s">
        <v>44</v>
      </c>
    </row>
    <row r="5" customFormat="false" ht="16.4" hidden="false" customHeight="false" outlineLevel="0" collapsed="false">
      <c r="A5" s="4" t="s">
        <v>45</v>
      </c>
      <c r="B5" s="4" t="s">
        <v>46</v>
      </c>
      <c r="C5" s="4" t="s">
        <v>47</v>
      </c>
    </row>
    <row r="6" customFormat="false" ht="16.4" hidden="false" customHeight="false" outlineLevel="0" collapsed="false">
      <c r="A6" s="4" t="s">
        <v>4</v>
      </c>
      <c r="B6" s="4" t="s">
        <v>48</v>
      </c>
      <c r="C6" s="4" t="s">
        <v>49</v>
      </c>
    </row>
    <row r="7" customFormat="false" ht="16.4" hidden="false" customHeight="false" outlineLevel="0" collapsed="false">
      <c r="A7" s="4" t="s">
        <v>50</v>
      </c>
      <c r="B7" s="4" t="s">
        <v>51</v>
      </c>
      <c r="C7" s="4" t="s">
        <v>52</v>
      </c>
    </row>
    <row r="8" customFormat="false" ht="16.4" hidden="false" customHeight="false" outlineLevel="0" collapsed="false">
      <c r="A8" s="4" t="s">
        <v>53</v>
      </c>
      <c r="B8" s="4"/>
      <c r="C8" s="4"/>
    </row>
    <row r="9" customFormat="false" ht="16.4" hidden="false" customHeight="false" outlineLevel="0" collapsed="false">
      <c r="A9" s="4" t="s">
        <v>54</v>
      </c>
      <c r="B9" s="4"/>
      <c r="C9" s="4"/>
    </row>
    <row r="10" customFormat="false" ht="16.4" hidden="false" customHeight="false" outlineLevel="0" collapsed="false">
      <c r="A10" s="4" t="s">
        <v>55</v>
      </c>
      <c r="B10" s="4"/>
      <c r="C10" s="4"/>
    </row>
    <row r="11" customFormat="false" ht="16.4" hidden="false" customHeight="false" outlineLevel="0" collapsed="false">
      <c r="A11" s="4" t="s">
        <v>56</v>
      </c>
      <c r="B11" s="4"/>
      <c r="C11" s="4"/>
    </row>
    <row r="12" customFormat="false" ht="16.4" hidden="false" customHeight="false" outlineLevel="0" collapsed="false">
      <c r="A12" s="4" t="s">
        <v>57</v>
      </c>
      <c r="B12" s="4"/>
      <c r="C12" s="4"/>
    </row>
    <row r="13" customFormat="false" ht="16.4" hidden="false" customHeight="false" outlineLevel="0" collapsed="false">
      <c r="A13" s="4" t="s">
        <v>58</v>
      </c>
      <c r="B13" s="4"/>
      <c r="C13" s="4"/>
    </row>
    <row r="14" customFormat="false" ht="16.4" hidden="false" customHeight="false" outlineLevel="0" collapsed="false">
      <c r="A14" s="4" t="s">
        <v>59</v>
      </c>
      <c r="B14" s="4"/>
      <c r="C14" s="4"/>
    </row>
    <row r="15" customFormat="false" ht="16.4" hidden="false" customHeight="false" outlineLevel="0" collapsed="false">
      <c r="A15" s="4" t="s">
        <v>60</v>
      </c>
      <c r="B15" s="4"/>
      <c r="C15" s="4"/>
    </row>
    <row r="16" customFormat="false" ht="16.4" hidden="false" customHeight="false" outlineLevel="0" collapsed="false">
      <c r="A16" s="4" t="s">
        <v>61</v>
      </c>
      <c r="B16" s="4"/>
      <c r="C16" s="4"/>
    </row>
    <row r="17" customFormat="false" ht="16.4" hidden="false" customHeight="false" outlineLevel="0" collapsed="false">
      <c r="A17" s="4" t="s">
        <v>62</v>
      </c>
      <c r="B17" s="4"/>
      <c r="C17" s="4"/>
    </row>
    <row r="18" customFormat="false" ht="16.4" hidden="false" customHeight="false" outlineLevel="0" collapsed="false">
      <c r="A18" s="4" t="s">
        <v>63</v>
      </c>
      <c r="B18" s="4"/>
      <c r="C18" s="4"/>
    </row>
    <row r="19" customFormat="false" ht="16.4" hidden="false" customHeight="false" outlineLevel="0" collapsed="false">
      <c r="A19" s="4" t="s">
        <v>64</v>
      </c>
      <c r="B19" s="4" t="s">
        <v>65</v>
      </c>
      <c r="C19" s="4" t="s">
        <v>66</v>
      </c>
    </row>
    <row r="20" customFormat="false" ht="16.4" hidden="false" customHeight="false" outlineLevel="0" collapsed="false">
      <c r="A20" s="4" t="s">
        <v>67</v>
      </c>
      <c r="B20" s="4" t="s">
        <v>68</v>
      </c>
      <c r="C20" s="4" t="s">
        <v>69</v>
      </c>
    </row>
    <row r="21" customFormat="false" ht="16.4" hidden="false" customHeight="false" outlineLevel="0" collapsed="false">
      <c r="A21" s="4" t="s">
        <v>70</v>
      </c>
      <c r="B21" s="4"/>
      <c r="C21" s="4"/>
    </row>
    <row r="22" customFormat="false" ht="16.4" hidden="false" customHeight="false" outlineLevel="0" collapsed="false">
      <c r="A22" s="4" t="s">
        <v>71</v>
      </c>
      <c r="B22" s="4"/>
      <c r="C22" s="4"/>
    </row>
  </sheetData>
  <autoFilter ref="A3:C22"/>
  <mergeCells count="2">
    <mergeCell ref="A1:C1"/>
    <mergeCell ref="A2:C2"/>
  </mergeCells>
  <dataValidations count="1">
    <dataValidation allowBlank="true" errorStyle="stop" operator="between" showDropDown="false" showErrorMessage="false" showInputMessage="false" sqref="B9" type="list">
      <formula1>"NET,GROSS"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6" min="3" style="0" width="48"/>
    <col collapsed="false" customWidth="true" hidden="false" outlineLevel="0" max="8" min="7" style="0" width="28"/>
  </cols>
  <sheetData>
    <row r="1" customFormat="false" ht="33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8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</row>
    <row r="4" customFormat="false" ht="16.4" hidden="false" customHeight="false" outlineLevel="0" collapsed="false">
      <c r="A4" s="4" t="s">
        <v>81</v>
      </c>
      <c r="B4" s="4"/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/>
    </row>
    <row r="5" customFormat="false" ht="69.75" hidden="false" customHeight="true" outlineLevel="0" collapsed="false">
      <c r="A5" s="4" t="s">
        <v>87</v>
      </c>
      <c r="B5" s="4" t="s">
        <v>81</v>
      </c>
      <c r="C5" s="4" t="s">
        <v>88</v>
      </c>
      <c r="D5" s="4" t="s">
        <v>89</v>
      </c>
      <c r="E5" s="4" t="s">
        <v>90</v>
      </c>
      <c r="F5" s="4" t="s">
        <v>91</v>
      </c>
      <c r="G5" s="4" t="s">
        <v>86</v>
      </c>
      <c r="H5" s="4"/>
    </row>
    <row r="6" customFormat="false" ht="31.3" hidden="false" customHeight="false" outlineLevel="0" collapsed="false">
      <c r="A6" s="4" t="s">
        <v>92</v>
      </c>
      <c r="B6" s="4"/>
      <c r="C6" s="4" t="s">
        <v>93</v>
      </c>
      <c r="D6" s="4" t="s">
        <v>94</v>
      </c>
      <c r="E6" s="4" t="s">
        <v>84</v>
      </c>
      <c r="F6" s="4" t="s">
        <v>85</v>
      </c>
      <c r="G6" s="4" t="s">
        <v>86</v>
      </c>
      <c r="H6" s="4"/>
    </row>
    <row r="7" customFormat="false" ht="69.75" hidden="false" customHeight="true" outlineLevel="0" collapsed="false">
      <c r="A7" s="4" t="s">
        <v>95</v>
      </c>
      <c r="B7" s="4" t="s">
        <v>92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86</v>
      </c>
      <c r="H7" s="4"/>
    </row>
    <row r="8" customFormat="false" ht="69.75" hidden="false" customHeight="true" outlineLevel="0" collapsed="false">
      <c r="A8" s="4" t="s">
        <v>100</v>
      </c>
      <c r="B8" s="4" t="s">
        <v>92</v>
      </c>
      <c r="C8" s="4" t="s">
        <v>101</v>
      </c>
      <c r="D8" s="4" t="s">
        <v>102</v>
      </c>
      <c r="E8" s="4" t="s">
        <v>103</v>
      </c>
      <c r="F8" s="4" t="s">
        <v>104</v>
      </c>
      <c r="G8" s="4" t="s">
        <v>86</v>
      </c>
      <c r="H8" s="4"/>
    </row>
    <row r="9" customFormat="false" ht="31.3" hidden="false" customHeight="false" outlineLevel="0" collapsed="false">
      <c r="A9" s="4" t="s">
        <v>105</v>
      </c>
      <c r="B9" s="4"/>
      <c r="C9" s="4" t="s">
        <v>106</v>
      </c>
      <c r="D9" s="4" t="s">
        <v>107</v>
      </c>
      <c r="E9" s="4" t="s">
        <v>84</v>
      </c>
      <c r="F9" s="4" t="s">
        <v>85</v>
      </c>
      <c r="G9" s="4" t="s">
        <v>86</v>
      </c>
      <c r="H9" s="4"/>
    </row>
    <row r="10" customFormat="false" ht="69.75" hidden="false" customHeight="true" outlineLevel="0" collapsed="false">
      <c r="A10" s="4" t="s">
        <v>108</v>
      </c>
      <c r="B10" s="4" t="s">
        <v>105</v>
      </c>
      <c r="C10" s="4" t="s">
        <v>109</v>
      </c>
      <c r="D10" s="4" t="s">
        <v>110</v>
      </c>
      <c r="E10" s="4" t="s">
        <v>111</v>
      </c>
      <c r="F10" s="4" t="s">
        <v>112</v>
      </c>
      <c r="G10" s="4" t="s">
        <v>86</v>
      </c>
      <c r="H10" s="4"/>
    </row>
    <row r="11" customFormat="false" ht="69.75" hidden="false" customHeight="true" outlineLevel="0" collapsed="false">
      <c r="A11" s="4" t="s">
        <v>113</v>
      </c>
      <c r="B11" s="4" t="s">
        <v>105</v>
      </c>
      <c r="C11" s="4" t="s">
        <v>114</v>
      </c>
      <c r="D11" s="4" t="s">
        <v>115</v>
      </c>
      <c r="E11" s="4" t="s">
        <v>116</v>
      </c>
      <c r="F11" s="4" t="s">
        <v>117</v>
      </c>
      <c r="G11" s="4" t="s">
        <v>86</v>
      </c>
      <c r="H11" s="4"/>
    </row>
    <row r="12" customFormat="false" ht="69.75" hidden="false" customHeight="true" outlineLevel="0" collapsed="false">
      <c r="A12" s="4" t="s">
        <v>118</v>
      </c>
      <c r="B12" s="4" t="s">
        <v>105</v>
      </c>
      <c r="C12" s="4" t="s">
        <v>119</v>
      </c>
      <c r="D12" s="4" t="s">
        <v>120</v>
      </c>
      <c r="E12" s="4" t="s">
        <v>121</v>
      </c>
      <c r="F12" s="4" t="s">
        <v>122</v>
      </c>
      <c r="G12" s="4" t="s">
        <v>86</v>
      </c>
      <c r="H12" s="4"/>
    </row>
    <row r="13" customFormat="false" ht="69.75" hidden="false" customHeight="true" outlineLevel="0" collapsed="false">
      <c r="A13" s="4" t="s">
        <v>123</v>
      </c>
      <c r="B13" s="4" t="s">
        <v>105</v>
      </c>
      <c r="C13" s="4" t="s">
        <v>124</v>
      </c>
      <c r="D13" s="4" t="s">
        <v>125</v>
      </c>
      <c r="E13" s="4" t="s">
        <v>126</v>
      </c>
      <c r="F13" s="4" t="s">
        <v>127</v>
      </c>
      <c r="G13" s="4" t="s">
        <v>86</v>
      </c>
      <c r="H13" s="4"/>
    </row>
    <row r="14" customFormat="false" ht="31.3" hidden="false" customHeight="false" outlineLevel="0" collapsed="false">
      <c r="A14" s="4" t="s">
        <v>128</v>
      </c>
      <c r="B14" s="4"/>
      <c r="C14" s="4" t="s">
        <v>129</v>
      </c>
      <c r="D14" s="4" t="s">
        <v>130</v>
      </c>
      <c r="E14" s="4" t="s">
        <v>84</v>
      </c>
      <c r="F14" s="4" t="s">
        <v>85</v>
      </c>
      <c r="G14" s="4" t="s">
        <v>86</v>
      </c>
      <c r="H14" s="4"/>
    </row>
    <row r="15" customFormat="false" ht="69.75" hidden="false" customHeight="true" outlineLevel="0" collapsed="false">
      <c r="A15" s="4" t="s">
        <v>131</v>
      </c>
      <c r="B15" s="4" t="s">
        <v>128</v>
      </c>
      <c r="C15" s="4" t="s">
        <v>132</v>
      </c>
      <c r="D15" s="4" t="s">
        <v>133</v>
      </c>
      <c r="E15" s="4" t="s">
        <v>134</v>
      </c>
      <c r="F15" s="4" t="s">
        <v>135</v>
      </c>
      <c r="G15" s="4" t="s">
        <v>86</v>
      </c>
      <c r="H15" s="4"/>
    </row>
    <row r="16" customFormat="false" ht="69.75" hidden="false" customHeight="true" outlineLevel="0" collapsed="false">
      <c r="A16" s="4" t="s">
        <v>136</v>
      </c>
      <c r="B16" s="4" t="s">
        <v>128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86</v>
      </c>
      <c r="H16" s="4"/>
    </row>
    <row r="17" customFormat="false" ht="69.75" hidden="false" customHeight="true" outlineLevel="0" collapsed="false">
      <c r="A17" s="4" t="s">
        <v>141</v>
      </c>
      <c r="B17" s="4" t="s">
        <v>128</v>
      </c>
      <c r="C17" s="4" t="s">
        <v>142</v>
      </c>
      <c r="D17" s="4" t="s">
        <v>143</v>
      </c>
      <c r="E17" s="4" t="s">
        <v>144</v>
      </c>
      <c r="F17" s="4" t="s">
        <v>145</v>
      </c>
      <c r="G17" s="4" t="s">
        <v>86</v>
      </c>
      <c r="H17" s="4"/>
    </row>
    <row r="18" customFormat="false" ht="69.75" hidden="false" customHeight="true" outlineLevel="0" collapsed="false">
      <c r="A18" s="4" t="s">
        <v>146</v>
      </c>
      <c r="B18" s="4" t="s">
        <v>128</v>
      </c>
      <c r="C18" s="4" t="s">
        <v>147</v>
      </c>
      <c r="D18" s="4" t="s">
        <v>148</v>
      </c>
      <c r="E18" s="4" t="s">
        <v>149</v>
      </c>
      <c r="F18" s="4" t="s">
        <v>150</v>
      </c>
      <c r="G18" s="4" t="s">
        <v>86</v>
      </c>
      <c r="H18" s="4"/>
    </row>
    <row r="19" customFormat="false" ht="69.75" hidden="false" customHeight="true" outlineLevel="0" collapsed="false">
      <c r="A19" s="4" t="s">
        <v>151</v>
      </c>
      <c r="B19" s="4" t="s">
        <v>128</v>
      </c>
      <c r="C19" s="4" t="s">
        <v>152</v>
      </c>
      <c r="D19" s="4" t="s">
        <v>153</v>
      </c>
      <c r="E19" s="4" t="s">
        <v>154</v>
      </c>
      <c r="F19" s="4" t="s">
        <v>155</v>
      </c>
      <c r="G19" s="4" t="s">
        <v>86</v>
      </c>
      <c r="H19" s="4"/>
    </row>
    <row r="20" customFormat="false" ht="69.75" hidden="false" customHeight="true" outlineLevel="0" collapsed="false">
      <c r="A20" s="4" t="s">
        <v>156</v>
      </c>
      <c r="B20" s="4" t="s">
        <v>128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86</v>
      </c>
      <c r="H20" s="4"/>
    </row>
    <row r="21" customFormat="false" ht="69.75" hidden="false" customHeight="true" outlineLevel="0" collapsed="false">
      <c r="A21" s="4" t="s">
        <v>161</v>
      </c>
      <c r="B21" s="4" t="s">
        <v>128</v>
      </c>
      <c r="C21" s="4" t="s">
        <v>162</v>
      </c>
      <c r="D21" s="4" t="s">
        <v>163</v>
      </c>
      <c r="E21" s="4" t="s">
        <v>164</v>
      </c>
      <c r="F21" s="4" t="s">
        <v>165</v>
      </c>
      <c r="G21" s="4" t="s">
        <v>86</v>
      </c>
      <c r="H21" s="4"/>
    </row>
    <row r="22" customFormat="false" ht="69.75" hidden="false" customHeight="true" outlineLevel="0" collapsed="false">
      <c r="A22" s="4" t="s">
        <v>166</v>
      </c>
      <c r="B22" s="4" t="s">
        <v>128</v>
      </c>
      <c r="C22" s="4" t="s">
        <v>167</v>
      </c>
      <c r="D22" s="4" t="s">
        <v>168</v>
      </c>
      <c r="E22" s="4" t="s">
        <v>169</v>
      </c>
      <c r="F22" s="4" t="s">
        <v>170</v>
      </c>
      <c r="G22" s="4" t="s">
        <v>86</v>
      </c>
      <c r="H22" s="4"/>
    </row>
    <row r="23" customFormat="false" ht="69.75" hidden="false" customHeight="true" outlineLevel="0" collapsed="false">
      <c r="A23" s="4" t="s">
        <v>171</v>
      </c>
      <c r="B23" s="4" t="s">
        <v>128</v>
      </c>
      <c r="C23" s="4" t="s">
        <v>172</v>
      </c>
      <c r="D23" s="4" t="s">
        <v>173</v>
      </c>
      <c r="E23" s="4" t="s">
        <v>174</v>
      </c>
      <c r="F23" s="4" t="s">
        <v>175</v>
      </c>
      <c r="G23" s="4" t="s">
        <v>86</v>
      </c>
      <c r="H23" s="4"/>
    </row>
    <row r="24" customFormat="false" ht="69.75" hidden="false" customHeight="true" outlineLevel="0" collapsed="false">
      <c r="A24" s="4" t="s">
        <v>176</v>
      </c>
      <c r="B24" s="4" t="s">
        <v>128</v>
      </c>
      <c r="C24" s="4" t="s">
        <v>177</v>
      </c>
      <c r="D24" s="4" t="s">
        <v>178</v>
      </c>
      <c r="E24" s="4" t="s">
        <v>179</v>
      </c>
      <c r="F24" s="4" t="s">
        <v>180</v>
      </c>
      <c r="G24" s="4" t="s">
        <v>86</v>
      </c>
      <c r="H24" s="4"/>
    </row>
    <row r="25" customFormat="false" ht="16.4" hidden="false" customHeight="false" outlineLevel="0" collapsed="false">
      <c r="A25" s="4" t="s">
        <v>181</v>
      </c>
      <c r="B25" s="4"/>
      <c r="C25" s="4" t="s">
        <v>182</v>
      </c>
      <c r="D25" s="4" t="s">
        <v>183</v>
      </c>
      <c r="E25" s="4" t="s">
        <v>84</v>
      </c>
      <c r="F25" s="4" t="s">
        <v>85</v>
      </c>
      <c r="G25" s="4" t="s">
        <v>86</v>
      </c>
      <c r="H25" s="4"/>
    </row>
    <row r="26" customFormat="false" ht="69.75" hidden="false" customHeight="true" outlineLevel="0" collapsed="false">
      <c r="A26" s="4" t="s">
        <v>184</v>
      </c>
      <c r="B26" s="4" t="s">
        <v>181</v>
      </c>
      <c r="C26" s="4" t="s">
        <v>185</v>
      </c>
      <c r="D26" s="4" t="s">
        <v>186</v>
      </c>
      <c r="E26" s="4" t="s">
        <v>187</v>
      </c>
      <c r="F26" s="4" t="s">
        <v>188</v>
      </c>
      <c r="G26" s="4" t="s">
        <v>86</v>
      </c>
      <c r="H26" s="4"/>
    </row>
    <row r="27" customFormat="false" ht="69.75" hidden="false" customHeight="true" outlineLevel="0" collapsed="false">
      <c r="A27" s="4" t="s">
        <v>189</v>
      </c>
      <c r="B27" s="4" t="s">
        <v>181</v>
      </c>
      <c r="C27" s="4" t="s">
        <v>190</v>
      </c>
      <c r="D27" s="4" t="s">
        <v>191</v>
      </c>
      <c r="E27" s="4" t="s">
        <v>192</v>
      </c>
      <c r="F27" s="4" t="s">
        <v>193</v>
      </c>
      <c r="G27" s="4" t="s">
        <v>86</v>
      </c>
      <c r="H27" s="4"/>
    </row>
    <row r="28" customFormat="false" ht="69.75" hidden="false" customHeight="true" outlineLevel="0" collapsed="false">
      <c r="A28" s="4" t="s">
        <v>194</v>
      </c>
      <c r="B28" s="4" t="s">
        <v>181</v>
      </c>
      <c r="C28" s="4" t="s">
        <v>195</v>
      </c>
      <c r="D28" s="4" t="s">
        <v>196</v>
      </c>
      <c r="E28" s="4" t="s">
        <v>197</v>
      </c>
      <c r="F28" s="4" t="s">
        <v>198</v>
      </c>
      <c r="G28" s="4" t="s">
        <v>86</v>
      </c>
      <c r="H28" s="4"/>
    </row>
    <row r="29" customFormat="false" ht="69.75" hidden="false" customHeight="true" outlineLevel="0" collapsed="false">
      <c r="A29" s="4" t="s">
        <v>199</v>
      </c>
      <c r="B29" s="4" t="s">
        <v>181</v>
      </c>
      <c r="C29" s="4" t="s">
        <v>200</v>
      </c>
      <c r="D29" s="4" t="s">
        <v>201</v>
      </c>
      <c r="E29" s="4" t="s">
        <v>202</v>
      </c>
      <c r="F29" s="4" t="s">
        <v>203</v>
      </c>
      <c r="G29" s="4" t="s">
        <v>86</v>
      </c>
      <c r="H29" s="4"/>
    </row>
    <row r="30" customFormat="false" ht="69.75" hidden="false" customHeight="true" outlineLevel="0" collapsed="false">
      <c r="A30" s="4" t="s">
        <v>204</v>
      </c>
      <c r="B30" s="4" t="s">
        <v>181</v>
      </c>
      <c r="C30" s="4" t="s">
        <v>205</v>
      </c>
      <c r="D30" s="4" t="s">
        <v>206</v>
      </c>
      <c r="E30" s="4" t="s">
        <v>207</v>
      </c>
      <c r="F30" s="4" t="s">
        <v>208</v>
      </c>
      <c r="G30" s="4" t="s">
        <v>86</v>
      </c>
      <c r="H30" s="4"/>
    </row>
    <row r="31" customFormat="false" ht="69.75" hidden="false" customHeight="true" outlineLevel="0" collapsed="false">
      <c r="A31" s="4" t="s">
        <v>209</v>
      </c>
      <c r="B31" s="4" t="s">
        <v>181</v>
      </c>
      <c r="C31" s="4" t="s">
        <v>210</v>
      </c>
      <c r="D31" s="4" t="s">
        <v>211</v>
      </c>
      <c r="E31" s="4" t="s">
        <v>212</v>
      </c>
      <c r="F31" s="4" t="s">
        <v>213</v>
      </c>
      <c r="G31" s="4" t="s">
        <v>86</v>
      </c>
      <c r="H31" s="4"/>
    </row>
    <row r="32" customFormat="false" ht="69.75" hidden="false" customHeight="true" outlineLevel="0" collapsed="false">
      <c r="A32" s="4" t="s">
        <v>214</v>
      </c>
      <c r="B32" s="4" t="s">
        <v>181</v>
      </c>
      <c r="C32" s="4" t="s">
        <v>215</v>
      </c>
      <c r="D32" s="4" t="s">
        <v>216</v>
      </c>
      <c r="E32" s="4" t="s">
        <v>217</v>
      </c>
      <c r="F32" s="4" t="s">
        <v>218</v>
      </c>
      <c r="G32" s="4" t="s">
        <v>86</v>
      </c>
      <c r="H32" s="4"/>
    </row>
    <row r="33" customFormat="false" ht="69.75" hidden="false" customHeight="true" outlineLevel="0" collapsed="false">
      <c r="A33" s="4" t="s">
        <v>219</v>
      </c>
      <c r="B33" s="4" t="s">
        <v>181</v>
      </c>
      <c r="C33" s="4" t="s">
        <v>220</v>
      </c>
      <c r="D33" s="4" t="s">
        <v>221</v>
      </c>
      <c r="E33" s="4" t="s">
        <v>222</v>
      </c>
      <c r="F33" s="4" t="s">
        <v>223</v>
      </c>
      <c r="G33" s="4" t="s">
        <v>86</v>
      </c>
      <c r="H33" s="4"/>
    </row>
    <row r="34" customFormat="false" ht="69.75" hidden="false" customHeight="true" outlineLevel="0" collapsed="false">
      <c r="A34" s="4" t="s">
        <v>224</v>
      </c>
      <c r="B34" s="4" t="s">
        <v>181</v>
      </c>
      <c r="C34" s="4" t="s">
        <v>225</v>
      </c>
      <c r="D34" s="4" t="s">
        <v>226</v>
      </c>
      <c r="E34" s="4" t="s">
        <v>227</v>
      </c>
      <c r="F34" s="4" t="s">
        <v>228</v>
      </c>
      <c r="G34" s="4" t="s">
        <v>86</v>
      </c>
      <c r="H34" s="4"/>
    </row>
    <row r="35" customFormat="false" ht="16.4" hidden="false" customHeight="false" outlineLevel="0" collapsed="false">
      <c r="A35" s="4" t="s">
        <v>229</v>
      </c>
      <c r="B35" s="4"/>
      <c r="C35" s="4" t="s">
        <v>230</v>
      </c>
      <c r="D35" s="4" t="s">
        <v>231</v>
      </c>
      <c r="E35" s="4" t="s">
        <v>84</v>
      </c>
      <c r="F35" s="4" t="s">
        <v>85</v>
      </c>
      <c r="G35" s="4" t="s">
        <v>86</v>
      </c>
      <c r="H35" s="4"/>
    </row>
    <row r="36" customFormat="false" ht="69.75" hidden="false" customHeight="true" outlineLevel="0" collapsed="false">
      <c r="A36" s="4" t="s">
        <v>232</v>
      </c>
      <c r="B36" s="4" t="s">
        <v>229</v>
      </c>
      <c r="C36" s="4" t="s">
        <v>233</v>
      </c>
      <c r="D36" s="4" t="s">
        <v>234</v>
      </c>
      <c r="E36" s="4" t="s">
        <v>235</v>
      </c>
      <c r="F36" s="4" t="s">
        <v>236</v>
      </c>
      <c r="G36" s="4" t="s">
        <v>86</v>
      </c>
      <c r="H36" s="4"/>
    </row>
    <row r="37" customFormat="false" ht="69.75" hidden="false" customHeight="true" outlineLevel="0" collapsed="false">
      <c r="A37" s="4" t="s">
        <v>237</v>
      </c>
      <c r="B37" s="4" t="s">
        <v>229</v>
      </c>
      <c r="C37" s="4" t="s">
        <v>238</v>
      </c>
      <c r="D37" s="4" t="s">
        <v>239</v>
      </c>
      <c r="E37" s="4" t="s">
        <v>240</v>
      </c>
      <c r="F37" s="4" t="s">
        <v>241</v>
      </c>
      <c r="G37" s="4" t="s">
        <v>86</v>
      </c>
      <c r="H37" s="4"/>
    </row>
    <row r="38" customFormat="false" ht="69.75" hidden="false" customHeight="true" outlineLevel="0" collapsed="false">
      <c r="A38" s="4" t="s">
        <v>242</v>
      </c>
      <c r="B38" s="4" t="s">
        <v>229</v>
      </c>
      <c r="C38" s="4" t="s">
        <v>243</v>
      </c>
      <c r="D38" s="4" t="s">
        <v>244</v>
      </c>
      <c r="E38" s="4" t="s">
        <v>245</v>
      </c>
      <c r="F38" s="4" t="s">
        <v>246</v>
      </c>
      <c r="G38" s="4" t="s">
        <v>86</v>
      </c>
      <c r="H38" s="4"/>
    </row>
    <row r="39" customFormat="false" ht="69.75" hidden="false" customHeight="true" outlineLevel="0" collapsed="false">
      <c r="A39" s="4" t="s">
        <v>247</v>
      </c>
      <c r="B39" s="4" t="s">
        <v>229</v>
      </c>
      <c r="C39" s="4" t="s">
        <v>248</v>
      </c>
      <c r="D39" s="4" t="s">
        <v>249</v>
      </c>
      <c r="E39" s="4" t="s">
        <v>250</v>
      </c>
      <c r="F39" s="4" t="s">
        <v>251</v>
      </c>
      <c r="G39" s="4" t="s">
        <v>86</v>
      </c>
      <c r="H39" s="4"/>
    </row>
    <row r="40" customFormat="false" ht="16.4" hidden="false" customHeight="false" outlineLevel="0" collapsed="false">
      <c r="A40" s="4" t="s">
        <v>252</v>
      </c>
      <c r="B40" s="4"/>
      <c r="C40" s="4" t="s">
        <v>253</v>
      </c>
      <c r="D40" s="4" t="s">
        <v>254</v>
      </c>
      <c r="E40" s="4" t="s">
        <v>84</v>
      </c>
      <c r="F40" s="4" t="s">
        <v>85</v>
      </c>
      <c r="G40" s="4" t="s">
        <v>86</v>
      </c>
      <c r="H40" s="4"/>
    </row>
    <row r="41" customFormat="false" ht="69.75" hidden="false" customHeight="true" outlineLevel="0" collapsed="false">
      <c r="A41" s="4" t="s">
        <v>255</v>
      </c>
      <c r="B41" s="4" t="s">
        <v>252</v>
      </c>
      <c r="C41" s="4" t="s">
        <v>256</v>
      </c>
      <c r="D41" s="4" t="s">
        <v>257</v>
      </c>
      <c r="E41" s="4" t="s">
        <v>258</v>
      </c>
      <c r="F41" s="4" t="s">
        <v>259</v>
      </c>
      <c r="G41" s="4" t="s">
        <v>86</v>
      </c>
      <c r="H41" s="4"/>
    </row>
    <row r="42" customFormat="false" ht="69.75" hidden="false" customHeight="true" outlineLevel="0" collapsed="false">
      <c r="A42" s="4" t="s">
        <v>260</v>
      </c>
      <c r="B42" s="4" t="s">
        <v>252</v>
      </c>
      <c r="C42" s="4" t="s">
        <v>261</v>
      </c>
      <c r="D42" s="4" t="s">
        <v>262</v>
      </c>
      <c r="E42" s="4" t="s">
        <v>263</v>
      </c>
      <c r="F42" s="4" t="s">
        <v>264</v>
      </c>
      <c r="G42" s="4" t="s">
        <v>86</v>
      </c>
      <c r="H42" s="4"/>
    </row>
    <row r="43" customFormat="false" ht="69.75" hidden="false" customHeight="true" outlineLevel="0" collapsed="false">
      <c r="A43" s="4" t="s">
        <v>265</v>
      </c>
      <c r="B43" s="4" t="s">
        <v>252</v>
      </c>
      <c r="C43" s="4" t="s">
        <v>266</v>
      </c>
      <c r="D43" s="4" t="s">
        <v>267</v>
      </c>
      <c r="E43" s="4" t="s">
        <v>268</v>
      </c>
      <c r="F43" s="4" t="s">
        <v>269</v>
      </c>
      <c r="G43" s="4" t="s">
        <v>86</v>
      </c>
      <c r="H43" s="4"/>
    </row>
    <row r="44" customFormat="false" ht="69.75" hidden="false" customHeight="true" outlineLevel="0" collapsed="false">
      <c r="A44" s="4" t="s">
        <v>270</v>
      </c>
      <c r="B44" s="4" t="s">
        <v>252</v>
      </c>
      <c r="C44" s="4" t="s">
        <v>271</v>
      </c>
      <c r="D44" s="4" t="s">
        <v>272</v>
      </c>
      <c r="E44" s="4" t="s">
        <v>273</v>
      </c>
      <c r="F44" s="4" t="s">
        <v>274</v>
      </c>
      <c r="G44" s="4" t="s">
        <v>86</v>
      </c>
      <c r="H44" s="4"/>
    </row>
    <row r="45" customFormat="false" ht="69.75" hidden="false" customHeight="true" outlineLevel="0" collapsed="false">
      <c r="A45" s="4" t="s">
        <v>275</v>
      </c>
      <c r="B45" s="4" t="s">
        <v>252</v>
      </c>
      <c r="C45" s="4" t="s">
        <v>276</v>
      </c>
      <c r="D45" s="4" t="s">
        <v>277</v>
      </c>
      <c r="E45" s="4" t="s">
        <v>278</v>
      </c>
      <c r="F45" s="4" t="s">
        <v>279</v>
      </c>
      <c r="G45" s="4" t="s">
        <v>86</v>
      </c>
      <c r="H45" s="4"/>
    </row>
    <row r="46" customFormat="false" ht="69.75" hidden="false" customHeight="true" outlineLevel="0" collapsed="false">
      <c r="A46" s="4" t="s">
        <v>280</v>
      </c>
      <c r="B46" s="4" t="s">
        <v>252</v>
      </c>
      <c r="C46" s="4" t="s">
        <v>281</v>
      </c>
      <c r="D46" s="4" t="s">
        <v>282</v>
      </c>
      <c r="E46" s="4" t="s">
        <v>283</v>
      </c>
      <c r="F46" s="4" t="s">
        <v>284</v>
      </c>
      <c r="G46" s="4" t="s">
        <v>86</v>
      </c>
      <c r="H46" s="4"/>
    </row>
    <row r="47" customFormat="false" ht="69.75" hidden="false" customHeight="true" outlineLevel="0" collapsed="false">
      <c r="A47" s="4" t="s">
        <v>285</v>
      </c>
      <c r="B47" s="4" t="s">
        <v>252</v>
      </c>
      <c r="C47" s="4" t="s">
        <v>286</v>
      </c>
      <c r="D47" s="4" t="s">
        <v>287</v>
      </c>
      <c r="E47" s="4" t="s">
        <v>288</v>
      </c>
      <c r="F47" s="4" t="s">
        <v>289</v>
      </c>
      <c r="G47" s="4" t="s">
        <v>86</v>
      </c>
      <c r="H47" s="4"/>
    </row>
    <row r="48" customFormat="false" ht="69.75" hidden="false" customHeight="true" outlineLevel="0" collapsed="false">
      <c r="A48" s="4" t="s">
        <v>290</v>
      </c>
      <c r="B48" s="4" t="s">
        <v>252</v>
      </c>
      <c r="C48" s="4" t="s">
        <v>291</v>
      </c>
      <c r="D48" s="4" t="s">
        <v>292</v>
      </c>
      <c r="E48" s="4" t="s">
        <v>293</v>
      </c>
      <c r="F48" s="4" t="s">
        <v>294</v>
      </c>
      <c r="G48" s="4" t="s">
        <v>86</v>
      </c>
      <c r="H48" s="4"/>
    </row>
    <row r="49" customFormat="false" ht="69.75" hidden="false" customHeight="true" outlineLevel="0" collapsed="false">
      <c r="A49" s="4" t="s">
        <v>295</v>
      </c>
      <c r="B49" s="4" t="s">
        <v>252</v>
      </c>
      <c r="C49" s="4" t="s">
        <v>296</v>
      </c>
      <c r="D49" s="4" t="s">
        <v>297</v>
      </c>
      <c r="E49" s="4" t="s">
        <v>298</v>
      </c>
      <c r="F49" s="4" t="s">
        <v>299</v>
      </c>
      <c r="G49" s="4" t="s">
        <v>86</v>
      </c>
      <c r="H49" s="4"/>
    </row>
    <row r="50" customFormat="false" ht="69.75" hidden="false" customHeight="true" outlineLevel="0" collapsed="false">
      <c r="A50" s="4" t="s">
        <v>300</v>
      </c>
      <c r="B50" s="4" t="s">
        <v>252</v>
      </c>
      <c r="C50" s="4" t="s">
        <v>301</v>
      </c>
      <c r="D50" s="4" t="s">
        <v>302</v>
      </c>
      <c r="E50" s="4" t="s">
        <v>303</v>
      </c>
      <c r="F50" s="4" t="s">
        <v>304</v>
      </c>
      <c r="G50" s="4" t="s">
        <v>86</v>
      </c>
      <c r="H50" s="4"/>
    </row>
    <row r="51" customFormat="false" ht="31.3" hidden="false" customHeight="false" outlineLevel="0" collapsed="false">
      <c r="A51" s="4" t="s">
        <v>305</v>
      </c>
      <c r="B51" s="4"/>
      <c r="C51" s="4" t="s">
        <v>306</v>
      </c>
      <c r="D51" s="4" t="s">
        <v>307</v>
      </c>
      <c r="E51" s="4" t="s">
        <v>84</v>
      </c>
      <c r="F51" s="4" t="s">
        <v>85</v>
      </c>
      <c r="G51" s="4" t="s">
        <v>86</v>
      </c>
      <c r="H51" s="4"/>
    </row>
    <row r="52" customFormat="false" ht="69.75" hidden="false" customHeight="true" outlineLevel="0" collapsed="false">
      <c r="A52" s="4" t="s">
        <v>308</v>
      </c>
      <c r="B52" s="4" t="s">
        <v>305</v>
      </c>
      <c r="C52" s="4" t="s">
        <v>309</v>
      </c>
      <c r="D52" s="4" t="s">
        <v>310</v>
      </c>
      <c r="E52" s="4" t="s">
        <v>311</v>
      </c>
      <c r="F52" s="4" t="s">
        <v>312</v>
      </c>
      <c r="G52" s="4" t="s">
        <v>86</v>
      </c>
      <c r="H52" s="4"/>
    </row>
    <row r="53" customFormat="false" ht="69.75" hidden="false" customHeight="true" outlineLevel="0" collapsed="false">
      <c r="A53" s="4" t="s">
        <v>313</v>
      </c>
      <c r="B53" s="4" t="s">
        <v>305</v>
      </c>
      <c r="C53" s="4" t="s">
        <v>314</v>
      </c>
      <c r="D53" s="4" t="s">
        <v>315</v>
      </c>
      <c r="E53" s="4" t="s">
        <v>316</v>
      </c>
      <c r="F53" s="4" t="s">
        <v>317</v>
      </c>
      <c r="G53" s="4" t="s">
        <v>86</v>
      </c>
      <c r="H53" s="4"/>
    </row>
    <row r="54" customFormat="false" ht="69.75" hidden="false" customHeight="true" outlineLevel="0" collapsed="false">
      <c r="A54" s="4" t="s">
        <v>318</v>
      </c>
      <c r="B54" s="4" t="s">
        <v>305</v>
      </c>
      <c r="C54" s="4" t="s">
        <v>319</v>
      </c>
      <c r="D54" s="4" t="s">
        <v>320</v>
      </c>
      <c r="E54" s="4" t="s">
        <v>321</v>
      </c>
      <c r="F54" s="4" t="s">
        <v>322</v>
      </c>
      <c r="G54" s="4" t="s">
        <v>86</v>
      </c>
      <c r="H54" s="4"/>
    </row>
    <row r="55" customFormat="false" ht="69.75" hidden="false" customHeight="true" outlineLevel="0" collapsed="false">
      <c r="A55" s="4" t="s">
        <v>323</v>
      </c>
      <c r="B55" s="4" t="s">
        <v>305</v>
      </c>
      <c r="C55" s="4" t="s">
        <v>324</v>
      </c>
      <c r="D55" s="4" t="s">
        <v>325</v>
      </c>
      <c r="E55" s="4" t="s">
        <v>326</v>
      </c>
      <c r="F55" s="4" t="s">
        <v>327</v>
      </c>
      <c r="G55" s="4" t="s">
        <v>86</v>
      </c>
      <c r="H55" s="4"/>
    </row>
    <row r="56" customFormat="false" ht="69.75" hidden="false" customHeight="true" outlineLevel="0" collapsed="false">
      <c r="A56" s="4" t="s">
        <v>328</v>
      </c>
      <c r="B56" s="4" t="s">
        <v>305</v>
      </c>
      <c r="C56" s="4" t="s">
        <v>329</v>
      </c>
      <c r="D56" s="4" t="s">
        <v>330</v>
      </c>
      <c r="E56" s="4" t="s">
        <v>331</v>
      </c>
      <c r="F56" s="4" t="s">
        <v>332</v>
      </c>
      <c r="G56" s="4" t="s">
        <v>86</v>
      </c>
      <c r="H56" s="4"/>
    </row>
    <row r="57" customFormat="false" ht="69.75" hidden="false" customHeight="true" outlineLevel="0" collapsed="false">
      <c r="A57" s="4" t="s">
        <v>333</v>
      </c>
      <c r="B57" s="4" t="s">
        <v>305</v>
      </c>
      <c r="C57" s="4" t="s">
        <v>334</v>
      </c>
      <c r="D57" s="4" t="s">
        <v>335</v>
      </c>
      <c r="E57" s="4" t="s">
        <v>336</v>
      </c>
      <c r="F57" s="4" t="s">
        <v>337</v>
      </c>
      <c r="G57" s="4" t="s">
        <v>86</v>
      </c>
      <c r="H57" s="4"/>
    </row>
    <row r="58" customFormat="false" ht="69.75" hidden="false" customHeight="true" outlineLevel="0" collapsed="false">
      <c r="A58" s="4" t="s">
        <v>338</v>
      </c>
      <c r="B58" s="4" t="s">
        <v>305</v>
      </c>
      <c r="C58" s="4" t="s">
        <v>339</v>
      </c>
      <c r="D58" s="4" t="s">
        <v>340</v>
      </c>
      <c r="E58" s="4" t="s">
        <v>341</v>
      </c>
      <c r="F58" s="4" t="s">
        <v>342</v>
      </c>
      <c r="G58" s="4" t="s">
        <v>86</v>
      </c>
      <c r="H58" s="4"/>
    </row>
    <row r="59" customFormat="false" ht="69.75" hidden="false" customHeight="true" outlineLevel="0" collapsed="false">
      <c r="A59" s="4" t="s">
        <v>343</v>
      </c>
      <c r="B59" s="4" t="s">
        <v>305</v>
      </c>
      <c r="C59" s="4" t="s">
        <v>344</v>
      </c>
      <c r="D59" s="4" t="s">
        <v>345</v>
      </c>
      <c r="E59" s="4" t="s">
        <v>346</v>
      </c>
      <c r="F59" s="4" t="s">
        <v>347</v>
      </c>
      <c r="G59" s="4" t="s">
        <v>86</v>
      </c>
      <c r="H59" s="4"/>
    </row>
    <row r="60" customFormat="false" ht="69.75" hidden="false" customHeight="true" outlineLevel="0" collapsed="false">
      <c r="A60" s="4" t="s">
        <v>348</v>
      </c>
      <c r="B60" s="4" t="s">
        <v>305</v>
      </c>
      <c r="C60" s="4" t="s">
        <v>349</v>
      </c>
      <c r="D60" s="4" t="s">
        <v>350</v>
      </c>
      <c r="E60" s="4" t="s">
        <v>351</v>
      </c>
      <c r="F60" s="4" t="s">
        <v>352</v>
      </c>
      <c r="G60" s="4" t="s">
        <v>86</v>
      </c>
      <c r="H60" s="4"/>
    </row>
    <row r="61" customFormat="false" ht="69.75" hidden="false" customHeight="true" outlineLevel="0" collapsed="false">
      <c r="A61" s="4" t="s">
        <v>353</v>
      </c>
      <c r="B61" s="4" t="s">
        <v>305</v>
      </c>
      <c r="C61" s="4" t="s">
        <v>354</v>
      </c>
      <c r="D61" s="4" t="s">
        <v>355</v>
      </c>
      <c r="E61" s="4" t="s">
        <v>356</v>
      </c>
      <c r="F61" s="4" t="s">
        <v>357</v>
      </c>
      <c r="G61" s="4" t="s">
        <v>86</v>
      </c>
      <c r="H61" s="4"/>
    </row>
    <row r="62" customFormat="false" ht="69.75" hidden="false" customHeight="true" outlineLevel="0" collapsed="false">
      <c r="A62" s="4" t="s">
        <v>358</v>
      </c>
      <c r="B62" s="4" t="s">
        <v>305</v>
      </c>
      <c r="C62" s="4" t="s">
        <v>359</v>
      </c>
      <c r="D62" s="4" t="s">
        <v>360</v>
      </c>
      <c r="E62" s="4" t="s">
        <v>361</v>
      </c>
      <c r="F62" s="4" t="s">
        <v>362</v>
      </c>
      <c r="G62" s="4" t="s">
        <v>86</v>
      </c>
      <c r="H62" s="4"/>
    </row>
    <row r="63" customFormat="false" ht="69.75" hidden="false" customHeight="true" outlineLevel="0" collapsed="false">
      <c r="A63" s="4" t="s">
        <v>363</v>
      </c>
      <c r="B63" s="4" t="s">
        <v>305</v>
      </c>
      <c r="C63" s="4" t="s">
        <v>364</v>
      </c>
      <c r="D63" s="4" t="s">
        <v>365</v>
      </c>
      <c r="E63" s="4" t="s">
        <v>366</v>
      </c>
      <c r="F63" s="4" t="s">
        <v>367</v>
      </c>
      <c r="G63" s="4" t="s">
        <v>86</v>
      </c>
      <c r="H63" s="4"/>
    </row>
    <row r="64" customFormat="false" ht="69.75" hidden="false" customHeight="true" outlineLevel="0" collapsed="false">
      <c r="A64" s="4" t="s">
        <v>368</v>
      </c>
      <c r="B64" s="4" t="s">
        <v>305</v>
      </c>
      <c r="C64" s="4" t="s">
        <v>369</v>
      </c>
      <c r="D64" s="4" t="s">
        <v>370</v>
      </c>
      <c r="E64" s="4" t="s">
        <v>371</v>
      </c>
      <c r="F64" s="4" t="s">
        <v>372</v>
      </c>
      <c r="G64" s="4" t="s">
        <v>86</v>
      </c>
      <c r="H64" s="4"/>
    </row>
    <row r="65" customFormat="false" ht="69.75" hidden="false" customHeight="true" outlineLevel="0" collapsed="false">
      <c r="A65" s="4" t="s">
        <v>373</v>
      </c>
      <c r="B65" s="4" t="s">
        <v>305</v>
      </c>
      <c r="C65" s="4" t="s">
        <v>374</v>
      </c>
      <c r="D65" s="4" t="s">
        <v>375</v>
      </c>
      <c r="E65" s="4" t="s">
        <v>376</v>
      </c>
      <c r="F65" s="4" t="s">
        <v>377</v>
      </c>
      <c r="G65" s="4" t="s">
        <v>86</v>
      </c>
      <c r="H65" s="4"/>
    </row>
    <row r="66" customFormat="false" ht="31.3" hidden="false" customHeight="false" outlineLevel="0" collapsed="false">
      <c r="A66" s="4" t="s">
        <v>378</v>
      </c>
      <c r="B66" s="4"/>
      <c r="C66" s="4" t="s">
        <v>379</v>
      </c>
      <c r="D66" s="4" t="s">
        <v>380</v>
      </c>
      <c r="E66" s="4" t="s">
        <v>84</v>
      </c>
      <c r="F66" s="4" t="s">
        <v>85</v>
      </c>
      <c r="G66" s="4" t="s">
        <v>86</v>
      </c>
      <c r="H66" s="4"/>
    </row>
    <row r="67" customFormat="false" ht="69.75" hidden="false" customHeight="true" outlineLevel="0" collapsed="false">
      <c r="A67" s="4" t="s">
        <v>381</v>
      </c>
      <c r="B67" s="4" t="s">
        <v>378</v>
      </c>
      <c r="C67" s="4" t="s">
        <v>382</v>
      </c>
      <c r="D67" s="4" t="s">
        <v>383</v>
      </c>
      <c r="E67" s="4" t="s">
        <v>384</v>
      </c>
      <c r="F67" s="4" t="s">
        <v>385</v>
      </c>
      <c r="G67" s="4" t="s">
        <v>86</v>
      </c>
      <c r="H67" s="4"/>
    </row>
    <row r="68" customFormat="false" ht="69.75" hidden="false" customHeight="true" outlineLevel="0" collapsed="false">
      <c r="A68" s="4" t="s">
        <v>386</v>
      </c>
      <c r="B68" s="4" t="s">
        <v>378</v>
      </c>
      <c r="C68" s="4" t="s">
        <v>387</v>
      </c>
      <c r="D68" s="4" t="s">
        <v>388</v>
      </c>
      <c r="E68" s="4" t="s">
        <v>389</v>
      </c>
      <c r="F68" s="4" t="s">
        <v>390</v>
      </c>
      <c r="G68" s="4" t="s">
        <v>86</v>
      </c>
      <c r="H68" s="4"/>
    </row>
    <row r="69" customFormat="false" ht="69.75" hidden="false" customHeight="true" outlineLevel="0" collapsed="false">
      <c r="A69" s="4" t="s">
        <v>391</v>
      </c>
      <c r="B69" s="4" t="s">
        <v>378</v>
      </c>
      <c r="C69" s="4" t="s">
        <v>392</v>
      </c>
      <c r="D69" s="4" t="s">
        <v>393</v>
      </c>
      <c r="E69" s="4" t="s">
        <v>394</v>
      </c>
      <c r="F69" s="4" t="s">
        <v>395</v>
      </c>
      <c r="G69" s="4" t="s">
        <v>86</v>
      </c>
      <c r="H69" s="4"/>
    </row>
    <row r="70" customFormat="false" ht="69.75" hidden="false" customHeight="true" outlineLevel="0" collapsed="false">
      <c r="A70" s="4" t="s">
        <v>396</v>
      </c>
      <c r="B70" s="4" t="s">
        <v>378</v>
      </c>
      <c r="C70" s="4" t="s">
        <v>397</v>
      </c>
      <c r="D70" s="4" t="s">
        <v>398</v>
      </c>
      <c r="E70" s="4" t="s">
        <v>399</v>
      </c>
      <c r="F70" s="4" t="s">
        <v>400</v>
      </c>
      <c r="G70" s="4" t="s">
        <v>86</v>
      </c>
      <c r="H70" s="4"/>
    </row>
    <row r="71" customFormat="false" ht="69.75" hidden="false" customHeight="true" outlineLevel="0" collapsed="false">
      <c r="A71" s="4" t="s">
        <v>401</v>
      </c>
      <c r="B71" s="4" t="s">
        <v>378</v>
      </c>
      <c r="C71" s="4" t="s">
        <v>402</v>
      </c>
      <c r="D71" s="4" t="s">
        <v>403</v>
      </c>
      <c r="E71" s="4" t="s">
        <v>404</v>
      </c>
      <c r="F71" s="4" t="s">
        <v>405</v>
      </c>
      <c r="G71" s="4" t="s">
        <v>86</v>
      </c>
      <c r="H71" s="4"/>
    </row>
    <row r="72" customFormat="false" ht="69.75" hidden="false" customHeight="true" outlineLevel="0" collapsed="false">
      <c r="A72" s="4" t="s">
        <v>406</v>
      </c>
      <c r="B72" s="4" t="s">
        <v>378</v>
      </c>
      <c r="C72" s="4" t="s">
        <v>407</v>
      </c>
      <c r="D72" s="4" t="s">
        <v>408</v>
      </c>
      <c r="E72" s="4" t="s">
        <v>409</v>
      </c>
      <c r="F72" s="4" t="s">
        <v>410</v>
      </c>
      <c r="G72" s="4" t="s">
        <v>86</v>
      </c>
      <c r="H72" s="4"/>
    </row>
    <row r="73" customFormat="false" ht="31.3" hidden="false" customHeight="false" outlineLevel="0" collapsed="false">
      <c r="A73" s="4" t="s">
        <v>411</v>
      </c>
      <c r="B73" s="4"/>
      <c r="C73" s="4" t="s">
        <v>412</v>
      </c>
      <c r="D73" s="4" t="s">
        <v>413</v>
      </c>
      <c r="E73" s="4" t="s">
        <v>84</v>
      </c>
      <c r="F73" s="4" t="s">
        <v>85</v>
      </c>
      <c r="G73" s="4" t="s">
        <v>86</v>
      </c>
      <c r="H73" s="4"/>
    </row>
    <row r="74" customFormat="false" ht="69.75" hidden="false" customHeight="true" outlineLevel="0" collapsed="false">
      <c r="A74" s="4" t="s">
        <v>414</v>
      </c>
      <c r="B74" s="4" t="s">
        <v>411</v>
      </c>
      <c r="C74" s="4" t="s">
        <v>415</v>
      </c>
      <c r="D74" s="4" t="s">
        <v>416</v>
      </c>
      <c r="E74" s="4" t="s">
        <v>417</v>
      </c>
      <c r="F74" s="4" t="s">
        <v>418</v>
      </c>
      <c r="G74" s="4" t="s">
        <v>86</v>
      </c>
      <c r="H74" s="4"/>
    </row>
    <row r="75" customFormat="false" ht="69.75" hidden="false" customHeight="true" outlineLevel="0" collapsed="false">
      <c r="A75" s="4" t="s">
        <v>419</v>
      </c>
      <c r="B75" s="4" t="s">
        <v>411</v>
      </c>
      <c r="C75" s="4" t="s">
        <v>420</v>
      </c>
      <c r="D75" s="4" t="s">
        <v>421</v>
      </c>
      <c r="E75" s="4" t="s">
        <v>422</v>
      </c>
      <c r="F75" s="4" t="s">
        <v>423</v>
      </c>
      <c r="G75" s="4" t="s">
        <v>86</v>
      </c>
      <c r="H75" s="4"/>
    </row>
    <row r="76" customFormat="false" ht="69.75" hidden="false" customHeight="true" outlineLevel="0" collapsed="false">
      <c r="A76" s="4" t="s">
        <v>424</v>
      </c>
      <c r="B76" s="4" t="s">
        <v>411</v>
      </c>
      <c r="C76" s="4" t="s">
        <v>425</v>
      </c>
      <c r="D76" s="4" t="s">
        <v>426</v>
      </c>
      <c r="E76" s="4" t="s">
        <v>427</v>
      </c>
      <c r="F76" s="4" t="s">
        <v>428</v>
      </c>
      <c r="G76" s="4" t="s">
        <v>86</v>
      </c>
      <c r="H76" s="4"/>
    </row>
    <row r="77" customFormat="false" ht="31.3" hidden="false" customHeight="false" outlineLevel="0" collapsed="false">
      <c r="A77" s="4" t="s">
        <v>429</v>
      </c>
      <c r="B77" s="4"/>
      <c r="C77" s="4" t="s">
        <v>430</v>
      </c>
      <c r="D77" s="4" t="s">
        <v>431</v>
      </c>
      <c r="E77" s="4" t="s">
        <v>84</v>
      </c>
      <c r="F77" s="4" t="s">
        <v>85</v>
      </c>
      <c r="G77" s="4" t="s">
        <v>86</v>
      </c>
      <c r="H77" s="4"/>
    </row>
    <row r="78" customFormat="false" ht="69.75" hidden="false" customHeight="true" outlineLevel="0" collapsed="false">
      <c r="A78" s="4" t="s">
        <v>432</v>
      </c>
      <c r="B78" s="4" t="s">
        <v>429</v>
      </c>
      <c r="C78" s="4" t="s">
        <v>433</v>
      </c>
      <c r="D78" s="4" t="s">
        <v>434</v>
      </c>
      <c r="E78" s="4" t="s">
        <v>435</v>
      </c>
      <c r="F78" s="4" t="s">
        <v>436</v>
      </c>
      <c r="G78" s="4" t="s">
        <v>86</v>
      </c>
      <c r="H78" s="4"/>
    </row>
    <row r="79" customFormat="false" ht="69.75" hidden="false" customHeight="true" outlineLevel="0" collapsed="false">
      <c r="A79" s="4" t="s">
        <v>437</v>
      </c>
      <c r="B79" s="4" t="s">
        <v>429</v>
      </c>
      <c r="C79" s="4" t="s">
        <v>438</v>
      </c>
      <c r="D79" s="4" t="s">
        <v>439</v>
      </c>
      <c r="E79" s="4" t="s">
        <v>440</v>
      </c>
      <c r="F79" s="4" t="s">
        <v>441</v>
      </c>
      <c r="G79" s="4" t="s">
        <v>86</v>
      </c>
      <c r="H79" s="4"/>
    </row>
    <row r="80" customFormat="false" ht="69.75" hidden="false" customHeight="true" outlineLevel="0" collapsed="false">
      <c r="A80" s="4" t="s">
        <v>442</v>
      </c>
      <c r="B80" s="4" t="s">
        <v>429</v>
      </c>
      <c r="C80" s="4" t="s">
        <v>443</v>
      </c>
      <c r="D80" s="4" t="s">
        <v>444</v>
      </c>
      <c r="E80" s="4" t="s">
        <v>445</v>
      </c>
      <c r="F80" s="4" t="s">
        <v>446</v>
      </c>
      <c r="G80" s="4" t="s">
        <v>86</v>
      </c>
      <c r="H80" s="4"/>
    </row>
    <row r="81" customFormat="false" ht="69.75" hidden="false" customHeight="true" outlineLevel="0" collapsed="false">
      <c r="A81" s="4" t="s">
        <v>447</v>
      </c>
      <c r="B81" s="4" t="s">
        <v>429</v>
      </c>
      <c r="C81" s="4" t="s">
        <v>448</v>
      </c>
      <c r="D81" s="4" t="s">
        <v>449</v>
      </c>
      <c r="E81" s="4" t="s">
        <v>450</v>
      </c>
      <c r="F81" s="4" t="s">
        <v>451</v>
      </c>
      <c r="G81" s="4" t="s">
        <v>86</v>
      </c>
      <c r="H81" s="4"/>
    </row>
    <row r="82" customFormat="false" ht="31.3" hidden="false" customHeight="false" outlineLevel="0" collapsed="false">
      <c r="A82" s="4" t="s">
        <v>452</v>
      </c>
      <c r="B82" s="4"/>
      <c r="C82" s="4" t="s">
        <v>453</v>
      </c>
      <c r="D82" s="4" t="s">
        <v>454</v>
      </c>
      <c r="E82" s="4" t="s">
        <v>84</v>
      </c>
      <c r="F82" s="4" t="s">
        <v>85</v>
      </c>
      <c r="G82" s="4" t="s">
        <v>86</v>
      </c>
      <c r="H82" s="4"/>
    </row>
    <row r="83" customFormat="false" ht="69.75" hidden="false" customHeight="true" outlineLevel="0" collapsed="false">
      <c r="A83" s="4" t="s">
        <v>455</v>
      </c>
      <c r="B83" s="4" t="s">
        <v>452</v>
      </c>
      <c r="C83" s="4" t="s">
        <v>456</v>
      </c>
      <c r="D83" s="4" t="s">
        <v>457</v>
      </c>
      <c r="E83" s="4" t="s">
        <v>458</v>
      </c>
      <c r="F83" s="4" t="s">
        <v>459</v>
      </c>
      <c r="G83" s="4" t="s">
        <v>86</v>
      </c>
      <c r="H83" s="4"/>
    </row>
    <row r="84" customFormat="false" ht="69.75" hidden="false" customHeight="true" outlineLevel="0" collapsed="false">
      <c r="A84" s="4" t="s">
        <v>460</v>
      </c>
      <c r="B84" s="4" t="s">
        <v>452</v>
      </c>
      <c r="C84" s="4" t="s">
        <v>461</v>
      </c>
      <c r="D84" s="4" t="s">
        <v>462</v>
      </c>
      <c r="E84" s="4" t="s">
        <v>463</v>
      </c>
      <c r="F84" s="4" t="s">
        <v>464</v>
      </c>
      <c r="G84" s="4" t="s">
        <v>86</v>
      </c>
      <c r="H84" s="4"/>
    </row>
    <row r="85" customFormat="false" ht="69.75" hidden="false" customHeight="true" outlineLevel="0" collapsed="false">
      <c r="A85" s="4" t="s">
        <v>465</v>
      </c>
      <c r="B85" s="4" t="s">
        <v>452</v>
      </c>
      <c r="C85" s="4" t="s">
        <v>466</v>
      </c>
      <c r="D85" s="4" t="s">
        <v>467</v>
      </c>
      <c r="E85" s="4" t="s">
        <v>468</v>
      </c>
      <c r="F85" s="4" t="s">
        <v>469</v>
      </c>
      <c r="G85" s="4" t="s">
        <v>86</v>
      </c>
      <c r="H85" s="4"/>
    </row>
    <row r="86" customFormat="false" ht="69.75" hidden="false" customHeight="true" outlineLevel="0" collapsed="false">
      <c r="A86" s="4" t="s">
        <v>470</v>
      </c>
      <c r="B86" s="4" t="s">
        <v>452</v>
      </c>
      <c r="C86" s="4" t="s">
        <v>471</v>
      </c>
      <c r="D86" s="4" t="s">
        <v>472</v>
      </c>
      <c r="E86" s="4" t="s">
        <v>473</v>
      </c>
      <c r="F86" s="4" t="s">
        <v>474</v>
      </c>
      <c r="G86" s="4" t="s">
        <v>86</v>
      </c>
      <c r="H86" s="4"/>
    </row>
    <row r="87" customFormat="false" ht="69.75" hidden="false" customHeight="true" outlineLevel="0" collapsed="false">
      <c r="A87" s="4" t="s">
        <v>475</v>
      </c>
      <c r="B87" s="4" t="s">
        <v>452</v>
      </c>
      <c r="C87" s="4" t="s">
        <v>476</v>
      </c>
      <c r="D87" s="4" t="s">
        <v>477</v>
      </c>
      <c r="E87" s="4" t="s">
        <v>478</v>
      </c>
      <c r="F87" s="4" t="s">
        <v>479</v>
      </c>
      <c r="G87" s="4" t="s">
        <v>86</v>
      </c>
      <c r="H87" s="4"/>
    </row>
  </sheetData>
  <autoFilter ref="A3:H87"/>
  <mergeCells count="2">
    <mergeCell ref="A1:H1"/>
    <mergeCell ref="A2:H2"/>
  </mergeCells>
  <dataValidations count="1">
    <dataValidation allowBlank="true" error="Используйте значение из списка." errorStyle="stop" errorTitle="Выберите значение" operator="between" showDropDown="false" showErrorMessage="true" showInputMessage="false" sqref="G4:G203" type="list">
      <formula1>"REVIEW_REQUIRED,IN_SCOPE,OPTIONAL,NOT_APPLICABLE"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7" min="4" style="0" width="28"/>
  </cols>
  <sheetData>
    <row r="1" customFormat="false" ht="33.75" hidden="false" customHeight="true" outlineLevel="0" collapsed="false">
      <c r="A1" s="1" t="s">
        <v>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8" hidden="false" customHeight="true" outlineLevel="0" collapsed="false">
      <c r="A3" s="3" t="s">
        <v>481</v>
      </c>
      <c r="B3" s="3" t="s">
        <v>73</v>
      </c>
      <c r="C3" s="3" t="s">
        <v>482</v>
      </c>
      <c r="D3" s="3" t="s">
        <v>483</v>
      </c>
      <c r="E3" s="3" t="s">
        <v>484</v>
      </c>
      <c r="F3" s="3" t="s">
        <v>485</v>
      </c>
      <c r="G3" s="3" t="s">
        <v>486</v>
      </c>
      <c r="H3" s="3" t="s">
        <v>487</v>
      </c>
      <c r="I3" s="3" t="s">
        <v>488</v>
      </c>
      <c r="J3" s="3" t="s">
        <v>489</v>
      </c>
      <c r="K3" s="3" t="s">
        <v>490</v>
      </c>
      <c r="L3" s="3" t="s">
        <v>491</v>
      </c>
      <c r="M3" s="3" t="s">
        <v>492</v>
      </c>
      <c r="N3" s="3" t="s">
        <v>493</v>
      </c>
      <c r="O3" s="3" t="s">
        <v>494</v>
      </c>
      <c r="P3" s="3" t="s">
        <v>80</v>
      </c>
      <c r="Q3" s="3" t="s">
        <v>4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</sheetData>
  <autoFilter ref="A3:Q203"/>
  <mergeCells count="2">
    <mergeCell ref="A1:Q1"/>
    <mergeCell ref="A2:Q2"/>
  </mergeCells>
  <dataValidations count="2">
    <dataValidation allowBlank="true" error="Используйте значение из списка." errorStyle="stop" errorTitle="Выберите значение" operator="between" showDropDown="false" showErrorMessage="true" showInputMessage="false" sqref="Q4:Q203" type="list">
      <formula1>"DRAFT,READY_TO_REQUEST,REQUESTED,OFFERS_RECEIVED,CLOSED"</formula1>
      <formula2>0</formula2>
    </dataValidation>
    <dataValidation allowBlank="true" error="Требуется допустимое число." errorStyle="stop" operator="greaterThanOrEqual" showDropDown="false" showErrorMessage="true" showInputMessage="false" sqref="F4:F203" type="decimal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20" min="4" style="0" width="28"/>
  </cols>
  <sheetData>
    <row r="1" customFormat="false" ht="33.75" hidden="false" customHeight="true" outlineLevel="0" collapsed="false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48" hidden="false" customHeight="true" outlineLevel="0" collapsed="false">
      <c r="A3" s="3" t="s">
        <v>496</v>
      </c>
      <c r="B3" s="3" t="s">
        <v>497</v>
      </c>
      <c r="C3" s="3" t="s">
        <v>498</v>
      </c>
      <c r="D3" s="3" t="s">
        <v>499</v>
      </c>
      <c r="E3" s="3" t="s">
        <v>500</v>
      </c>
      <c r="F3" s="3" t="s">
        <v>501</v>
      </c>
      <c r="G3" s="3" t="s">
        <v>502</v>
      </c>
      <c r="H3" s="3" t="s">
        <v>503</v>
      </c>
      <c r="I3" s="3" t="s">
        <v>504</v>
      </c>
      <c r="J3" s="3" t="s">
        <v>505</v>
      </c>
      <c r="K3" s="3" t="s">
        <v>506</v>
      </c>
      <c r="L3" s="3" t="s">
        <v>507</v>
      </c>
      <c r="M3" s="3" t="s">
        <v>508</v>
      </c>
      <c r="N3" s="3" t="s">
        <v>509</v>
      </c>
      <c r="O3" s="3" t="s">
        <v>493</v>
      </c>
      <c r="P3" s="3" t="s">
        <v>510</v>
      </c>
      <c r="Q3" s="3" t="s">
        <v>511</v>
      </c>
      <c r="R3" s="3" t="s">
        <v>512</v>
      </c>
      <c r="S3" s="3" t="s">
        <v>513</v>
      </c>
      <c r="T3" s="3" t="s">
        <v>514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 t="str">
        <f aca="false">IF(A4="","",IF(AND(COUNTIF(A$4:A$203,A4)=1,F4&lt;&gt;"",G4&lt;&gt;"",D4&lt;&gt;"",P4&lt;&gt;"",COUNTIF(13_Источники!$A$4:$A$203,P4)=1,OR(G4="NET",G4="GROSS",AND(G4="OTHER",H4&lt;&gt;""))),"READY","INCOMPLETE / ID"))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 t="str">
        <f aca="false">IF(A5="","",IF(AND(COUNTIF(A$4:A$203,A5)=1,F5&lt;&gt;"",G5&lt;&gt;"",D5&lt;&gt;"",P5&lt;&gt;"",COUNTIF(13_Источники!$A$4:$A$203,P5)=1,OR(G5="NET",G5="GROSS",AND(G5="OTHER",H5&lt;&gt;""))),"READY","INCOMPLETE / ID"))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 t="str">
        <f aca="false">IF(A6="","",IF(AND(COUNTIF(A$4:A$203,A6)=1,F6&lt;&gt;"",G6&lt;&gt;"",D6&lt;&gt;"",P6&lt;&gt;"",COUNTIF(13_Источники!$A$4:$A$203,P6)=1,OR(G6="NET",G6="GROSS",AND(G6="OTHER",H6&lt;&gt;""))),"READY","INCOMPLETE / ID"))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 t="str">
        <f aca="false">IF(A7="","",IF(AND(COUNTIF(A$4:A$203,A7)=1,F7&lt;&gt;"",G7&lt;&gt;"",D7&lt;&gt;"",P7&lt;&gt;"",COUNTIF(13_Источники!$A$4:$A$203,P7)=1,OR(G7="NET",G7="GROSS",AND(G7="OTHER",H7&lt;&gt;""))),"READY","INCOMPLETE / ID"))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 t="str">
        <f aca="false">IF(A8="","",IF(AND(COUNTIF(A$4:A$203,A8)=1,F8&lt;&gt;"",G8&lt;&gt;"",D8&lt;&gt;"",P8&lt;&gt;"",COUNTIF(13_Источники!$A$4:$A$203,P8)=1,OR(G8="NET",G8="GROSS",AND(G8="OTHER",H8&lt;&gt;""))),"READY","INCOMPLETE / ID"))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5" t="str">
        <f aca="false">IF(A9="","",IF(AND(COUNTIF(A$4:A$203,A9)=1,F9&lt;&gt;"",G9&lt;&gt;"",D9&lt;&gt;"",P9&lt;&gt;"",COUNTIF(13_Источники!$A$4:$A$203,P9)=1,OR(G9="NET",G9="GROSS",AND(G9="OTHER",H9&lt;&gt;""))),"READY","INCOMPLETE / ID"))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 t="str">
        <f aca="false">IF(A10="","",IF(AND(COUNTIF(A$4:A$203,A10)=1,F10&lt;&gt;"",G10&lt;&gt;"",D10&lt;&gt;"",P10&lt;&gt;"",COUNTIF(13_Источники!$A$4:$A$203,P10)=1,OR(G10="NET",G10="GROSS",AND(G10="OTHER",H10&lt;&gt;""))),"READY","INCOMPLETE / ID"))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 t="str">
        <f aca="false">IF(A11="","",IF(AND(COUNTIF(A$4:A$203,A11)=1,F11&lt;&gt;"",G11&lt;&gt;"",D11&lt;&gt;"",P11&lt;&gt;"",COUNTIF(13_Источники!$A$4:$A$203,P11)=1,OR(G11="NET",G11="GROSS",AND(G11="OTHER",H11&lt;&gt;""))),"READY","INCOMPLETE / ID"))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" t="str">
        <f aca="false">IF(A12="","",IF(AND(COUNTIF(A$4:A$203,A12)=1,F12&lt;&gt;"",G12&lt;&gt;"",D12&lt;&gt;"",P12&lt;&gt;"",COUNTIF(13_Источники!$A$4:$A$203,P12)=1,OR(G12="NET",G12="GROSS",AND(G12="OTHER",H12&lt;&gt;""))),"READY","INCOMPLETE / ID"))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5" t="str">
        <f aca="false">IF(A13="","",IF(AND(COUNTIF(A$4:A$203,A13)=1,F13&lt;&gt;"",G13&lt;&gt;"",D13&lt;&gt;"",P13&lt;&gt;"",COUNTIF(13_Источники!$A$4:$A$203,P13)=1,OR(G13="NET",G13="GROSS",AND(G13="OTHER",H13&lt;&gt;""))),"READY","INCOMPLETE / ID"))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 t="str">
        <f aca="false">IF(A14="","",IF(AND(COUNTIF(A$4:A$203,A14)=1,F14&lt;&gt;"",G14&lt;&gt;"",D14&lt;&gt;"",P14&lt;&gt;"",COUNTIF(13_Источники!$A$4:$A$203,P14)=1,OR(G14="NET",G14="GROSS",AND(G14="OTHER",H14&lt;&gt;""))),"READY","INCOMPLETE / ID"))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" t="str">
        <f aca="false">IF(A15="","",IF(AND(COUNTIF(A$4:A$203,A15)=1,F15&lt;&gt;"",G15&lt;&gt;"",D15&lt;&gt;"",P15&lt;&gt;"",COUNTIF(13_Источники!$A$4:$A$203,P15)=1,OR(G15="NET",G15="GROSS",AND(G15="OTHER",H15&lt;&gt;""))),"READY","INCOMPLETE / ID"))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" t="str">
        <f aca="false">IF(A16="","",IF(AND(COUNTIF(A$4:A$203,A16)=1,F16&lt;&gt;"",G16&lt;&gt;"",D16&lt;&gt;"",P16&lt;&gt;"",COUNTIF(13_Источники!$A$4:$A$203,P16)=1,OR(G16="NET",G16="GROSS",AND(G16="OTHER",H16&lt;&gt;""))),"READY","INCOMPLETE / ID"))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" t="str">
        <f aca="false">IF(A17="","",IF(AND(COUNTIF(A$4:A$203,A17)=1,F17&lt;&gt;"",G17&lt;&gt;"",D17&lt;&gt;"",P17&lt;&gt;"",COUNTIF(13_Источники!$A$4:$A$203,P17)=1,OR(G17="NET",G17="GROSS",AND(G17="OTHER",H17&lt;&gt;""))),"READY","INCOMPLETE / ID"))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5" t="str">
        <f aca="false">IF(A18="","",IF(AND(COUNTIF(A$4:A$203,A18)=1,F18&lt;&gt;"",G18&lt;&gt;"",D18&lt;&gt;"",P18&lt;&gt;"",COUNTIF(13_Источники!$A$4:$A$203,P18)=1,OR(G18="NET",G18="GROSS",AND(G18="OTHER",H18&lt;&gt;""))),"READY","INCOMPLETE / ID"))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 t="str">
        <f aca="false">IF(A19="","",IF(AND(COUNTIF(A$4:A$203,A19)=1,F19&lt;&gt;"",G19&lt;&gt;"",D19&lt;&gt;"",P19&lt;&gt;"",COUNTIF(13_Источники!$A$4:$A$203,P19)=1,OR(G19="NET",G19="GROSS",AND(G19="OTHER",H19&lt;&gt;""))),"READY","INCOMPLETE / ID"))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" t="str">
        <f aca="false">IF(A20="","",IF(AND(COUNTIF(A$4:A$203,A20)=1,F20&lt;&gt;"",G20&lt;&gt;"",D20&lt;&gt;"",P20&lt;&gt;"",COUNTIF(13_Источники!$A$4:$A$203,P20)=1,OR(G20="NET",G20="GROSS",AND(G20="OTHER",H20&lt;&gt;""))),"READY","INCOMPLETE / ID"))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 t="str">
        <f aca="false">IF(A21="","",IF(AND(COUNTIF(A$4:A$203,A21)=1,F21&lt;&gt;"",G21&lt;&gt;"",D21&lt;&gt;"",P21&lt;&gt;"",COUNTIF(13_Источники!$A$4:$A$203,P21)=1,OR(G21="NET",G21="GROSS",AND(G21="OTHER",H21&lt;&gt;""))),"READY","INCOMPLETE / ID"))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" t="str">
        <f aca="false">IF(A22="","",IF(AND(COUNTIF(A$4:A$203,A22)=1,F22&lt;&gt;"",G22&lt;&gt;"",D22&lt;&gt;"",P22&lt;&gt;"",COUNTIF(13_Источники!$A$4:$A$203,P22)=1,OR(G22="NET",G22="GROSS",AND(G22="OTHER",H22&lt;&gt;""))),"READY","INCOMPLETE / ID"))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 t="str">
        <f aca="false">IF(A23="","",IF(AND(COUNTIF(A$4:A$203,A23)=1,F23&lt;&gt;"",G23&lt;&gt;"",D23&lt;&gt;"",P23&lt;&gt;"",COUNTIF(13_Источники!$A$4:$A$203,P23)=1,OR(G23="NET",G23="GROSS",AND(G23="OTHER",H23&lt;&gt;""))),"READY","INCOMPLETE / ID"))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 t="str">
        <f aca="false">IF(A24="","",IF(AND(COUNTIF(A$4:A$203,A24)=1,F24&lt;&gt;"",G24&lt;&gt;"",D24&lt;&gt;"",P24&lt;&gt;"",COUNTIF(13_Источники!$A$4:$A$203,P24)=1,OR(G24="NET",G24="GROSS",AND(G24="OTHER",H24&lt;&gt;""))),"READY","INCOMPLETE / ID"))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 t="str">
        <f aca="false">IF(A25="","",IF(AND(COUNTIF(A$4:A$203,A25)=1,F25&lt;&gt;"",G25&lt;&gt;"",D25&lt;&gt;"",P25&lt;&gt;"",COUNTIF(13_Источники!$A$4:$A$203,P25)=1,OR(G25="NET",G25="GROSS",AND(G25="OTHER",H25&lt;&gt;""))),"READY","INCOMPLETE / ID"))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 t="str">
        <f aca="false">IF(A26="","",IF(AND(COUNTIF(A$4:A$203,A26)=1,F26&lt;&gt;"",G26&lt;&gt;"",D26&lt;&gt;"",P26&lt;&gt;"",COUNTIF(13_Источники!$A$4:$A$203,P26)=1,OR(G26="NET",G26="GROSS",AND(G26="OTHER",H26&lt;&gt;""))),"READY","INCOMPLETE / ID"))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 t="str">
        <f aca="false">IF(A27="","",IF(AND(COUNTIF(A$4:A$203,A27)=1,F27&lt;&gt;"",G27&lt;&gt;"",D27&lt;&gt;"",P27&lt;&gt;"",COUNTIF(13_Источники!$A$4:$A$203,P27)=1,OR(G27="NET",G27="GROSS",AND(G27="OTHER",H27&lt;&gt;""))),"READY","INCOMPLETE / ID"))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 t="str">
        <f aca="false">IF(A28="","",IF(AND(COUNTIF(A$4:A$203,A28)=1,F28&lt;&gt;"",G28&lt;&gt;"",D28&lt;&gt;"",P28&lt;&gt;"",COUNTIF(13_Источники!$A$4:$A$203,P28)=1,OR(G28="NET",G28="GROSS",AND(G28="OTHER",H28&lt;&gt;""))),"READY","INCOMPLETE / ID"))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 t="str">
        <f aca="false">IF(A29="","",IF(AND(COUNTIF(A$4:A$203,A29)=1,F29&lt;&gt;"",G29&lt;&gt;"",D29&lt;&gt;"",P29&lt;&gt;"",COUNTIF(13_Источники!$A$4:$A$203,P29)=1,OR(G29="NET",G29="GROSS",AND(G29="OTHER",H29&lt;&gt;""))),"READY","INCOMPLETE / ID"))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" t="str">
        <f aca="false">IF(A30="","",IF(AND(COUNTIF(A$4:A$203,A30)=1,F30&lt;&gt;"",G30&lt;&gt;"",D30&lt;&gt;"",P30&lt;&gt;"",COUNTIF(13_Источники!$A$4:$A$203,P30)=1,OR(G30="NET",G30="GROSS",AND(G30="OTHER",H30&lt;&gt;""))),"READY","INCOMPLETE / ID"))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 t="str">
        <f aca="false">IF(A31="","",IF(AND(COUNTIF(A$4:A$203,A31)=1,F31&lt;&gt;"",G31&lt;&gt;"",D31&lt;&gt;"",P31&lt;&gt;"",COUNTIF(13_Источники!$A$4:$A$203,P31)=1,OR(G31="NET",G31="GROSS",AND(G31="OTHER",H31&lt;&gt;""))),"READY","INCOMPLETE / ID"))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 t="str">
        <f aca="false">IF(A32="","",IF(AND(COUNTIF(A$4:A$203,A32)=1,F32&lt;&gt;"",G32&lt;&gt;"",D32&lt;&gt;"",P32&lt;&gt;"",COUNTIF(13_Источники!$A$4:$A$203,P32)=1,OR(G32="NET",G32="GROSS",AND(G32="OTHER",H32&lt;&gt;""))),"READY","INCOMPLETE / ID"))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 t="str">
        <f aca="false">IF(A33="","",IF(AND(COUNTIF(A$4:A$203,A33)=1,F33&lt;&gt;"",G33&lt;&gt;"",D33&lt;&gt;"",P33&lt;&gt;"",COUNTIF(13_Источники!$A$4:$A$203,P33)=1,OR(G33="NET",G33="GROSS",AND(G33="OTHER",H33&lt;&gt;""))),"READY","INCOMPLETE / ID"))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 t="str">
        <f aca="false">IF(A34="","",IF(AND(COUNTIF(A$4:A$203,A34)=1,F34&lt;&gt;"",G34&lt;&gt;"",D34&lt;&gt;"",P34&lt;&gt;"",COUNTIF(13_Источники!$A$4:$A$203,P34)=1,OR(G34="NET",G34="GROSS",AND(G34="OTHER",H34&lt;&gt;""))),"READY","INCOMPLETE / ID"))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 t="str">
        <f aca="false">IF(A35="","",IF(AND(COUNTIF(A$4:A$203,A35)=1,F35&lt;&gt;"",G35&lt;&gt;"",D35&lt;&gt;"",P35&lt;&gt;"",COUNTIF(13_Источники!$A$4:$A$203,P35)=1,OR(G35="NET",G35="GROSS",AND(G35="OTHER",H35&lt;&gt;""))),"READY","INCOMPLETE / ID"))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 t="str">
        <f aca="false">IF(A36="","",IF(AND(COUNTIF(A$4:A$203,A36)=1,F36&lt;&gt;"",G36&lt;&gt;"",D36&lt;&gt;"",P36&lt;&gt;"",COUNTIF(13_Источники!$A$4:$A$203,P36)=1,OR(G36="NET",G36="GROSS",AND(G36="OTHER",H36&lt;&gt;""))),"READY","INCOMPLETE / ID"))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 t="str">
        <f aca="false">IF(A37="","",IF(AND(COUNTIF(A$4:A$203,A37)=1,F37&lt;&gt;"",G37&lt;&gt;"",D37&lt;&gt;"",P37&lt;&gt;"",COUNTIF(13_Источники!$A$4:$A$203,P37)=1,OR(G37="NET",G37="GROSS",AND(G37="OTHER",H37&lt;&gt;""))),"READY","INCOMPLETE / ID"))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 t="str">
        <f aca="false">IF(A38="","",IF(AND(COUNTIF(A$4:A$203,A38)=1,F38&lt;&gt;"",G38&lt;&gt;"",D38&lt;&gt;"",P38&lt;&gt;"",COUNTIF(13_Источники!$A$4:$A$203,P38)=1,OR(G38="NET",G38="GROSS",AND(G38="OTHER",H38&lt;&gt;""))),"READY","INCOMPLETE / ID"))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 t="str">
        <f aca="false">IF(A39="","",IF(AND(COUNTIF(A$4:A$203,A39)=1,F39&lt;&gt;"",G39&lt;&gt;"",D39&lt;&gt;"",P39&lt;&gt;"",COUNTIF(13_Источники!$A$4:$A$203,P39)=1,OR(G39="NET",G39="GROSS",AND(G39="OTHER",H39&lt;&gt;""))),"READY","INCOMPLETE / ID"))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 t="str">
        <f aca="false">IF(A40="","",IF(AND(COUNTIF(A$4:A$203,A40)=1,F40&lt;&gt;"",G40&lt;&gt;"",D40&lt;&gt;"",P40&lt;&gt;"",COUNTIF(13_Источники!$A$4:$A$203,P40)=1,OR(G40="NET",G40="GROSS",AND(G40="OTHER",H40&lt;&gt;""))),"READY","INCOMPLETE / ID"))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 t="str">
        <f aca="false">IF(A41="","",IF(AND(COUNTIF(A$4:A$203,A41)=1,F41&lt;&gt;"",G41&lt;&gt;"",D41&lt;&gt;"",P41&lt;&gt;"",COUNTIF(13_Источники!$A$4:$A$203,P41)=1,OR(G41="NET",G41="GROSS",AND(G41="OTHER",H41&lt;&gt;""))),"READY","INCOMPLETE / ID"))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 t="str">
        <f aca="false">IF(A42="","",IF(AND(COUNTIF(A$4:A$203,A42)=1,F42&lt;&gt;"",G42&lt;&gt;"",D42&lt;&gt;"",P42&lt;&gt;"",COUNTIF(13_Источники!$A$4:$A$203,P42)=1,OR(G42="NET",G42="GROSS",AND(G42="OTHER",H42&lt;&gt;""))),"READY","INCOMPLETE / ID"))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 t="str">
        <f aca="false">IF(A43="","",IF(AND(COUNTIF(A$4:A$203,A43)=1,F43&lt;&gt;"",G43&lt;&gt;"",D43&lt;&gt;"",P43&lt;&gt;"",COUNTIF(13_Источники!$A$4:$A$203,P43)=1,OR(G43="NET",G43="GROSS",AND(G43="OTHER",H43&lt;&gt;""))),"READY","INCOMPLETE / ID"))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 t="str">
        <f aca="false">IF(A44="","",IF(AND(COUNTIF(A$4:A$203,A44)=1,F44&lt;&gt;"",G44&lt;&gt;"",D44&lt;&gt;"",P44&lt;&gt;"",COUNTIF(13_Источники!$A$4:$A$203,P44)=1,OR(G44="NET",G44="GROSS",AND(G44="OTHER",H44&lt;&gt;""))),"READY","INCOMPLETE / ID"))</f>
        <v/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 t="str">
        <f aca="false">IF(A45="","",IF(AND(COUNTIF(A$4:A$203,A45)=1,F45&lt;&gt;"",G45&lt;&gt;"",D45&lt;&gt;"",P45&lt;&gt;"",COUNTIF(13_Источники!$A$4:$A$203,P45)=1,OR(G45="NET",G45="GROSS",AND(G45="OTHER",H45&lt;&gt;""))),"READY","INCOMPLETE / ID"))</f>
        <v/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 t="str">
        <f aca="false">IF(A46="","",IF(AND(COUNTIF(A$4:A$203,A46)=1,F46&lt;&gt;"",G46&lt;&gt;"",D46&lt;&gt;"",P46&lt;&gt;"",COUNTIF(13_Источники!$A$4:$A$203,P46)=1,OR(G46="NET",G46="GROSS",AND(G46="OTHER",H46&lt;&gt;""))),"READY","INCOMPLETE / ID"))</f>
        <v/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 t="str">
        <f aca="false">IF(A47="","",IF(AND(COUNTIF(A$4:A$203,A47)=1,F47&lt;&gt;"",G47&lt;&gt;"",D47&lt;&gt;"",P47&lt;&gt;"",COUNTIF(13_Источники!$A$4:$A$203,P47)=1,OR(G47="NET",G47="GROSS",AND(G47="OTHER",H47&lt;&gt;""))),"READY","INCOMPLETE / ID"))</f>
        <v/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 t="str">
        <f aca="false">IF(A48="","",IF(AND(COUNTIF(A$4:A$203,A48)=1,F48&lt;&gt;"",G48&lt;&gt;"",D48&lt;&gt;"",P48&lt;&gt;"",COUNTIF(13_Источники!$A$4:$A$203,P48)=1,OR(G48="NET",G48="GROSS",AND(G48="OTHER",H48&lt;&gt;""))),"READY","INCOMPLETE / ID"))</f>
        <v/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 t="str">
        <f aca="false">IF(A49="","",IF(AND(COUNTIF(A$4:A$203,A49)=1,F49&lt;&gt;"",G49&lt;&gt;"",D49&lt;&gt;"",P49&lt;&gt;"",COUNTIF(13_Источники!$A$4:$A$203,P49)=1,OR(G49="NET",G49="GROSS",AND(G49="OTHER",H49&lt;&gt;""))),"READY","INCOMPLETE / ID"))</f>
        <v/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 t="str">
        <f aca="false">IF(A50="","",IF(AND(COUNTIF(A$4:A$203,A50)=1,F50&lt;&gt;"",G50&lt;&gt;"",D50&lt;&gt;"",P50&lt;&gt;"",COUNTIF(13_Источники!$A$4:$A$203,P50)=1,OR(G50="NET",G50="GROSS",AND(G50="OTHER",H50&lt;&gt;""))),"READY","INCOMPLETE / ID"))</f>
        <v/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 t="str">
        <f aca="false">IF(A51="","",IF(AND(COUNTIF(A$4:A$203,A51)=1,F51&lt;&gt;"",G51&lt;&gt;"",D51&lt;&gt;"",P51&lt;&gt;"",COUNTIF(13_Источники!$A$4:$A$203,P51)=1,OR(G51="NET",G51="GROSS",AND(G51="OTHER",H51&lt;&gt;""))),"READY","INCOMPLETE / ID"))</f>
        <v/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 t="str">
        <f aca="false">IF(A52="","",IF(AND(COUNTIF(A$4:A$203,A52)=1,F52&lt;&gt;"",G52&lt;&gt;"",D52&lt;&gt;"",P52&lt;&gt;"",COUNTIF(13_Источники!$A$4:$A$203,P52)=1,OR(G52="NET",G52="GROSS",AND(G52="OTHER",H52&lt;&gt;""))),"READY","INCOMPLETE / ID"))</f>
        <v/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 t="str">
        <f aca="false">IF(A53="","",IF(AND(COUNTIF(A$4:A$203,A53)=1,F53&lt;&gt;"",G53&lt;&gt;"",D53&lt;&gt;"",P53&lt;&gt;"",COUNTIF(13_Источники!$A$4:$A$203,P53)=1,OR(G53="NET",G53="GROSS",AND(G53="OTHER",H53&lt;&gt;""))),"READY","INCOMPLETE / ID"))</f>
        <v/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 t="str">
        <f aca="false">IF(A54="","",IF(AND(COUNTIF(A$4:A$203,A54)=1,F54&lt;&gt;"",G54&lt;&gt;"",D54&lt;&gt;"",P54&lt;&gt;"",COUNTIF(13_Источники!$A$4:$A$203,P54)=1,OR(G54="NET",G54="GROSS",AND(G54="OTHER",H54&lt;&gt;""))),"READY","INCOMPLETE / ID"))</f>
        <v/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 t="str">
        <f aca="false">IF(A55="","",IF(AND(COUNTIF(A$4:A$203,A55)=1,F55&lt;&gt;"",G55&lt;&gt;"",D55&lt;&gt;"",P55&lt;&gt;"",COUNTIF(13_Источники!$A$4:$A$203,P55)=1,OR(G55="NET",G55="GROSS",AND(G55="OTHER",H55&lt;&gt;""))),"READY","INCOMPLETE / ID"))</f>
        <v/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 t="str">
        <f aca="false">IF(A56="","",IF(AND(COUNTIF(A$4:A$203,A56)=1,F56&lt;&gt;"",G56&lt;&gt;"",D56&lt;&gt;"",P56&lt;&gt;"",COUNTIF(13_Источники!$A$4:$A$203,P56)=1,OR(G56="NET",G56="GROSS",AND(G56="OTHER",H56&lt;&gt;""))),"READY","INCOMPLETE / ID"))</f>
        <v/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5" t="str">
        <f aca="false">IF(A57="","",IF(AND(COUNTIF(A$4:A$203,A57)=1,F57&lt;&gt;"",G57&lt;&gt;"",D57&lt;&gt;"",P57&lt;&gt;"",COUNTIF(13_Источники!$A$4:$A$203,P57)=1,OR(G57="NET",G57="GROSS",AND(G57="OTHER",H57&lt;&gt;""))),"READY","INCOMPLETE / ID"))</f>
        <v/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 t="str">
        <f aca="false">IF(A58="","",IF(AND(COUNTIF(A$4:A$203,A58)=1,F58&lt;&gt;"",G58&lt;&gt;"",D58&lt;&gt;"",P58&lt;&gt;"",COUNTIF(13_Источники!$A$4:$A$203,P58)=1,OR(G58="NET",G58="GROSS",AND(G58="OTHER",H58&lt;&gt;""))),"READY","INCOMPLETE / ID"))</f>
        <v/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5" t="str">
        <f aca="false">IF(A59="","",IF(AND(COUNTIF(A$4:A$203,A59)=1,F59&lt;&gt;"",G59&lt;&gt;"",D59&lt;&gt;"",P59&lt;&gt;"",COUNTIF(13_Источники!$A$4:$A$203,P59)=1,OR(G59="NET",G59="GROSS",AND(G59="OTHER",H59&lt;&gt;""))),"READY","INCOMPLETE / ID"))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 t="str">
        <f aca="false">IF(A60="","",IF(AND(COUNTIF(A$4:A$203,A60)=1,F60&lt;&gt;"",G60&lt;&gt;"",D60&lt;&gt;"",P60&lt;&gt;"",COUNTIF(13_Источники!$A$4:$A$203,P60)=1,OR(G60="NET",G60="GROSS",AND(G60="OTHER",H60&lt;&gt;""))),"READY","INCOMPLETE / ID"))</f>
        <v/>
      </c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5" t="str">
        <f aca="false">IF(A61="","",IF(AND(COUNTIF(A$4:A$203,A61)=1,F61&lt;&gt;"",G61&lt;&gt;"",D61&lt;&gt;"",P61&lt;&gt;"",COUNTIF(13_Источники!$A$4:$A$203,P61)=1,OR(G61="NET",G61="GROSS",AND(G61="OTHER",H61&lt;&gt;""))),"READY","INCOMPLETE / ID"))</f>
        <v/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 t="str">
        <f aca="false">IF(A62="","",IF(AND(COUNTIF(A$4:A$203,A62)=1,F62&lt;&gt;"",G62&lt;&gt;"",D62&lt;&gt;"",P62&lt;&gt;"",COUNTIF(13_Источники!$A$4:$A$203,P62)=1,OR(G62="NET",G62="GROSS",AND(G62="OTHER",H62&lt;&gt;""))),"READY","INCOMPLETE / ID"))</f>
        <v/>
      </c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5" t="str">
        <f aca="false">IF(A63="","",IF(AND(COUNTIF(A$4:A$203,A63)=1,F63&lt;&gt;"",G63&lt;&gt;"",D63&lt;&gt;"",P63&lt;&gt;"",COUNTIF(13_Источники!$A$4:$A$203,P63)=1,OR(G63="NET",G63="GROSS",AND(G63="OTHER",H63&lt;&gt;""))),"READY","INCOMPLETE / ID"))</f>
        <v/>
      </c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5" t="str">
        <f aca="false">IF(A64="","",IF(AND(COUNTIF(A$4:A$203,A64)=1,F64&lt;&gt;"",G64&lt;&gt;"",D64&lt;&gt;"",P64&lt;&gt;"",COUNTIF(13_Источники!$A$4:$A$203,P64)=1,OR(G64="NET",G64="GROSS",AND(G64="OTHER",H64&lt;&gt;""))),"READY","INCOMPLETE / ID"))</f>
        <v/>
      </c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5" t="str">
        <f aca="false">IF(A65="","",IF(AND(COUNTIF(A$4:A$203,A65)=1,F65&lt;&gt;"",G65&lt;&gt;"",D65&lt;&gt;"",P65&lt;&gt;"",COUNTIF(13_Источники!$A$4:$A$203,P65)=1,OR(G65="NET",G65="GROSS",AND(G65="OTHER",H65&lt;&gt;""))),"READY","INCOMPLETE / ID"))</f>
        <v/>
      </c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5" t="str">
        <f aca="false">IF(A66="","",IF(AND(COUNTIF(A$4:A$203,A66)=1,F66&lt;&gt;"",G66&lt;&gt;"",D66&lt;&gt;"",P66&lt;&gt;"",COUNTIF(13_Источники!$A$4:$A$203,P66)=1,OR(G66="NET",G66="GROSS",AND(G66="OTHER",H66&lt;&gt;""))),"READY","INCOMPLETE / ID"))</f>
        <v/>
      </c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 t="str">
        <f aca="false">IF(A67="","",IF(AND(COUNTIF(A$4:A$203,A67)=1,F67&lt;&gt;"",G67&lt;&gt;"",D67&lt;&gt;"",P67&lt;&gt;"",COUNTIF(13_Источники!$A$4:$A$203,P67)=1,OR(G67="NET",G67="GROSS",AND(G67="OTHER",H67&lt;&gt;""))),"READY","INCOMPLETE / ID"))</f>
        <v/>
      </c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5" t="str">
        <f aca="false">IF(A68="","",IF(AND(COUNTIF(A$4:A$203,A68)=1,F68&lt;&gt;"",G68&lt;&gt;"",D68&lt;&gt;"",P68&lt;&gt;"",COUNTIF(13_Источники!$A$4:$A$203,P68)=1,OR(G68="NET",G68="GROSS",AND(G68="OTHER",H68&lt;&gt;""))),"READY","INCOMPLETE / ID"))</f>
        <v/>
      </c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5" t="str">
        <f aca="false">IF(A69="","",IF(AND(COUNTIF(A$4:A$203,A69)=1,F69&lt;&gt;"",G69&lt;&gt;"",D69&lt;&gt;"",P69&lt;&gt;"",COUNTIF(13_Источники!$A$4:$A$203,P69)=1,OR(G69="NET",G69="GROSS",AND(G69="OTHER",H69&lt;&gt;""))),"READY","INCOMPLETE / ID"))</f>
        <v/>
      </c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5" t="str">
        <f aca="false">IF(A70="","",IF(AND(COUNTIF(A$4:A$203,A70)=1,F70&lt;&gt;"",G70&lt;&gt;"",D70&lt;&gt;"",P70&lt;&gt;"",COUNTIF(13_Источники!$A$4:$A$203,P70)=1,OR(G70="NET",G70="GROSS",AND(G70="OTHER",H70&lt;&gt;""))),"READY","INCOMPLETE / ID"))</f>
        <v/>
      </c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5" t="str">
        <f aca="false">IF(A71="","",IF(AND(COUNTIF(A$4:A$203,A71)=1,F71&lt;&gt;"",G71&lt;&gt;"",D71&lt;&gt;"",P71&lt;&gt;"",COUNTIF(13_Источники!$A$4:$A$203,P71)=1,OR(G71="NET",G71="GROSS",AND(G71="OTHER",H71&lt;&gt;""))),"READY","INCOMPLETE / ID"))</f>
        <v/>
      </c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5" t="str">
        <f aca="false">IF(A72="","",IF(AND(COUNTIF(A$4:A$203,A72)=1,F72&lt;&gt;"",G72&lt;&gt;"",D72&lt;&gt;"",P72&lt;&gt;"",COUNTIF(13_Источники!$A$4:$A$203,P72)=1,OR(G72="NET",G72="GROSS",AND(G72="OTHER",H72&lt;&gt;""))),"READY","INCOMPLETE / ID"))</f>
        <v/>
      </c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5" t="str">
        <f aca="false">IF(A73="","",IF(AND(COUNTIF(A$4:A$203,A73)=1,F73&lt;&gt;"",G73&lt;&gt;"",D73&lt;&gt;"",P73&lt;&gt;"",COUNTIF(13_Источники!$A$4:$A$203,P73)=1,OR(G73="NET",G73="GROSS",AND(G73="OTHER",H73&lt;&gt;""))),"READY","INCOMPLETE / ID"))</f>
        <v/>
      </c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5" t="str">
        <f aca="false">IF(A74="","",IF(AND(COUNTIF(A$4:A$203,A74)=1,F74&lt;&gt;"",G74&lt;&gt;"",D74&lt;&gt;"",P74&lt;&gt;"",COUNTIF(13_Источники!$A$4:$A$203,P74)=1,OR(G74="NET",G74="GROSS",AND(G74="OTHER",H74&lt;&gt;""))),"READY","INCOMPLETE / ID"))</f>
        <v/>
      </c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5" t="str">
        <f aca="false">IF(A75="","",IF(AND(COUNTIF(A$4:A$203,A75)=1,F75&lt;&gt;"",G75&lt;&gt;"",D75&lt;&gt;"",P75&lt;&gt;"",COUNTIF(13_Источники!$A$4:$A$203,P75)=1,OR(G75="NET",G75="GROSS",AND(G75="OTHER",H75&lt;&gt;""))),"READY","INCOMPLETE / ID"))</f>
        <v/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 t="str">
        <f aca="false">IF(A76="","",IF(AND(COUNTIF(A$4:A$203,A76)=1,F76&lt;&gt;"",G76&lt;&gt;"",D76&lt;&gt;"",P76&lt;&gt;"",COUNTIF(13_Источники!$A$4:$A$203,P76)=1,OR(G76="NET",G76="GROSS",AND(G76="OTHER",H76&lt;&gt;""))),"READY","INCOMPLETE / ID"))</f>
        <v/>
      </c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5" t="str">
        <f aca="false">IF(A77="","",IF(AND(COUNTIF(A$4:A$203,A77)=1,F77&lt;&gt;"",G77&lt;&gt;"",D77&lt;&gt;"",P77&lt;&gt;"",COUNTIF(13_Источники!$A$4:$A$203,P77)=1,OR(G77="NET",G77="GROSS",AND(G77="OTHER",H77&lt;&gt;""))),"READY","INCOMPLETE / ID"))</f>
        <v/>
      </c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 t="str">
        <f aca="false">IF(A78="","",IF(AND(COUNTIF(A$4:A$203,A78)=1,F78&lt;&gt;"",G78&lt;&gt;"",D78&lt;&gt;"",P78&lt;&gt;"",COUNTIF(13_Источники!$A$4:$A$203,P78)=1,OR(G78="NET",G78="GROSS",AND(G78="OTHER",H78&lt;&gt;""))),"READY","INCOMPLETE / ID"))</f>
        <v/>
      </c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 t="str">
        <f aca="false">IF(A79="","",IF(AND(COUNTIF(A$4:A$203,A79)=1,F79&lt;&gt;"",G79&lt;&gt;"",D79&lt;&gt;"",P79&lt;&gt;"",COUNTIF(13_Источники!$A$4:$A$203,P79)=1,OR(G79="NET",G79="GROSS",AND(G79="OTHER",H79&lt;&gt;""))),"READY","INCOMPLETE / ID"))</f>
        <v/>
      </c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 t="str">
        <f aca="false">IF(A80="","",IF(AND(COUNTIF(A$4:A$203,A80)=1,F80&lt;&gt;"",G80&lt;&gt;"",D80&lt;&gt;"",P80&lt;&gt;"",COUNTIF(13_Источники!$A$4:$A$203,P80)=1,OR(G80="NET",G80="GROSS",AND(G80="OTHER",H80&lt;&gt;""))),"READY","INCOMPLETE / ID"))</f>
        <v/>
      </c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 t="str">
        <f aca="false">IF(A81="","",IF(AND(COUNTIF(A$4:A$203,A81)=1,F81&lt;&gt;"",G81&lt;&gt;"",D81&lt;&gt;"",P81&lt;&gt;"",COUNTIF(13_Источники!$A$4:$A$203,P81)=1,OR(G81="NET",G81="GROSS",AND(G81="OTHER",H81&lt;&gt;""))),"READY","INCOMPLETE / ID"))</f>
        <v/>
      </c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 t="str">
        <f aca="false">IF(A82="","",IF(AND(COUNTIF(A$4:A$203,A82)=1,F82&lt;&gt;"",G82&lt;&gt;"",D82&lt;&gt;"",P82&lt;&gt;"",COUNTIF(13_Источники!$A$4:$A$203,P82)=1,OR(G82="NET",G82="GROSS",AND(G82="OTHER",H82&lt;&gt;""))),"READY","INCOMPLETE / ID"))</f>
        <v/>
      </c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 t="str">
        <f aca="false">IF(A83="","",IF(AND(COUNTIF(A$4:A$203,A83)=1,F83&lt;&gt;"",G83&lt;&gt;"",D83&lt;&gt;"",P83&lt;&gt;"",COUNTIF(13_Источники!$A$4:$A$203,P83)=1,OR(G83="NET",G83="GROSS",AND(G83="OTHER",H83&lt;&gt;""))),"READY","INCOMPLETE / ID"))</f>
        <v/>
      </c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" t="str">
        <f aca="false">IF(A84="","",IF(AND(COUNTIF(A$4:A$203,A84)=1,F84&lt;&gt;"",G84&lt;&gt;"",D84&lt;&gt;"",P84&lt;&gt;"",COUNTIF(13_Источники!$A$4:$A$203,P84)=1,OR(G84="NET",G84="GROSS",AND(G84="OTHER",H84&lt;&gt;""))),"READY","INCOMPLETE / ID"))</f>
        <v/>
      </c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 t="str">
        <f aca="false">IF(A85="","",IF(AND(COUNTIF(A$4:A$203,A85)=1,F85&lt;&gt;"",G85&lt;&gt;"",D85&lt;&gt;"",P85&lt;&gt;"",COUNTIF(13_Источники!$A$4:$A$203,P85)=1,OR(G85="NET",G85="GROSS",AND(G85="OTHER",H85&lt;&gt;""))),"READY","INCOMPLETE / ID"))</f>
        <v/>
      </c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" t="str">
        <f aca="false">IF(A86="","",IF(AND(COUNTIF(A$4:A$203,A86)=1,F86&lt;&gt;"",G86&lt;&gt;"",D86&lt;&gt;"",P86&lt;&gt;"",COUNTIF(13_Источники!$A$4:$A$203,P86)=1,OR(G86="NET",G86="GROSS",AND(G86="OTHER",H86&lt;&gt;""))),"READY","INCOMPLETE / ID"))</f>
        <v/>
      </c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 t="str">
        <f aca="false">IF(A87="","",IF(AND(COUNTIF(A$4:A$203,A87)=1,F87&lt;&gt;"",G87&lt;&gt;"",D87&lt;&gt;"",P87&lt;&gt;"",COUNTIF(13_Источники!$A$4:$A$203,P87)=1,OR(G87="NET",G87="GROSS",AND(G87="OTHER",H87&lt;&gt;""))),"READY","INCOMPLETE / ID"))</f>
        <v/>
      </c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 t="str">
        <f aca="false">IF(A88="","",IF(AND(COUNTIF(A$4:A$203,A88)=1,F88&lt;&gt;"",G88&lt;&gt;"",D88&lt;&gt;"",P88&lt;&gt;"",COUNTIF(13_Источники!$A$4:$A$203,P88)=1,OR(G88="NET",G88="GROSS",AND(G88="OTHER",H88&lt;&gt;""))),"READY","INCOMPLETE / ID"))</f>
        <v/>
      </c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 t="str">
        <f aca="false">IF(A89="","",IF(AND(COUNTIF(A$4:A$203,A89)=1,F89&lt;&gt;"",G89&lt;&gt;"",D89&lt;&gt;"",P89&lt;&gt;"",COUNTIF(13_Источники!$A$4:$A$203,P89)=1,OR(G89="NET",G89="GROSS",AND(G89="OTHER",H89&lt;&gt;""))),"READY","INCOMPLETE / ID"))</f>
        <v/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 t="str">
        <f aca="false">IF(A90="","",IF(AND(COUNTIF(A$4:A$203,A90)=1,F90&lt;&gt;"",G90&lt;&gt;"",D90&lt;&gt;"",P90&lt;&gt;"",COUNTIF(13_Источники!$A$4:$A$203,P90)=1,OR(G90="NET",G90="GROSS",AND(G90="OTHER",H90&lt;&gt;""))),"READY","INCOMPLETE / ID"))</f>
        <v/>
      </c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 t="str">
        <f aca="false">IF(A91="","",IF(AND(COUNTIF(A$4:A$203,A91)=1,F91&lt;&gt;"",G91&lt;&gt;"",D91&lt;&gt;"",P91&lt;&gt;"",COUNTIF(13_Источники!$A$4:$A$203,P91)=1,OR(G91="NET",G91="GROSS",AND(G91="OTHER",H91&lt;&gt;""))),"READY","INCOMPLETE / ID"))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 t="str">
        <f aca="false">IF(A92="","",IF(AND(COUNTIF(A$4:A$203,A92)=1,F92&lt;&gt;"",G92&lt;&gt;"",D92&lt;&gt;"",P92&lt;&gt;"",COUNTIF(13_Источники!$A$4:$A$203,P92)=1,OR(G92="NET",G92="GROSS",AND(G92="OTHER",H92&lt;&gt;""))),"READY","INCOMPLETE / ID"))</f>
        <v/>
      </c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 t="str">
        <f aca="false">IF(A93="","",IF(AND(COUNTIF(A$4:A$203,A93)=1,F93&lt;&gt;"",G93&lt;&gt;"",D93&lt;&gt;"",P93&lt;&gt;"",COUNTIF(13_Источники!$A$4:$A$203,P93)=1,OR(G93="NET",G93="GROSS",AND(G93="OTHER",H93&lt;&gt;""))),"READY","INCOMPLETE / ID"))</f>
        <v/>
      </c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 t="str">
        <f aca="false">IF(A94="","",IF(AND(COUNTIF(A$4:A$203,A94)=1,F94&lt;&gt;"",G94&lt;&gt;"",D94&lt;&gt;"",P94&lt;&gt;"",COUNTIF(13_Источники!$A$4:$A$203,P94)=1,OR(G94="NET",G94="GROSS",AND(G94="OTHER",H94&lt;&gt;""))),"READY","INCOMPLETE / ID"))</f>
        <v/>
      </c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 t="str">
        <f aca="false">IF(A95="","",IF(AND(COUNTIF(A$4:A$203,A95)=1,F95&lt;&gt;"",G95&lt;&gt;"",D95&lt;&gt;"",P95&lt;&gt;"",COUNTIF(13_Источники!$A$4:$A$203,P95)=1,OR(G95="NET",G95="GROSS",AND(G95="OTHER",H95&lt;&gt;""))),"READY","INCOMPLETE / ID"))</f>
        <v/>
      </c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 t="str">
        <f aca="false">IF(A96="","",IF(AND(COUNTIF(A$4:A$203,A96)=1,F96&lt;&gt;"",G96&lt;&gt;"",D96&lt;&gt;"",P96&lt;&gt;"",COUNTIF(13_Источники!$A$4:$A$203,P96)=1,OR(G96="NET",G96="GROSS",AND(G96="OTHER",H96&lt;&gt;""))),"READY","INCOMPLETE / ID"))</f>
        <v/>
      </c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 t="str">
        <f aca="false">IF(A97="","",IF(AND(COUNTIF(A$4:A$203,A97)=1,F97&lt;&gt;"",G97&lt;&gt;"",D97&lt;&gt;"",P97&lt;&gt;"",COUNTIF(13_Источники!$A$4:$A$203,P97)=1,OR(G97="NET",G97="GROSS",AND(G97="OTHER",H97&lt;&gt;""))),"READY","INCOMPLETE / ID"))</f>
        <v/>
      </c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 t="str">
        <f aca="false">IF(A98="","",IF(AND(COUNTIF(A$4:A$203,A98)=1,F98&lt;&gt;"",G98&lt;&gt;"",D98&lt;&gt;"",P98&lt;&gt;"",COUNTIF(13_Источники!$A$4:$A$203,P98)=1,OR(G98="NET",G98="GROSS",AND(G98="OTHER",H98&lt;&gt;""))),"READY","INCOMPLETE / ID"))</f>
        <v/>
      </c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 t="str">
        <f aca="false">IF(A99="","",IF(AND(COUNTIF(A$4:A$203,A99)=1,F99&lt;&gt;"",G99&lt;&gt;"",D99&lt;&gt;"",P99&lt;&gt;"",COUNTIF(13_Источники!$A$4:$A$203,P99)=1,OR(G99="NET",G99="GROSS",AND(G99="OTHER",H99&lt;&gt;""))),"READY","INCOMPLETE / ID"))</f>
        <v/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 t="str">
        <f aca="false">IF(A100="","",IF(AND(COUNTIF(A$4:A$203,A100)=1,F100&lt;&gt;"",G100&lt;&gt;"",D100&lt;&gt;"",P100&lt;&gt;"",COUNTIF(13_Источники!$A$4:$A$203,P100)=1,OR(G100="NET",G100="GROSS",AND(G100="OTHER",H100&lt;&gt;""))),"READY","INCOMPLETE / ID"))</f>
        <v/>
      </c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 t="str">
        <f aca="false">IF(A101="","",IF(AND(COUNTIF(A$4:A$203,A101)=1,F101&lt;&gt;"",G101&lt;&gt;"",D101&lt;&gt;"",P101&lt;&gt;"",COUNTIF(13_Источники!$A$4:$A$203,P101)=1,OR(G101="NET",G101="GROSS",AND(G101="OTHER",H101&lt;&gt;""))),"READY","INCOMPLETE / ID"))</f>
        <v/>
      </c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 t="str">
        <f aca="false">IF(A102="","",IF(AND(COUNTIF(A$4:A$203,A102)=1,F102&lt;&gt;"",G102&lt;&gt;"",D102&lt;&gt;"",P102&lt;&gt;"",COUNTIF(13_Источники!$A$4:$A$203,P102)=1,OR(G102="NET",G102="GROSS",AND(G102="OTHER",H102&lt;&gt;""))),"READY","INCOMPLETE / ID"))</f>
        <v/>
      </c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 t="str">
        <f aca="false">IF(A103="","",IF(AND(COUNTIF(A$4:A$203,A103)=1,F103&lt;&gt;"",G103&lt;&gt;"",D103&lt;&gt;"",P103&lt;&gt;"",COUNTIF(13_Источники!$A$4:$A$203,P103)=1,OR(G103="NET",G103="GROSS",AND(G103="OTHER",H103&lt;&gt;""))),"READY","INCOMPLETE / ID"))</f>
        <v/>
      </c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 t="str">
        <f aca="false">IF(A104="","",IF(AND(COUNTIF(A$4:A$203,A104)=1,F104&lt;&gt;"",G104&lt;&gt;"",D104&lt;&gt;"",P104&lt;&gt;"",COUNTIF(13_Источники!$A$4:$A$203,P104)=1,OR(G104="NET",G104="GROSS",AND(G104="OTHER",H104&lt;&gt;""))),"READY","INCOMPLETE / ID"))</f>
        <v/>
      </c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 t="str">
        <f aca="false">IF(A105="","",IF(AND(COUNTIF(A$4:A$203,A105)=1,F105&lt;&gt;"",G105&lt;&gt;"",D105&lt;&gt;"",P105&lt;&gt;"",COUNTIF(13_Источники!$A$4:$A$203,P105)=1,OR(G105="NET",G105="GROSS",AND(G105="OTHER",H105&lt;&gt;""))),"READY","INCOMPLETE / ID"))</f>
        <v/>
      </c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 t="str">
        <f aca="false">IF(A106="","",IF(AND(COUNTIF(A$4:A$203,A106)=1,F106&lt;&gt;"",G106&lt;&gt;"",D106&lt;&gt;"",P106&lt;&gt;"",COUNTIF(13_Источники!$A$4:$A$203,P106)=1,OR(G106="NET",G106="GROSS",AND(G106="OTHER",H106&lt;&gt;""))),"READY","INCOMPLETE / ID"))</f>
        <v/>
      </c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 t="str">
        <f aca="false">IF(A107="","",IF(AND(COUNTIF(A$4:A$203,A107)=1,F107&lt;&gt;"",G107&lt;&gt;"",D107&lt;&gt;"",P107&lt;&gt;"",COUNTIF(13_Источники!$A$4:$A$203,P107)=1,OR(G107="NET",G107="GROSS",AND(G107="OTHER",H107&lt;&gt;""))),"READY","INCOMPLETE / ID"))</f>
        <v/>
      </c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 t="str">
        <f aca="false">IF(A108="","",IF(AND(COUNTIF(A$4:A$203,A108)=1,F108&lt;&gt;"",G108&lt;&gt;"",D108&lt;&gt;"",P108&lt;&gt;"",COUNTIF(13_Источники!$A$4:$A$203,P108)=1,OR(G108="NET",G108="GROSS",AND(G108="OTHER",H108&lt;&gt;""))),"READY","INCOMPLETE / ID"))</f>
        <v/>
      </c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 t="str">
        <f aca="false">IF(A109="","",IF(AND(COUNTIF(A$4:A$203,A109)=1,F109&lt;&gt;"",G109&lt;&gt;"",D109&lt;&gt;"",P109&lt;&gt;"",COUNTIF(13_Источники!$A$4:$A$203,P109)=1,OR(G109="NET",G109="GROSS",AND(G109="OTHER",H109&lt;&gt;""))),"READY","INCOMPLETE / ID"))</f>
        <v/>
      </c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 t="str">
        <f aca="false">IF(A110="","",IF(AND(COUNTIF(A$4:A$203,A110)=1,F110&lt;&gt;"",G110&lt;&gt;"",D110&lt;&gt;"",P110&lt;&gt;"",COUNTIF(13_Источники!$A$4:$A$203,P110)=1,OR(G110="NET",G110="GROSS",AND(G110="OTHER",H110&lt;&gt;""))),"READY","INCOMPLETE / ID"))</f>
        <v/>
      </c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 t="str">
        <f aca="false">IF(A111="","",IF(AND(COUNTIF(A$4:A$203,A111)=1,F111&lt;&gt;"",G111&lt;&gt;"",D111&lt;&gt;"",P111&lt;&gt;"",COUNTIF(13_Источники!$A$4:$A$203,P111)=1,OR(G111="NET",G111="GROSS",AND(G111="OTHER",H111&lt;&gt;""))),"READY","INCOMPLETE / ID"))</f>
        <v/>
      </c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 t="str">
        <f aca="false">IF(A112="","",IF(AND(COUNTIF(A$4:A$203,A112)=1,F112&lt;&gt;"",G112&lt;&gt;"",D112&lt;&gt;"",P112&lt;&gt;"",COUNTIF(13_Источники!$A$4:$A$203,P112)=1,OR(G112="NET",G112="GROSS",AND(G112="OTHER",H112&lt;&gt;""))),"READY","INCOMPLETE / ID"))</f>
        <v/>
      </c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 t="str">
        <f aca="false">IF(A113="","",IF(AND(COUNTIF(A$4:A$203,A113)=1,F113&lt;&gt;"",G113&lt;&gt;"",D113&lt;&gt;"",P113&lt;&gt;"",COUNTIF(13_Источники!$A$4:$A$203,P113)=1,OR(G113="NET",G113="GROSS",AND(G113="OTHER",H113&lt;&gt;""))),"READY","INCOMPLETE / ID"))</f>
        <v/>
      </c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 t="str">
        <f aca="false">IF(A114="","",IF(AND(COUNTIF(A$4:A$203,A114)=1,F114&lt;&gt;"",G114&lt;&gt;"",D114&lt;&gt;"",P114&lt;&gt;"",COUNTIF(13_Источники!$A$4:$A$203,P114)=1,OR(G114="NET",G114="GROSS",AND(G114="OTHER",H114&lt;&gt;""))),"READY","INCOMPLETE / ID"))</f>
        <v/>
      </c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 t="str">
        <f aca="false">IF(A115="","",IF(AND(COUNTIF(A$4:A$203,A115)=1,F115&lt;&gt;"",G115&lt;&gt;"",D115&lt;&gt;"",P115&lt;&gt;"",COUNTIF(13_Источники!$A$4:$A$203,P115)=1,OR(G115="NET",G115="GROSS",AND(G115="OTHER",H115&lt;&gt;""))),"READY","INCOMPLETE / ID"))</f>
        <v/>
      </c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 t="str">
        <f aca="false">IF(A116="","",IF(AND(COUNTIF(A$4:A$203,A116)=1,F116&lt;&gt;"",G116&lt;&gt;"",D116&lt;&gt;"",P116&lt;&gt;"",COUNTIF(13_Источники!$A$4:$A$203,P116)=1,OR(G116="NET",G116="GROSS",AND(G116="OTHER",H116&lt;&gt;""))),"READY","INCOMPLETE / ID"))</f>
        <v/>
      </c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 t="str">
        <f aca="false">IF(A117="","",IF(AND(COUNTIF(A$4:A$203,A117)=1,F117&lt;&gt;"",G117&lt;&gt;"",D117&lt;&gt;"",P117&lt;&gt;"",COUNTIF(13_Источники!$A$4:$A$203,P117)=1,OR(G117="NET",G117="GROSS",AND(G117="OTHER",H117&lt;&gt;""))),"READY","INCOMPLETE / ID"))</f>
        <v/>
      </c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 t="str">
        <f aca="false">IF(A118="","",IF(AND(COUNTIF(A$4:A$203,A118)=1,F118&lt;&gt;"",G118&lt;&gt;"",D118&lt;&gt;"",P118&lt;&gt;"",COUNTIF(13_Источники!$A$4:$A$203,P118)=1,OR(G118="NET",G118="GROSS",AND(G118="OTHER",H118&lt;&gt;""))),"READY","INCOMPLETE / ID"))</f>
        <v/>
      </c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 t="str">
        <f aca="false">IF(A119="","",IF(AND(COUNTIF(A$4:A$203,A119)=1,F119&lt;&gt;"",G119&lt;&gt;"",D119&lt;&gt;"",P119&lt;&gt;"",COUNTIF(13_Источники!$A$4:$A$203,P119)=1,OR(G119="NET",G119="GROSS",AND(G119="OTHER",H119&lt;&gt;""))),"READY","INCOMPLETE / ID"))</f>
        <v/>
      </c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 t="str">
        <f aca="false">IF(A120="","",IF(AND(COUNTIF(A$4:A$203,A120)=1,F120&lt;&gt;"",G120&lt;&gt;"",D120&lt;&gt;"",P120&lt;&gt;"",COUNTIF(13_Источники!$A$4:$A$203,P120)=1,OR(G120="NET",G120="GROSS",AND(G120="OTHER",H120&lt;&gt;""))),"READY","INCOMPLETE / ID"))</f>
        <v/>
      </c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 t="str">
        <f aca="false">IF(A121="","",IF(AND(COUNTIF(A$4:A$203,A121)=1,F121&lt;&gt;"",G121&lt;&gt;"",D121&lt;&gt;"",P121&lt;&gt;"",COUNTIF(13_Источники!$A$4:$A$203,P121)=1,OR(G121="NET",G121="GROSS",AND(G121="OTHER",H121&lt;&gt;""))),"READY","INCOMPLETE / ID"))</f>
        <v/>
      </c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 t="str">
        <f aca="false">IF(A122="","",IF(AND(COUNTIF(A$4:A$203,A122)=1,F122&lt;&gt;"",G122&lt;&gt;"",D122&lt;&gt;"",P122&lt;&gt;"",COUNTIF(13_Источники!$A$4:$A$203,P122)=1,OR(G122="NET",G122="GROSS",AND(G122="OTHER",H122&lt;&gt;""))),"READY","INCOMPLETE / ID"))</f>
        <v/>
      </c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 t="str">
        <f aca="false">IF(A123="","",IF(AND(COUNTIF(A$4:A$203,A123)=1,F123&lt;&gt;"",G123&lt;&gt;"",D123&lt;&gt;"",P123&lt;&gt;"",COUNTIF(13_Источники!$A$4:$A$203,P123)=1,OR(G123="NET",G123="GROSS",AND(G123="OTHER",H123&lt;&gt;""))),"READY","INCOMPLETE / ID"))</f>
        <v/>
      </c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 t="str">
        <f aca="false">IF(A124="","",IF(AND(COUNTIF(A$4:A$203,A124)=1,F124&lt;&gt;"",G124&lt;&gt;"",D124&lt;&gt;"",P124&lt;&gt;"",COUNTIF(13_Источники!$A$4:$A$203,P124)=1,OR(G124="NET",G124="GROSS",AND(G124="OTHER",H124&lt;&gt;""))),"READY","INCOMPLETE / ID"))</f>
        <v/>
      </c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 t="str">
        <f aca="false">IF(A125="","",IF(AND(COUNTIF(A$4:A$203,A125)=1,F125&lt;&gt;"",G125&lt;&gt;"",D125&lt;&gt;"",P125&lt;&gt;"",COUNTIF(13_Источники!$A$4:$A$203,P125)=1,OR(G125="NET",G125="GROSS",AND(G125="OTHER",H125&lt;&gt;""))),"READY","INCOMPLETE / ID"))</f>
        <v/>
      </c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 t="str">
        <f aca="false">IF(A126="","",IF(AND(COUNTIF(A$4:A$203,A126)=1,F126&lt;&gt;"",G126&lt;&gt;"",D126&lt;&gt;"",P126&lt;&gt;"",COUNTIF(13_Источники!$A$4:$A$203,P126)=1,OR(G126="NET",G126="GROSS",AND(G126="OTHER",H126&lt;&gt;""))),"READY","INCOMPLETE / ID"))</f>
        <v/>
      </c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 t="str">
        <f aca="false">IF(A127="","",IF(AND(COUNTIF(A$4:A$203,A127)=1,F127&lt;&gt;"",G127&lt;&gt;"",D127&lt;&gt;"",P127&lt;&gt;"",COUNTIF(13_Источники!$A$4:$A$203,P127)=1,OR(G127="NET",G127="GROSS",AND(G127="OTHER",H127&lt;&gt;""))),"READY","INCOMPLETE / ID"))</f>
        <v/>
      </c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 t="str">
        <f aca="false">IF(A128="","",IF(AND(COUNTIF(A$4:A$203,A128)=1,F128&lt;&gt;"",G128&lt;&gt;"",D128&lt;&gt;"",P128&lt;&gt;"",COUNTIF(13_Источники!$A$4:$A$203,P128)=1,OR(G128="NET",G128="GROSS",AND(G128="OTHER",H128&lt;&gt;""))),"READY","INCOMPLETE / ID"))</f>
        <v/>
      </c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 t="str">
        <f aca="false">IF(A129="","",IF(AND(COUNTIF(A$4:A$203,A129)=1,F129&lt;&gt;"",G129&lt;&gt;"",D129&lt;&gt;"",P129&lt;&gt;"",COUNTIF(13_Источники!$A$4:$A$203,P129)=1,OR(G129="NET",G129="GROSS",AND(G129="OTHER",H129&lt;&gt;""))),"READY","INCOMPLETE / ID"))</f>
        <v/>
      </c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 t="str">
        <f aca="false">IF(A130="","",IF(AND(COUNTIF(A$4:A$203,A130)=1,F130&lt;&gt;"",G130&lt;&gt;"",D130&lt;&gt;"",P130&lt;&gt;"",COUNTIF(13_Источники!$A$4:$A$203,P130)=1,OR(G130="NET",G130="GROSS",AND(G130="OTHER",H130&lt;&gt;""))),"READY","INCOMPLETE / ID"))</f>
        <v/>
      </c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 t="str">
        <f aca="false">IF(A131="","",IF(AND(COUNTIF(A$4:A$203,A131)=1,F131&lt;&gt;"",G131&lt;&gt;"",D131&lt;&gt;"",P131&lt;&gt;"",COUNTIF(13_Источники!$A$4:$A$203,P131)=1,OR(G131="NET",G131="GROSS",AND(G131="OTHER",H131&lt;&gt;""))),"READY","INCOMPLETE / ID"))</f>
        <v/>
      </c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 t="str">
        <f aca="false">IF(A132="","",IF(AND(COUNTIF(A$4:A$203,A132)=1,F132&lt;&gt;"",G132&lt;&gt;"",D132&lt;&gt;"",P132&lt;&gt;"",COUNTIF(13_Источники!$A$4:$A$203,P132)=1,OR(G132="NET",G132="GROSS",AND(G132="OTHER",H132&lt;&gt;""))),"READY","INCOMPLETE / ID"))</f>
        <v/>
      </c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 t="str">
        <f aca="false">IF(A133="","",IF(AND(COUNTIF(A$4:A$203,A133)=1,F133&lt;&gt;"",G133&lt;&gt;"",D133&lt;&gt;"",P133&lt;&gt;"",COUNTIF(13_Источники!$A$4:$A$203,P133)=1,OR(G133="NET",G133="GROSS",AND(G133="OTHER",H133&lt;&gt;""))),"READY","INCOMPLETE / ID"))</f>
        <v/>
      </c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 t="str">
        <f aca="false">IF(A134="","",IF(AND(COUNTIF(A$4:A$203,A134)=1,F134&lt;&gt;"",G134&lt;&gt;"",D134&lt;&gt;"",P134&lt;&gt;"",COUNTIF(13_Источники!$A$4:$A$203,P134)=1,OR(G134="NET",G134="GROSS",AND(G134="OTHER",H134&lt;&gt;""))),"READY","INCOMPLETE / ID"))</f>
        <v/>
      </c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 t="str">
        <f aca="false">IF(A135="","",IF(AND(COUNTIF(A$4:A$203,A135)=1,F135&lt;&gt;"",G135&lt;&gt;"",D135&lt;&gt;"",P135&lt;&gt;"",COUNTIF(13_Источники!$A$4:$A$203,P135)=1,OR(G135="NET",G135="GROSS",AND(G135="OTHER",H135&lt;&gt;""))),"READY","INCOMPLETE / ID"))</f>
        <v/>
      </c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 t="str">
        <f aca="false">IF(A136="","",IF(AND(COUNTIF(A$4:A$203,A136)=1,F136&lt;&gt;"",G136&lt;&gt;"",D136&lt;&gt;"",P136&lt;&gt;"",COUNTIF(13_Источники!$A$4:$A$203,P136)=1,OR(G136="NET",G136="GROSS",AND(G136="OTHER",H136&lt;&gt;""))),"READY","INCOMPLETE / ID"))</f>
        <v/>
      </c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 t="str">
        <f aca="false">IF(A137="","",IF(AND(COUNTIF(A$4:A$203,A137)=1,F137&lt;&gt;"",G137&lt;&gt;"",D137&lt;&gt;"",P137&lt;&gt;"",COUNTIF(13_Источники!$A$4:$A$203,P137)=1,OR(G137="NET",G137="GROSS",AND(G137="OTHER",H137&lt;&gt;""))),"READY","INCOMPLETE / ID"))</f>
        <v/>
      </c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 t="str">
        <f aca="false">IF(A138="","",IF(AND(COUNTIF(A$4:A$203,A138)=1,F138&lt;&gt;"",G138&lt;&gt;"",D138&lt;&gt;"",P138&lt;&gt;"",COUNTIF(13_Источники!$A$4:$A$203,P138)=1,OR(G138="NET",G138="GROSS",AND(G138="OTHER",H138&lt;&gt;""))),"READY","INCOMPLETE / ID"))</f>
        <v/>
      </c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 t="str">
        <f aca="false">IF(A139="","",IF(AND(COUNTIF(A$4:A$203,A139)=1,F139&lt;&gt;"",G139&lt;&gt;"",D139&lt;&gt;"",P139&lt;&gt;"",COUNTIF(13_Источники!$A$4:$A$203,P139)=1,OR(G139="NET",G139="GROSS",AND(G139="OTHER",H139&lt;&gt;""))),"READY","INCOMPLETE / ID"))</f>
        <v/>
      </c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 t="str">
        <f aca="false">IF(A140="","",IF(AND(COUNTIF(A$4:A$203,A140)=1,F140&lt;&gt;"",G140&lt;&gt;"",D140&lt;&gt;"",P140&lt;&gt;"",COUNTIF(13_Источники!$A$4:$A$203,P140)=1,OR(G140="NET",G140="GROSS",AND(G140="OTHER",H140&lt;&gt;""))),"READY","INCOMPLETE / ID"))</f>
        <v/>
      </c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 t="str">
        <f aca="false">IF(A141="","",IF(AND(COUNTIF(A$4:A$203,A141)=1,F141&lt;&gt;"",G141&lt;&gt;"",D141&lt;&gt;"",P141&lt;&gt;"",COUNTIF(13_Источники!$A$4:$A$203,P141)=1,OR(G141="NET",G141="GROSS",AND(G141="OTHER",H141&lt;&gt;""))),"READY","INCOMPLETE / ID"))</f>
        <v/>
      </c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 t="str">
        <f aca="false">IF(A142="","",IF(AND(COUNTIF(A$4:A$203,A142)=1,F142&lt;&gt;"",G142&lt;&gt;"",D142&lt;&gt;"",P142&lt;&gt;"",COUNTIF(13_Источники!$A$4:$A$203,P142)=1,OR(G142="NET",G142="GROSS",AND(G142="OTHER",H142&lt;&gt;""))),"READY","INCOMPLETE / ID"))</f>
        <v/>
      </c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 t="str">
        <f aca="false">IF(A143="","",IF(AND(COUNTIF(A$4:A$203,A143)=1,F143&lt;&gt;"",G143&lt;&gt;"",D143&lt;&gt;"",P143&lt;&gt;"",COUNTIF(13_Источники!$A$4:$A$203,P143)=1,OR(G143="NET",G143="GROSS",AND(G143="OTHER",H143&lt;&gt;""))),"READY","INCOMPLETE / ID"))</f>
        <v/>
      </c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 t="str">
        <f aca="false">IF(A144="","",IF(AND(COUNTIF(A$4:A$203,A144)=1,F144&lt;&gt;"",G144&lt;&gt;"",D144&lt;&gt;"",P144&lt;&gt;"",COUNTIF(13_Источники!$A$4:$A$203,P144)=1,OR(G144="NET",G144="GROSS",AND(G144="OTHER",H144&lt;&gt;""))),"READY","INCOMPLETE / ID"))</f>
        <v/>
      </c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 t="str">
        <f aca="false">IF(A145="","",IF(AND(COUNTIF(A$4:A$203,A145)=1,F145&lt;&gt;"",G145&lt;&gt;"",D145&lt;&gt;"",P145&lt;&gt;"",COUNTIF(13_Источники!$A$4:$A$203,P145)=1,OR(G145="NET",G145="GROSS",AND(G145="OTHER",H145&lt;&gt;""))),"READY","INCOMPLETE / ID"))</f>
        <v/>
      </c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 t="str">
        <f aca="false">IF(A146="","",IF(AND(COUNTIF(A$4:A$203,A146)=1,F146&lt;&gt;"",G146&lt;&gt;"",D146&lt;&gt;"",P146&lt;&gt;"",COUNTIF(13_Источники!$A$4:$A$203,P146)=1,OR(G146="NET",G146="GROSS",AND(G146="OTHER",H146&lt;&gt;""))),"READY","INCOMPLETE / ID"))</f>
        <v/>
      </c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5" t="str">
        <f aca="false">IF(A147="","",IF(AND(COUNTIF(A$4:A$203,A147)=1,F147&lt;&gt;"",G147&lt;&gt;"",D147&lt;&gt;"",P147&lt;&gt;"",COUNTIF(13_Источники!$A$4:$A$203,P147)=1,OR(G147="NET",G147="GROSS",AND(G147="OTHER",H147&lt;&gt;""))),"READY","INCOMPLETE / ID"))</f>
        <v/>
      </c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 t="str">
        <f aca="false">IF(A148="","",IF(AND(COUNTIF(A$4:A$203,A148)=1,F148&lt;&gt;"",G148&lt;&gt;"",D148&lt;&gt;"",P148&lt;&gt;"",COUNTIF(13_Источники!$A$4:$A$203,P148)=1,OR(G148="NET",G148="GROSS",AND(G148="OTHER",H148&lt;&gt;""))),"READY","INCOMPLETE / ID"))</f>
        <v/>
      </c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5" t="str">
        <f aca="false">IF(A149="","",IF(AND(COUNTIF(A$4:A$203,A149)=1,F149&lt;&gt;"",G149&lt;&gt;"",D149&lt;&gt;"",P149&lt;&gt;"",COUNTIF(13_Источники!$A$4:$A$203,P149)=1,OR(G149="NET",G149="GROSS",AND(G149="OTHER",H149&lt;&gt;""))),"READY","INCOMPLETE / ID"))</f>
        <v/>
      </c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 t="str">
        <f aca="false">IF(A150="","",IF(AND(COUNTIF(A$4:A$203,A150)=1,F150&lt;&gt;"",G150&lt;&gt;"",D150&lt;&gt;"",P150&lt;&gt;"",COUNTIF(13_Источники!$A$4:$A$203,P150)=1,OR(G150="NET",G150="GROSS",AND(G150="OTHER",H150&lt;&gt;""))),"READY","INCOMPLETE / ID"))</f>
        <v/>
      </c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5" t="str">
        <f aca="false">IF(A151="","",IF(AND(COUNTIF(A$4:A$203,A151)=1,F151&lt;&gt;"",G151&lt;&gt;"",D151&lt;&gt;"",P151&lt;&gt;"",COUNTIF(13_Источники!$A$4:$A$203,P151)=1,OR(G151="NET",G151="GROSS",AND(G151="OTHER",H151&lt;&gt;""))),"READY","INCOMPLETE / ID"))</f>
        <v/>
      </c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5" t="str">
        <f aca="false">IF(A152="","",IF(AND(COUNTIF(A$4:A$203,A152)=1,F152&lt;&gt;"",G152&lt;&gt;"",D152&lt;&gt;"",P152&lt;&gt;"",COUNTIF(13_Источники!$A$4:$A$203,P152)=1,OR(G152="NET",G152="GROSS",AND(G152="OTHER",H152&lt;&gt;""))),"READY","INCOMPLETE / ID"))</f>
        <v/>
      </c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 t="str">
        <f aca="false">IF(A153="","",IF(AND(COUNTIF(A$4:A$203,A153)=1,F153&lt;&gt;"",G153&lt;&gt;"",D153&lt;&gt;"",P153&lt;&gt;"",COUNTIF(13_Источники!$A$4:$A$203,P153)=1,OR(G153="NET",G153="GROSS",AND(G153="OTHER",H153&lt;&gt;""))),"READY","INCOMPLETE / ID"))</f>
        <v/>
      </c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 t="str">
        <f aca="false">IF(A154="","",IF(AND(COUNTIF(A$4:A$203,A154)=1,F154&lt;&gt;"",G154&lt;&gt;"",D154&lt;&gt;"",P154&lt;&gt;"",COUNTIF(13_Источники!$A$4:$A$203,P154)=1,OR(G154="NET",G154="GROSS",AND(G154="OTHER",H154&lt;&gt;""))),"READY","INCOMPLETE / ID"))</f>
        <v/>
      </c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 t="str">
        <f aca="false">IF(A155="","",IF(AND(COUNTIF(A$4:A$203,A155)=1,F155&lt;&gt;"",G155&lt;&gt;"",D155&lt;&gt;"",P155&lt;&gt;"",COUNTIF(13_Источники!$A$4:$A$203,P155)=1,OR(G155="NET",G155="GROSS",AND(G155="OTHER",H155&lt;&gt;""))),"READY","INCOMPLETE / ID"))</f>
        <v/>
      </c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 t="str">
        <f aca="false">IF(A156="","",IF(AND(COUNTIF(A$4:A$203,A156)=1,F156&lt;&gt;"",G156&lt;&gt;"",D156&lt;&gt;"",P156&lt;&gt;"",COUNTIF(13_Источники!$A$4:$A$203,P156)=1,OR(G156="NET",G156="GROSS",AND(G156="OTHER",H156&lt;&gt;""))),"READY","INCOMPLETE / ID"))</f>
        <v/>
      </c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 t="str">
        <f aca="false">IF(A157="","",IF(AND(COUNTIF(A$4:A$203,A157)=1,F157&lt;&gt;"",G157&lt;&gt;"",D157&lt;&gt;"",P157&lt;&gt;"",COUNTIF(13_Источники!$A$4:$A$203,P157)=1,OR(G157="NET",G157="GROSS",AND(G157="OTHER",H157&lt;&gt;""))),"READY","INCOMPLETE / ID"))</f>
        <v/>
      </c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 t="str">
        <f aca="false">IF(A158="","",IF(AND(COUNTIF(A$4:A$203,A158)=1,F158&lt;&gt;"",G158&lt;&gt;"",D158&lt;&gt;"",P158&lt;&gt;"",COUNTIF(13_Источники!$A$4:$A$203,P158)=1,OR(G158="NET",G158="GROSS",AND(G158="OTHER",H158&lt;&gt;""))),"READY","INCOMPLETE / ID"))</f>
        <v/>
      </c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 t="str">
        <f aca="false">IF(A159="","",IF(AND(COUNTIF(A$4:A$203,A159)=1,F159&lt;&gt;"",G159&lt;&gt;"",D159&lt;&gt;"",P159&lt;&gt;"",COUNTIF(13_Источники!$A$4:$A$203,P159)=1,OR(G159="NET",G159="GROSS",AND(G159="OTHER",H159&lt;&gt;""))),"READY","INCOMPLETE / ID"))</f>
        <v/>
      </c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 t="str">
        <f aca="false">IF(A160="","",IF(AND(COUNTIF(A$4:A$203,A160)=1,F160&lt;&gt;"",G160&lt;&gt;"",D160&lt;&gt;"",P160&lt;&gt;"",COUNTIF(13_Источники!$A$4:$A$203,P160)=1,OR(G160="NET",G160="GROSS",AND(G160="OTHER",H160&lt;&gt;""))),"READY","INCOMPLETE / ID"))</f>
        <v/>
      </c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 t="str">
        <f aca="false">IF(A161="","",IF(AND(COUNTIF(A$4:A$203,A161)=1,F161&lt;&gt;"",G161&lt;&gt;"",D161&lt;&gt;"",P161&lt;&gt;"",COUNTIF(13_Источники!$A$4:$A$203,P161)=1,OR(G161="NET",G161="GROSS",AND(G161="OTHER",H161&lt;&gt;""))),"READY","INCOMPLETE / ID"))</f>
        <v/>
      </c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 t="str">
        <f aca="false">IF(A162="","",IF(AND(COUNTIF(A$4:A$203,A162)=1,F162&lt;&gt;"",G162&lt;&gt;"",D162&lt;&gt;"",P162&lt;&gt;"",COUNTIF(13_Источники!$A$4:$A$203,P162)=1,OR(G162="NET",G162="GROSS",AND(G162="OTHER",H162&lt;&gt;""))),"READY","INCOMPLETE / ID"))</f>
        <v/>
      </c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 t="str">
        <f aca="false">IF(A163="","",IF(AND(COUNTIF(A$4:A$203,A163)=1,F163&lt;&gt;"",G163&lt;&gt;"",D163&lt;&gt;"",P163&lt;&gt;"",COUNTIF(13_Источники!$A$4:$A$203,P163)=1,OR(G163="NET",G163="GROSS",AND(G163="OTHER",H163&lt;&gt;""))),"READY","INCOMPLETE / ID"))</f>
        <v/>
      </c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 t="str">
        <f aca="false">IF(A164="","",IF(AND(COUNTIF(A$4:A$203,A164)=1,F164&lt;&gt;"",G164&lt;&gt;"",D164&lt;&gt;"",P164&lt;&gt;"",COUNTIF(13_Источники!$A$4:$A$203,P164)=1,OR(G164="NET",G164="GROSS",AND(G164="OTHER",H164&lt;&gt;""))),"READY","INCOMPLETE / ID"))</f>
        <v/>
      </c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 t="str">
        <f aca="false">IF(A165="","",IF(AND(COUNTIF(A$4:A$203,A165)=1,F165&lt;&gt;"",G165&lt;&gt;"",D165&lt;&gt;"",P165&lt;&gt;"",COUNTIF(13_Источники!$A$4:$A$203,P165)=1,OR(G165="NET",G165="GROSS",AND(G165="OTHER",H165&lt;&gt;""))),"READY","INCOMPLETE / ID"))</f>
        <v/>
      </c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 t="str">
        <f aca="false">IF(A166="","",IF(AND(COUNTIF(A$4:A$203,A166)=1,F166&lt;&gt;"",G166&lt;&gt;"",D166&lt;&gt;"",P166&lt;&gt;"",COUNTIF(13_Источники!$A$4:$A$203,P166)=1,OR(G166="NET",G166="GROSS",AND(G166="OTHER",H166&lt;&gt;""))),"READY","INCOMPLETE / ID"))</f>
        <v/>
      </c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 t="str">
        <f aca="false">IF(A167="","",IF(AND(COUNTIF(A$4:A$203,A167)=1,F167&lt;&gt;"",G167&lt;&gt;"",D167&lt;&gt;"",P167&lt;&gt;"",COUNTIF(13_Источники!$A$4:$A$203,P167)=1,OR(G167="NET",G167="GROSS",AND(G167="OTHER",H167&lt;&gt;""))),"READY","INCOMPLETE / ID"))</f>
        <v/>
      </c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 t="str">
        <f aca="false">IF(A168="","",IF(AND(COUNTIF(A$4:A$203,A168)=1,F168&lt;&gt;"",G168&lt;&gt;"",D168&lt;&gt;"",P168&lt;&gt;"",COUNTIF(13_Источники!$A$4:$A$203,P168)=1,OR(G168="NET",G168="GROSS",AND(G168="OTHER",H168&lt;&gt;""))),"READY","INCOMPLETE / ID"))</f>
        <v/>
      </c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 t="str">
        <f aca="false">IF(A169="","",IF(AND(COUNTIF(A$4:A$203,A169)=1,F169&lt;&gt;"",G169&lt;&gt;"",D169&lt;&gt;"",P169&lt;&gt;"",COUNTIF(13_Источники!$A$4:$A$203,P169)=1,OR(G169="NET",G169="GROSS",AND(G169="OTHER",H169&lt;&gt;""))),"READY","INCOMPLETE / ID"))</f>
        <v/>
      </c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 t="str">
        <f aca="false">IF(A170="","",IF(AND(COUNTIF(A$4:A$203,A170)=1,F170&lt;&gt;"",G170&lt;&gt;"",D170&lt;&gt;"",P170&lt;&gt;"",COUNTIF(13_Источники!$A$4:$A$203,P170)=1,OR(G170="NET",G170="GROSS",AND(G170="OTHER",H170&lt;&gt;""))),"READY","INCOMPLETE / ID"))</f>
        <v/>
      </c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 t="str">
        <f aca="false">IF(A171="","",IF(AND(COUNTIF(A$4:A$203,A171)=1,F171&lt;&gt;"",G171&lt;&gt;"",D171&lt;&gt;"",P171&lt;&gt;"",COUNTIF(13_Источники!$A$4:$A$203,P171)=1,OR(G171="NET",G171="GROSS",AND(G171="OTHER",H171&lt;&gt;""))),"READY","INCOMPLETE / ID"))</f>
        <v/>
      </c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 t="str">
        <f aca="false">IF(A172="","",IF(AND(COUNTIF(A$4:A$203,A172)=1,F172&lt;&gt;"",G172&lt;&gt;"",D172&lt;&gt;"",P172&lt;&gt;"",COUNTIF(13_Источники!$A$4:$A$203,P172)=1,OR(G172="NET",G172="GROSS",AND(G172="OTHER",H172&lt;&gt;""))),"READY","INCOMPLETE / ID"))</f>
        <v/>
      </c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 t="str">
        <f aca="false">IF(A173="","",IF(AND(COUNTIF(A$4:A$203,A173)=1,F173&lt;&gt;"",G173&lt;&gt;"",D173&lt;&gt;"",P173&lt;&gt;"",COUNTIF(13_Источники!$A$4:$A$203,P173)=1,OR(G173="NET",G173="GROSS",AND(G173="OTHER",H173&lt;&gt;""))),"READY","INCOMPLETE / ID"))</f>
        <v/>
      </c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 t="str">
        <f aca="false">IF(A174="","",IF(AND(COUNTIF(A$4:A$203,A174)=1,F174&lt;&gt;"",G174&lt;&gt;"",D174&lt;&gt;"",P174&lt;&gt;"",COUNTIF(13_Источники!$A$4:$A$203,P174)=1,OR(G174="NET",G174="GROSS",AND(G174="OTHER",H174&lt;&gt;""))),"READY","INCOMPLETE / ID"))</f>
        <v/>
      </c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 t="str">
        <f aca="false">IF(A175="","",IF(AND(COUNTIF(A$4:A$203,A175)=1,F175&lt;&gt;"",G175&lt;&gt;"",D175&lt;&gt;"",P175&lt;&gt;"",COUNTIF(13_Источники!$A$4:$A$203,P175)=1,OR(G175="NET",G175="GROSS",AND(G175="OTHER",H175&lt;&gt;""))),"READY","INCOMPLETE / ID"))</f>
        <v/>
      </c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 t="str">
        <f aca="false">IF(A176="","",IF(AND(COUNTIF(A$4:A$203,A176)=1,F176&lt;&gt;"",G176&lt;&gt;"",D176&lt;&gt;"",P176&lt;&gt;"",COUNTIF(13_Источники!$A$4:$A$203,P176)=1,OR(G176="NET",G176="GROSS",AND(G176="OTHER",H176&lt;&gt;""))),"READY","INCOMPLETE / ID"))</f>
        <v/>
      </c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5" t="str">
        <f aca="false">IF(A177="","",IF(AND(COUNTIF(A$4:A$203,A177)=1,F177&lt;&gt;"",G177&lt;&gt;"",D177&lt;&gt;"",P177&lt;&gt;"",COUNTIF(13_Источники!$A$4:$A$203,P177)=1,OR(G177="NET",G177="GROSS",AND(G177="OTHER",H177&lt;&gt;""))),"READY","INCOMPLETE / ID"))</f>
        <v/>
      </c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5" t="str">
        <f aca="false">IF(A178="","",IF(AND(COUNTIF(A$4:A$203,A178)=1,F178&lt;&gt;"",G178&lt;&gt;"",D178&lt;&gt;"",P178&lt;&gt;"",COUNTIF(13_Источники!$A$4:$A$203,P178)=1,OR(G178="NET",G178="GROSS",AND(G178="OTHER",H178&lt;&gt;""))),"READY","INCOMPLETE / ID"))</f>
        <v/>
      </c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 t="str">
        <f aca="false">IF(A179="","",IF(AND(COUNTIF(A$4:A$203,A179)=1,F179&lt;&gt;"",G179&lt;&gt;"",D179&lt;&gt;"",P179&lt;&gt;"",COUNTIF(13_Источники!$A$4:$A$203,P179)=1,OR(G179="NET",G179="GROSS",AND(G179="OTHER",H179&lt;&gt;""))),"READY","INCOMPLETE / ID"))</f>
        <v/>
      </c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5" t="str">
        <f aca="false">IF(A180="","",IF(AND(COUNTIF(A$4:A$203,A180)=1,F180&lt;&gt;"",G180&lt;&gt;"",D180&lt;&gt;"",P180&lt;&gt;"",COUNTIF(13_Источники!$A$4:$A$203,P180)=1,OR(G180="NET",G180="GROSS",AND(G180="OTHER",H180&lt;&gt;""))),"READY","INCOMPLETE / ID"))</f>
        <v/>
      </c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 t="str">
        <f aca="false">IF(A181="","",IF(AND(COUNTIF(A$4:A$203,A181)=1,F181&lt;&gt;"",G181&lt;&gt;"",D181&lt;&gt;"",P181&lt;&gt;"",COUNTIF(13_Источники!$A$4:$A$203,P181)=1,OR(G181="NET",G181="GROSS",AND(G181="OTHER",H181&lt;&gt;""))),"READY","INCOMPLETE / ID"))</f>
        <v/>
      </c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 t="str">
        <f aca="false">IF(A182="","",IF(AND(COUNTIF(A$4:A$203,A182)=1,F182&lt;&gt;"",G182&lt;&gt;"",D182&lt;&gt;"",P182&lt;&gt;"",COUNTIF(13_Источники!$A$4:$A$203,P182)=1,OR(G182="NET",G182="GROSS",AND(G182="OTHER",H182&lt;&gt;""))),"READY","INCOMPLETE / ID"))</f>
        <v/>
      </c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 t="str">
        <f aca="false">IF(A183="","",IF(AND(COUNTIF(A$4:A$203,A183)=1,F183&lt;&gt;"",G183&lt;&gt;"",D183&lt;&gt;"",P183&lt;&gt;"",COUNTIF(13_Источники!$A$4:$A$203,P183)=1,OR(G183="NET",G183="GROSS",AND(G183="OTHER",H183&lt;&gt;""))),"READY","INCOMPLETE / ID"))</f>
        <v/>
      </c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5" t="str">
        <f aca="false">IF(A184="","",IF(AND(COUNTIF(A$4:A$203,A184)=1,F184&lt;&gt;"",G184&lt;&gt;"",D184&lt;&gt;"",P184&lt;&gt;"",COUNTIF(13_Источники!$A$4:$A$203,P184)=1,OR(G184="NET",G184="GROSS",AND(G184="OTHER",H184&lt;&gt;""))),"READY","INCOMPLETE / ID"))</f>
        <v/>
      </c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 t="str">
        <f aca="false">IF(A185="","",IF(AND(COUNTIF(A$4:A$203,A185)=1,F185&lt;&gt;"",G185&lt;&gt;"",D185&lt;&gt;"",P185&lt;&gt;"",COUNTIF(13_Источники!$A$4:$A$203,P185)=1,OR(G185="NET",G185="GROSS",AND(G185="OTHER",H185&lt;&gt;""))),"READY","INCOMPLETE / ID"))</f>
        <v/>
      </c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 t="str">
        <f aca="false">IF(A186="","",IF(AND(COUNTIF(A$4:A$203,A186)=1,F186&lt;&gt;"",G186&lt;&gt;"",D186&lt;&gt;"",P186&lt;&gt;"",COUNTIF(13_Источники!$A$4:$A$203,P186)=1,OR(G186="NET",G186="GROSS",AND(G186="OTHER",H186&lt;&gt;""))),"READY","INCOMPLETE / ID"))</f>
        <v/>
      </c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 t="str">
        <f aca="false">IF(A187="","",IF(AND(COUNTIF(A$4:A$203,A187)=1,F187&lt;&gt;"",G187&lt;&gt;"",D187&lt;&gt;"",P187&lt;&gt;"",COUNTIF(13_Источники!$A$4:$A$203,P187)=1,OR(G187="NET",G187="GROSS",AND(G187="OTHER",H187&lt;&gt;""))),"READY","INCOMPLETE / ID"))</f>
        <v/>
      </c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 t="str">
        <f aca="false">IF(A188="","",IF(AND(COUNTIF(A$4:A$203,A188)=1,F188&lt;&gt;"",G188&lt;&gt;"",D188&lt;&gt;"",P188&lt;&gt;"",COUNTIF(13_Источники!$A$4:$A$203,P188)=1,OR(G188="NET",G188="GROSS",AND(G188="OTHER",H188&lt;&gt;""))),"READY","INCOMPLETE / ID"))</f>
        <v/>
      </c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5" t="str">
        <f aca="false">IF(A189="","",IF(AND(COUNTIF(A$4:A$203,A189)=1,F189&lt;&gt;"",G189&lt;&gt;"",D189&lt;&gt;"",P189&lt;&gt;"",COUNTIF(13_Источники!$A$4:$A$203,P189)=1,OR(G189="NET",G189="GROSS",AND(G189="OTHER",H189&lt;&gt;""))),"READY","INCOMPLETE / ID"))</f>
        <v/>
      </c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5" t="str">
        <f aca="false">IF(A190="","",IF(AND(COUNTIF(A$4:A$203,A190)=1,F190&lt;&gt;"",G190&lt;&gt;"",D190&lt;&gt;"",P190&lt;&gt;"",COUNTIF(13_Источники!$A$4:$A$203,P190)=1,OR(G190="NET",G190="GROSS",AND(G190="OTHER",H190&lt;&gt;""))),"READY","INCOMPLETE / ID"))</f>
        <v/>
      </c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5" t="str">
        <f aca="false">IF(A191="","",IF(AND(COUNTIF(A$4:A$203,A191)=1,F191&lt;&gt;"",G191&lt;&gt;"",D191&lt;&gt;"",P191&lt;&gt;"",COUNTIF(13_Источники!$A$4:$A$203,P191)=1,OR(G191="NET",G191="GROSS",AND(G191="OTHER",H191&lt;&gt;""))),"READY","INCOMPLETE / ID"))</f>
        <v/>
      </c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 t="str">
        <f aca="false">IF(A192="","",IF(AND(COUNTIF(A$4:A$203,A192)=1,F192&lt;&gt;"",G192&lt;&gt;"",D192&lt;&gt;"",P192&lt;&gt;"",COUNTIF(13_Источники!$A$4:$A$203,P192)=1,OR(G192="NET",G192="GROSS",AND(G192="OTHER",H192&lt;&gt;""))),"READY","INCOMPLETE / ID"))</f>
        <v/>
      </c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 t="str">
        <f aca="false">IF(A193="","",IF(AND(COUNTIF(A$4:A$203,A193)=1,F193&lt;&gt;"",G193&lt;&gt;"",D193&lt;&gt;"",P193&lt;&gt;"",COUNTIF(13_Источники!$A$4:$A$203,P193)=1,OR(G193="NET",G193="GROSS",AND(G193="OTHER",H193&lt;&gt;""))),"READY","INCOMPLETE / ID"))</f>
        <v/>
      </c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5" t="str">
        <f aca="false">IF(A194="","",IF(AND(COUNTIF(A$4:A$203,A194)=1,F194&lt;&gt;"",G194&lt;&gt;"",D194&lt;&gt;"",P194&lt;&gt;"",COUNTIF(13_Источники!$A$4:$A$203,P194)=1,OR(G194="NET",G194="GROSS",AND(G194="OTHER",H194&lt;&gt;""))),"READY","INCOMPLETE / ID"))</f>
        <v/>
      </c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5" t="str">
        <f aca="false">IF(A195="","",IF(AND(COUNTIF(A$4:A$203,A195)=1,F195&lt;&gt;"",G195&lt;&gt;"",D195&lt;&gt;"",P195&lt;&gt;"",COUNTIF(13_Источники!$A$4:$A$203,P195)=1,OR(G195="NET",G195="GROSS",AND(G195="OTHER",H195&lt;&gt;""))),"READY","INCOMPLETE / ID"))</f>
        <v/>
      </c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5" t="str">
        <f aca="false">IF(A196="","",IF(AND(COUNTIF(A$4:A$203,A196)=1,F196&lt;&gt;"",G196&lt;&gt;"",D196&lt;&gt;"",P196&lt;&gt;"",COUNTIF(13_Источники!$A$4:$A$203,P196)=1,OR(G196="NET",G196="GROSS",AND(G196="OTHER",H196&lt;&gt;""))),"READY","INCOMPLETE / ID"))</f>
        <v/>
      </c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 t="str">
        <f aca="false">IF(A197="","",IF(AND(COUNTIF(A$4:A$203,A197)=1,F197&lt;&gt;"",G197&lt;&gt;"",D197&lt;&gt;"",P197&lt;&gt;"",COUNTIF(13_Источники!$A$4:$A$203,P197)=1,OR(G197="NET",G197="GROSS",AND(G197="OTHER",H197&lt;&gt;""))),"READY","INCOMPLETE / ID"))</f>
        <v/>
      </c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 t="str">
        <f aca="false">IF(A198="","",IF(AND(COUNTIF(A$4:A$203,A198)=1,F198&lt;&gt;"",G198&lt;&gt;"",D198&lt;&gt;"",P198&lt;&gt;"",COUNTIF(13_Источники!$A$4:$A$203,P198)=1,OR(G198="NET",G198="GROSS",AND(G198="OTHER",H198&lt;&gt;""))),"READY","INCOMPLETE / ID"))</f>
        <v/>
      </c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5" t="str">
        <f aca="false">IF(A199="","",IF(AND(COUNTIF(A$4:A$203,A199)=1,F199&lt;&gt;"",G199&lt;&gt;"",D199&lt;&gt;"",P199&lt;&gt;"",COUNTIF(13_Источники!$A$4:$A$203,P199)=1,OR(G199="NET",G199="GROSS",AND(G199="OTHER",H199&lt;&gt;""))),"READY","INCOMPLETE / ID"))</f>
        <v/>
      </c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 t="str">
        <f aca="false">IF(A200="","",IF(AND(COUNTIF(A$4:A$203,A200)=1,F200&lt;&gt;"",G200&lt;&gt;"",D200&lt;&gt;"",P200&lt;&gt;"",COUNTIF(13_Источники!$A$4:$A$203,P200)=1,OR(G200="NET",G200="GROSS",AND(G200="OTHER",H200&lt;&gt;""))),"READY","INCOMPLETE / ID"))</f>
        <v/>
      </c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 t="str">
        <f aca="false">IF(A201="","",IF(AND(COUNTIF(A$4:A$203,A201)=1,F201&lt;&gt;"",G201&lt;&gt;"",D201&lt;&gt;"",P201&lt;&gt;"",COUNTIF(13_Источники!$A$4:$A$203,P201)=1,OR(G201="NET",G201="GROSS",AND(G201="OTHER",H201&lt;&gt;""))),"READY","INCOMPLETE / ID"))</f>
        <v/>
      </c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 t="str">
        <f aca="false">IF(A202="","",IF(AND(COUNTIF(A$4:A$203,A202)=1,F202&lt;&gt;"",G202&lt;&gt;"",D202&lt;&gt;"",P202&lt;&gt;"",COUNTIF(13_Источники!$A$4:$A$203,P202)=1,OR(G202="NET",G202="GROSS",AND(G202="OTHER",H202&lt;&gt;""))),"READY","INCOMPLETE / ID"))</f>
        <v/>
      </c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5" t="str">
        <f aca="false">IF(A203="","",IF(AND(COUNTIF(A$4:A$203,A203)=1,F203&lt;&gt;"",G203&lt;&gt;"",D203&lt;&gt;"",P203&lt;&gt;"",COUNTIF(13_Источники!$A$4:$A$203,P203)=1,OR(G203="NET",G203="GROSS",AND(G203="OTHER",H203&lt;&gt;""))),"READY","INCOMPLETE / ID"))</f>
        <v/>
      </c>
    </row>
  </sheetData>
  <autoFilter ref="A3:T203"/>
  <mergeCells count="2">
    <mergeCell ref="A1:T1"/>
    <mergeCell ref="A2:T2"/>
  </mergeCells>
  <dataValidations count="4">
    <dataValidation allowBlank="true" error="Используйте значение из списка." errorStyle="stop" errorTitle="Выберите значение" operator="between" showDropDown="false" showErrorMessage="true" showInputMessage="false" sqref="G4:G203" type="list">
      <formula1>"NET,GROSS,OTHER"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R4:R203" type="list">
      <formula1>"PUBLIC,PRIVATE_LOCAL,RESTRICTED"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M4:M203" type="list">
      <formula1>"INCLUDED,EXCLUDED,UNKNOWN"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N4:N203" type="list">
      <formula1>"INCLUDED,EXCLUDED,UNKNOWN"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5" min="4" style="0" width="28"/>
  </cols>
  <sheetData>
    <row r="1" customFormat="false" ht="33.75" hidden="false" customHeight="true" outlineLevel="0" collapsed="false">
      <c r="A1" s="1" t="s">
        <v>515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8" hidden="false" customHeight="true" outlineLevel="0" collapsed="false">
      <c r="A3" s="3" t="s">
        <v>516</v>
      </c>
      <c r="B3" s="3" t="s">
        <v>496</v>
      </c>
      <c r="C3" s="3" t="s">
        <v>481</v>
      </c>
      <c r="D3" s="3" t="s">
        <v>517</v>
      </c>
      <c r="E3" s="3" t="s">
        <v>518</v>
      </c>
      <c r="F3" s="3" t="s">
        <v>519</v>
      </c>
      <c r="G3" s="3" t="s">
        <v>520</v>
      </c>
      <c r="H3" s="3" t="s">
        <v>521</v>
      </c>
      <c r="I3" s="3" t="s">
        <v>522</v>
      </c>
      <c r="J3" s="3" t="s">
        <v>523</v>
      </c>
      <c r="K3" s="3" t="s">
        <v>490</v>
      </c>
      <c r="L3" s="3" t="s">
        <v>524</v>
      </c>
      <c r="M3" s="3" t="s">
        <v>525</v>
      </c>
      <c r="N3" s="3" t="s">
        <v>526</v>
      </c>
      <c r="O3" s="3" t="s">
        <v>514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6"/>
      <c r="I4" s="4"/>
      <c r="J4" s="4"/>
      <c r="K4" s="4"/>
      <c r="L4" s="5" t="str">
        <f aca="false">IF(B4="","",IFERROR(INDEX(04_КП!$F$4:$F$203,MATCH(B4,04_КП!$A$4:$A$203,0)),""))</f>
        <v/>
      </c>
      <c r="M4" s="5" t="str">
        <f aca="false">IF(B4="","",IFERROR(INDEX(04_КП!$G$4:$G$203,MATCH(B4,04_КП!$A$4:$A$203,0)),""))</f>
        <v/>
      </c>
      <c r="N4" s="4"/>
      <c r="O4" s="5" t="str">
        <f aca="false">IF(A4="","",IF(AND(COUNTIF(A$4:A$203,A4)=1,COUNTIF(04_КП!$A$4:$A$203,B4)=1,IFERROR(INDEX(04_КП!$T$4:$T$203,MATCH(B4,04_КП!$A$4:$A$203,0)),"")="READY",COUNTIF(03_Пакеты!$A$4:$A$203,C4)=1,G4&lt;&gt;"",ISNUMBER(H4),H4&gt;=0,OR(AND(H4&gt;0,I4="KNOWN"),AND(H4=0,I4="ZERO_CONFIRMED")),N4&lt;&gt;""),"READY","INCOMPLETE / SOURCE"))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6"/>
      <c r="I5" s="4"/>
      <c r="J5" s="4"/>
      <c r="K5" s="4"/>
      <c r="L5" s="5" t="str">
        <f aca="false">IF(B5="","",IFERROR(INDEX(04_КП!$F$4:$F$203,MATCH(B5,04_КП!$A$4:$A$203,0)),""))</f>
        <v/>
      </c>
      <c r="M5" s="5" t="str">
        <f aca="false">IF(B5="","",IFERROR(INDEX(04_КП!$G$4:$G$203,MATCH(B5,04_КП!$A$4:$A$203,0)),""))</f>
        <v/>
      </c>
      <c r="N5" s="4"/>
      <c r="O5" s="5" t="str">
        <f aca="false">IF(A5="","",IF(AND(COUNTIF(A$4:A$203,A5)=1,COUNTIF(04_КП!$A$4:$A$203,B5)=1,IFERROR(INDEX(04_КП!$T$4:$T$203,MATCH(B5,04_КП!$A$4:$A$203,0)),"")="READY",COUNTIF(03_Пакеты!$A$4:$A$203,C5)=1,G5&lt;&gt;"",ISNUMBER(H5),H5&gt;=0,OR(AND(H5&gt;0,I5="KNOWN"),AND(H5=0,I5="ZERO_CONFIRMED")),N5&lt;&gt;""),"READY","INCOMPLETE / SOURCE"))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6"/>
      <c r="I6" s="4"/>
      <c r="J6" s="4"/>
      <c r="K6" s="4"/>
      <c r="L6" s="5" t="str">
        <f aca="false">IF(B6="","",IFERROR(INDEX(04_КП!$F$4:$F$203,MATCH(B6,04_КП!$A$4:$A$203,0)),""))</f>
        <v/>
      </c>
      <c r="M6" s="5" t="str">
        <f aca="false">IF(B6="","",IFERROR(INDEX(04_КП!$G$4:$G$203,MATCH(B6,04_КП!$A$4:$A$203,0)),""))</f>
        <v/>
      </c>
      <c r="N6" s="4"/>
      <c r="O6" s="5" t="str">
        <f aca="false">IF(A6="","",IF(AND(COUNTIF(A$4:A$203,A6)=1,COUNTIF(04_КП!$A$4:$A$203,B6)=1,IFERROR(INDEX(04_КП!$T$4:$T$203,MATCH(B6,04_КП!$A$4:$A$203,0)),"")="READY",COUNTIF(03_Пакеты!$A$4:$A$203,C6)=1,G6&lt;&gt;"",ISNUMBER(H6),H6&gt;=0,OR(AND(H6&gt;0,I6="KNOWN"),AND(H6=0,I6="ZERO_CONFIRMED")),N6&lt;&gt;""),"READY","INCOMPLETE / SOURCE"))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6"/>
      <c r="I7" s="4"/>
      <c r="J7" s="4"/>
      <c r="K7" s="4"/>
      <c r="L7" s="5" t="str">
        <f aca="false">IF(B7="","",IFERROR(INDEX(04_КП!$F$4:$F$203,MATCH(B7,04_КП!$A$4:$A$203,0)),""))</f>
        <v/>
      </c>
      <c r="M7" s="5" t="str">
        <f aca="false">IF(B7="","",IFERROR(INDEX(04_КП!$G$4:$G$203,MATCH(B7,04_КП!$A$4:$A$203,0)),""))</f>
        <v/>
      </c>
      <c r="N7" s="4"/>
      <c r="O7" s="5" t="str">
        <f aca="false">IF(A7="","",IF(AND(COUNTIF(A$4:A$203,A7)=1,COUNTIF(04_КП!$A$4:$A$203,B7)=1,IFERROR(INDEX(04_КП!$T$4:$T$203,MATCH(B7,04_КП!$A$4:$A$203,0)),"")="READY",COUNTIF(03_Пакеты!$A$4:$A$203,C7)=1,G7&lt;&gt;"",ISNUMBER(H7),H7&gt;=0,OR(AND(H7&gt;0,I7="KNOWN"),AND(H7=0,I7="ZERO_CONFIRMED")),N7&lt;&gt;""),"READY","INCOMPLETE / SOURCE"))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6"/>
      <c r="I8" s="4"/>
      <c r="J8" s="4"/>
      <c r="K8" s="4"/>
      <c r="L8" s="5" t="str">
        <f aca="false">IF(B8="","",IFERROR(INDEX(04_КП!$F$4:$F$203,MATCH(B8,04_КП!$A$4:$A$203,0)),""))</f>
        <v/>
      </c>
      <c r="M8" s="5" t="str">
        <f aca="false">IF(B8="","",IFERROR(INDEX(04_КП!$G$4:$G$203,MATCH(B8,04_КП!$A$4:$A$203,0)),""))</f>
        <v/>
      </c>
      <c r="N8" s="4"/>
      <c r="O8" s="5" t="str">
        <f aca="false">IF(A8="","",IF(AND(COUNTIF(A$4:A$203,A8)=1,COUNTIF(04_КП!$A$4:$A$203,B8)=1,IFERROR(INDEX(04_КП!$T$4:$T$203,MATCH(B8,04_КП!$A$4:$A$203,0)),"")="READY",COUNTIF(03_Пакеты!$A$4:$A$203,C8)=1,G8&lt;&gt;"",ISNUMBER(H8),H8&gt;=0,OR(AND(H8&gt;0,I8="KNOWN"),AND(H8=0,I8="ZERO_CONFIRMED")),N8&lt;&gt;""),"READY","INCOMPLETE / SOURCE"))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6"/>
      <c r="I9" s="4"/>
      <c r="J9" s="4"/>
      <c r="K9" s="4"/>
      <c r="L9" s="5" t="str">
        <f aca="false">IF(B9="","",IFERROR(INDEX(04_КП!$F$4:$F$203,MATCH(B9,04_КП!$A$4:$A$203,0)),""))</f>
        <v/>
      </c>
      <c r="M9" s="5" t="str">
        <f aca="false">IF(B9="","",IFERROR(INDEX(04_КП!$G$4:$G$203,MATCH(B9,04_КП!$A$4:$A$203,0)),""))</f>
        <v/>
      </c>
      <c r="N9" s="4"/>
      <c r="O9" s="5" t="str">
        <f aca="false">IF(A9="","",IF(AND(COUNTIF(A$4:A$203,A9)=1,COUNTIF(04_КП!$A$4:$A$203,B9)=1,IFERROR(INDEX(04_КП!$T$4:$T$203,MATCH(B9,04_КП!$A$4:$A$203,0)),"")="READY",COUNTIF(03_Пакеты!$A$4:$A$203,C9)=1,G9&lt;&gt;"",ISNUMBER(H9),H9&gt;=0,OR(AND(H9&gt;0,I9="KNOWN"),AND(H9=0,I9="ZERO_CONFIRMED")),N9&lt;&gt;""),"READY","INCOMPLETE / SOURCE"))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6"/>
      <c r="I10" s="4"/>
      <c r="J10" s="4"/>
      <c r="K10" s="4"/>
      <c r="L10" s="5" t="str">
        <f aca="false">IF(B10="","",IFERROR(INDEX(04_КП!$F$4:$F$203,MATCH(B10,04_КП!$A$4:$A$203,0)),""))</f>
        <v/>
      </c>
      <c r="M10" s="5" t="str">
        <f aca="false">IF(B10="","",IFERROR(INDEX(04_КП!$G$4:$G$203,MATCH(B10,04_КП!$A$4:$A$203,0)),""))</f>
        <v/>
      </c>
      <c r="N10" s="4"/>
      <c r="O10" s="5" t="str">
        <f aca="false">IF(A10="","",IF(AND(COUNTIF(A$4:A$203,A10)=1,COUNTIF(04_КП!$A$4:$A$203,B10)=1,IFERROR(INDEX(04_КП!$T$4:$T$203,MATCH(B10,04_КП!$A$4:$A$203,0)),"")="READY",COUNTIF(03_Пакеты!$A$4:$A$203,C10)=1,G10&lt;&gt;"",ISNUMBER(H10),H10&gt;=0,OR(AND(H10&gt;0,I10="KNOWN"),AND(H10=0,I10="ZERO_CONFIRMED")),N10&lt;&gt;""),"READY","INCOMPLETE / SOURCE"))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6"/>
      <c r="I11" s="4"/>
      <c r="J11" s="4"/>
      <c r="K11" s="4"/>
      <c r="L11" s="5" t="str">
        <f aca="false">IF(B11="","",IFERROR(INDEX(04_КП!$F$4:$F$203,MATCH(B11,04_КП!$A$4:$A$203,0)),""))</f>
        <v/>
      </c>
      <c r="M11" s="5" t="str">
        <f aca="false">IF(B11="","",IFERROR(INDEX(04_КП!$G$4:$G$203,MATCH(B11,04_КП!$A$4:$A$203,0)),""))</f>
        <v/>
      </c>
      <c r="N11" s="4"/>
      <c r="O11" s="5" t="str">
        <f aca="false">IF(A11="","",IF(AND(COUNTIF(A$4:A$203,A11)=1,COUNTIF(04_КП!$A$4:$A$203,B11)=1,IFERROR(INDEX(04_КП!$T$4:$T$203,MATCH(B11,04_КП!$A$4:$A$203,0)),"")="READY",COUNTIF(03_Пакеты!$A$4:$A$203,C11)=1,G11&lt;&gt;"",ISNUMBER(H11),H11&gt;=0,OR(AND(H11&gt;0,I11="KNOWN"),AND(H11=0,I11="ZERO_CONFIRMED")),N11&lt;&gt;""),"READY","INCOMPLETE / SOURCE"))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6"/>
      <c r="I12" s="4"/>
      <c r="J12" s="4"/>
      <c r="K12" s="4"/>
      <c r="L12" s="5" t="str">
        <f aca="false">IF(B12="","",IFERROR(INDEX(04_КП!$F$4:$F$203,MATCH(B12,04_КП!$A$4:$A$203,0)),""))</f>
        <v/>
      </c>
      <c r="M12" s="5" t="str">
        <f aca="false">IF(B12="","",IFERROR(INDEX(04_КП!$G$4:$G$203,MATCH(B12,04_КП!$A$4:$A$203,0)),""))</f>
        <v/>
      </c>
      <c r="N12" s="4"/>
      <c r="O12" s="5" t="str">
        <f aca="false">IF(A12="","",IF(AND(COUNTIF(A$4:A$203,A12)=1,COUNTIF(04_КП!$A$4:$A$203,B12)=1,IFERROR(INDEX(04_КП!$T$4:$T$203,MATCH(B12,04_КП!$A$4:$A$203,0)),"")="READY",COUNTIF(03_Пакеты!$A$4:$A$203,C12)=1,G12&lt;&gt;"",ISNUMBER(H12),H12&gt;=0,OR(AND(H12&gt;0,I12="KNOWN"),AND(H12=0,I12="ZERO_CONFIRMED")),N12&lt;&gt;""),"READY","INCOMPLETE / SOURCE"))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6"/>
      <c r="I13" s="4"/>
      <c r="J13" s="4"/>
      <c r="K13" s="4"/>
      <c r="L13" s="5" t="str">
        <f aca="false">IF(B13="","",IFERROR(INDEX(04_КП!$F$4:$F$203,MATCH(B13,04_КП!$A$4:$A$203,0)),""))</f>
        <v/>
      </c>
      <c r="M13" s="5" t="str">
        <f aca="false">IF(B13="","",IFERROR(INDEX(04_КП!$G$4:$G$203,MATCH(B13,04_КП!$A$4:$A$203,0)),""))</f>
        <v/>
      </c>
      <c r="N13" s="4"/>
      <c r="O13" s="5" t="str">
        <f aca="false">IF(A13="","",IF(AND(COUNTIF(A$4:A$203,A13)=1,COUNTIF(04_КП!$A$4:$A$203,B13)=1,IFERROR(INDEX(04_КП!$T$4:$T$203,MATCH(B13,04_КП!$A$4:$A$203,0)),"")="READY",COUNTIF(03_Пакеты!$A$4:$A$203,C13)=1,G13&lt;&gt;"",ISNUMBER(H13),H13&gt;=0,OR(AND(H13&gt;0,I13="KNOWN"),AND(H13=0,I13="ZERO_CONFIRMED")),N13&lt;&gt;""),"READY","INCOMPLETE / SOURCE"))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6"/>
      <c r="I14" s="4"/>
      <c r="J14" s="4"/>
      <c r="K14" s="4"/>
      <c r="L14" s="5" t="str">
        <f aca="false">IF(B14="","",IFERROR(INDEX(04_КП!$F$4:$F$203,MATCH(B14,04_КП!$A$4:$A$203,0)),""))</f>
        <v/>
      </c>
      <c r="M14" s="5" t="str">
        <f aca="false">IF(B14="","",IFERROR(INDEX(04_КП!$G$4:$G$203,MATCH(B14,04_КП!$A$4:$A$203,0)),""))</f>
        <v/>
      </c>
      <c r="N14" s="4"/>
      <c r="O14" s="5" t="str">
        <f aca="false">IF(A14="","",IF(AND(COUNTIF(A$4:A$203,A14)=1,COUNTIF(04_КП!$A$4:$A$203,B14)=1,IFERROR(INDEX(04_КП!$T$4:$T$203,MATCH(B14,04_КП!$A$4:$A$203,0)),"")="READY",COUNTIF(03_Пакеты!$A$4:$A$203,C14)=1,G14&lt;&gt;"",ISNUMBER(H14),H14&gt;=0,OR(AND(H14&gt;0,I14="KNOWN"),AND(H14=0,I14="ZERO_CONFIRMED")),N14&lt;&gt;""),"READY","INCOMPLETE / SOURCE"))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6"/>
      <c r="I15" s="4"/>
      <c r="J15" s="4"/>
      <c r="K15" s="4"/>
      <c r="L15" s="5" t="str">
        <f aca="false">IF(B15="","",IFERROR(INDEX(04_КП!$F$4:$F$203,MATCH(B15,04_КП!$A$4:$A$203,0)),""))</f>
        <v/>
      </c>
      <c r="M15" s="5" t="str">
        <f aca="false">IF(B15="","",IFERROR(INDEX(04_КП!$G$4:$G$203,MATCH(B15,04_КП!$A$4:$A$203,0)),""))</f>
        <v/>
      </c>
      <c r="N15" s="4"/>
      <c r="O15" s="5" t="str">
        <f aca="false">IF(A15="","",IF(AND(COUNTIF(A$4:A$203,A15)=1,COUNTIF(04_КП!$A$4:$A$203,B15)=1,IFERROR(INDEX(04_КП!$T$4:$T$203,MATCH(B15,04_КП!$A$4:$A$203,0)),"")="READY",COUNTIF(03_Пакеты!$A$4:$A$203,C15)=1,G15&lt;&gt;"",ISNUMBER(H15),H15&gt;=0,OR(AND(H15&gt;0,I15="KNOWN"),AND(H15=0,I15="ZERO_CONFIRMED")),N15&lt;&gt;""),"READY","INCOMPLETE / SOURCE"))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6"/>
      <c r="I16" s="4"/>
      <c r="J16" s="4"/>
      <c r="K16" s="4"/>
      <c r="L16" s="5" t="str">
        <f aca="false">IF(B16="","",IFERROR(INDEX(04_КП!$F$4:$F$203,MATCH(B16,04_КП!$A$4:$A$203,0)),""))</f>
        <v/>
      </c>
      <c r="M16" s="5" t="str">
        <f aca="false">IF(B16="","",IFERROR(INDEX(04_КП!$G$4:$G$203,MATCH(B16,04_КП!$A$4:$A$203,0)),""))</f>
        <v/>
      </c>
      <c r="N16" s="4"/>
      <c r="O16" s="5" t="str">
        <f aca="false">IF(A16="","",IF(AND(COUNTIF(A$4:A$203,A16)=1,COUNTIF(04_КП!$A$4:$A$203,B16)=1,IFERROR(INDEX(04_КП!$T$4:$T$203,MATCH(B16,04_КП!$A$4:$A$203,0)),"")="READY",COUNTIF(03_Пакеты!$A$4:$A$203,C16)=1,G16&lt;&gt;"",ISNUMBER(H16),H16&gt;=0,OR(AND(H16&gt;0,I16="KNOWN"),AND(H16=0,I16="ZERO_CONFIRMED")),N16&lt;&gt;""),"READY","INCOMPLETE / SOURCE"))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6"/>
      <c r="I17" s="4"/>
      <c r="J17" s="4"/>
      <c r="K17" s="4"/>
      <c r="L17" s="5" t="str">
        <f aca="false">IF(B17="","",IFERROR(INDEX(04_КП!$F$4:$F$203,MATCH(B17,04_КП!$A$4:$A$203,0)),""))</f>
        <v/>
      </c>
      <c r="M17" s="5" t="str">
        <f aca="false">IF(B17="","",IFERROR(INDEX(04_КП!$G$4:$G$203,MATCH(B17,04_КП!$A$4:$A$203,0)),""))</f>
        <v/>
      </c>
      <c r="N17" s="4"/>
      <c r="O17" s="5" t="str">
        <f aca="false">IF(A17="","",IF(AND(COUNTIF(A$4:A$203,A17)=1,COUNTIF(04_КП!$A$4:$A$203,B17)=1,IFERROR(INDEX(04_КП!$T$4:$T$203,MATCH(B17,04_КП!$A$4:$A$203,0)),"")="READY",COUNTIF(03_Пакеты!$A$4:$A$203,C17)=1,G17&lt;&gt;"",ISNUMBER(H17),H17&gt;=0,OR(AND(H17&gt;0,I17="KNOWN"),AND(H17=0,I17="ZERO_CONFIRMED")),N17&lt;&gt;""),"READY","INCOMPLETE / SOURCE"))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6"/>
      <c r="I18" s="4"/>
      <c r="J18" s="4"/>
      <c r="K18" s="4"/>
      <c r="L18" s="5" t="str">
        <f aca="false">IF(B18="","",IFERROR(INDEX(04_КП!$F$4:$F$203,MATCH(B18,04_КП!$A$4:$A$203,0)),""))</f>
        <v/>
      </c>
      <c r="M18" s="5" t="str">
        <f aca="false">IF(B18="","",IFERROR(INDEX(04_КП!$G$4:$G$203,MATCH(B18,04_КП!$A$4:$A$203,0)),""))</f>
        <v/>
      </c>
      <c r="N18" s="4"/>
      <c r="O18" s="5" t="str">
        <f aca="false">IF(A18="","",IF(AND(COUNTIF(A$4:A$203,A18)=1,COUNTIF(04_КП!$A$4:$A$203,B18)=1,IFERROR(INDEX(04_КП!$T$4:$T$203,MATCH(B18,04_КП!$A$4:$A$203,0)),"")="READY",COUNTIF(03_Пакеты!$A$4:$A$203,C18)=1,G18&lt;&gt;"",ISNUMBER(H18),H18&gt;=0,OR(AND(H18&gt;0,I18="KNOWN"),AND(H18=0,I18="ZERO_CONFIRMED")),N18&lt;&gt;""),"READY","INCOMPLETE / SOURCE"))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6"/>
      <c r="I19" s="4"/>
      <c r="J19" s="4"/>
      <c r="K19" s="4"/>
      <c r="L19" s="5" t="str">
        <f aca="false">IF(B19="","",IFERROR(INDEX(04_КП!$F$4:$F$203,MATCH(B19,04_КП!$A$4:$A$203,0)),""))</f>
        <v/>
      </c>
      <c r="M19" s="5" t="str">
        <f aca="false">IF(B19="","",IFERROR(INDEX(04_КП!$G$4:$G$203,MATCH(B19,04_КП!$A$4:$A$203,0)),""))</f>
        <v/>
      </c>
      <c r="N19" s="4"/>
      <c r="O19" s="5" t="str">
        <f aca="false">IF(A19="","",IF(AND(COUNTIF(A$4:A$203,A19)=1,COUNTIF(04_КП!$A$4:$A$203,B19)=1,IFERROR(INDEX(04_КП!$T$4:$T$203,MATCH(B19,04_КП!$A$4:$A$203,0)),"")="READY",COUNTIF(03_Пакеты!$A$4:$A$203,C19)=1,G19&lt;&gt;"",ISNUMBER(H19),H19&gt;=0,OR(AND(H19&gt;0,I19="KNOWN"),AND(H19=0,I19="ZERO_CONFIRMED")),N19&lt;&gt;""),"READY","INCOMPLETE / SOURCE"))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6"/>
      <c r="I20" s="4"/>
      <c r="J20" s="4"/>
      <c r="K20" s="4"/>
      <c r="L20" s="5" t="str">
        <f aca="false">IF(B20="","",IFERROR(INDEX(04_КП!$F$4:$F$203,MATCH(B20,04_КП!$A$4:$A$203,0)),""))</f>
        <v/>
      </c>
      <c r="M20" s="5" t="str">
        <f aca="false">IF(B20="","",IFERROR(INDEX(04_КП!$G$4:$G$203,MATCH(B20,04_КП!$A$4:$A$203,0)),""))</f>
        <v/>
      </c>
      <c r="N20" s="4"/>
      <c r="O20" s="5" t="str">
        <f aca="false">IF(A20="","",IF(AND(COUNTIF(A$4:A$203,A20)=1,COUNTIF(04_КП!$A$4:$A$203,B20)=1,IFERROR(INDEX(04_КП!$T$4:$T$203,MATCH(B20,04_КП!$A$4:$A$203,0)),"")="READY",COUNTIF(03_Пакеты!$A$4:$A$203,C20)=1,G20&lt;&gt;"",ISNUMBER(H20),H20&gt;=0,OR(AND(H20&gt;0,I20="KNOWN"),AND(H20=0,I20="ZERO_CONFIRMED")),N20&lt;&gt;""),"READY","INCOMPLETE / SOURCE"))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6"/>
      <c r="I21" s="4"/>
      <c r="J21" s="4"/>
      <c r="K21" s="4"/>
      <c r="L21" s="5" t="str">
        <f aca="false">IF(B21="","",IFERROR(INDEX(04_КП!$F$4:$F$203,MATCH(B21,04_КП!$A$4:$A$203,0)),""))</f>
        <v/>
      </c>
      <c r="M21" s="5" t="str">
        <f aca="false">IF(B21="","",IFERROR(INDEX(04_КП!$G$4:$G$203,MATCH(B21,04_КП!$A$4:$A$203,0)),""))</f>
        <v/>
      </c>
      <c r="N21" s="4"/>
      <c r="O21" s="5" t="str">
        <f aca="false">IF(A21="","",IF(AND(COUNTIF(A$4:A$203,A21)=1,COUNTIF(04_КП!$A$4:$A$203,B21)=1,IFERROR(INDEX(04_КП!$T$4:$T$203,MATCH(B21,04_КП!$A$4:$A$203,0)),"")="READY",COUNTIF(03_Пакеты!$A$4:$A$203,C21)=1,G21&lt;&gt;"",ISNUMBER(H21),H21&gt;=0,OR(AND(H21&gt;0,I21="KNOWN"),AND(H21=0,I21="ZERO_CONFIRMED")),N21&lt;&gt;""),"READY","INCOMPLETE / SOURCE"))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6"/>
      <c r="I22" s="4"/>
      <c r="J22" s="4"/>
      <c r="K22" s="4"/>
      <c r="L22" s="5" t="str">
        <f aca="false">IF(B22="","",IFERROR(INDEX(04_КП!$F$4:$F$203,MATCH(B22,04_КП!$A$4:$A$203,0)),""))</f>
        <v/>
      </c>
      <c r="M22" s="5" t="str">
        <f aca="false">IF(B22="","",IFERROR(INDEX(04_КП!$G$4:$G$203,MATCH(B22,04_КП!$A$4:$A$203,0)),""))</f>
        <v/>
      </c>
      <c r="N22" s="4"/>
      <c r="O22" s="5" t="str">
        <f aca="false">IF(A22="","",IF(AND(COUNTIF(A$4:A$203,A22)=1,COUNTIF(04_КП!$A$4:$A$203,B22)=1,IFERROR(INDEX(04_КП!$T$4:$T$203,MATCH(B22,04_КП!$A$4:$A$203,0)),"")="READY",COUNTIF(03_Пакеты!$A$4:$A$203,C22)=1,G22&lt;&gt;"",ISNUMBER(H22),H22&gt;=0,OR(AND(H22&gt;0,I22="KNOWN"),AND(H22=0,I22="ZERO_CONFIRMED")),N22&lt;&gt;""),"READY","INCOMPLETE / SOURCE"))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6"/>
      <c r="I23" s="4"/>
      <c r="J23" s="4"/>
      <c r="K23" s="4"/>
      <c r="L23" s="5" t="str">
        <f aca="false">IF(B23="","",IFERROR(INDEX(04_КП!$F$4:$F$203,MATCH(B23,04_КП!$A$4:$A$203,0)),""))</f>
        <v/>
      </c>
      <c r="M23" s="5" t="str">
        <f aca="false">IF(B23="","",IFERROR(INDEX(04_КП!$G$4:$G$203,MATCH(B23,04_КП!$A$4:$A$203,0)),""))</f>
        <v/>
      </c>
      <c r="N23" s="4"/>
      <c r="O23" s="5" t="str">
        <f aca="false">IF(A23="","",IF(AND(COUNTIF(A$4:A$203,A23)=1,COUNTIF(04_КП!$A$4:$A$203,B23)=1,IFERROR(INDEX(04_КП!$T$4:$T$203,MATCH(B23,04_КП!$A$4:$A$203,0)),"")="READY",COUNTIF(03_Пакеты!$A$4:$A$203,C23)=1,G23&lt;&gt;"",ISNUMBER(H23),H23&gt;=0,OR(AND(H23&gt;0,I23="KNOWN"),AND(H23=0,I23="ZERO_CONFIRMED")),N23&lt;&gt;""),"READY","INCOMPLETE / SOURCE"))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6"/>
      <c r="I24" s="4"/>
      <c r="J24" s="4"/>
      <c r="K24" s="4"/>
      <c r="L24" s="5" t="str">
        <f aca="false">IF(B24="","",IFERROR(INDEX(04_КП!$F$4:$F$203,MATCH(B24,04_КП!$A$4:$A$203,0)),""))</f>
        <v/>
      </c>
      <c r="M24" s="5" t="str">
        <f aca="false">IF(B24="","",IFERROR(INDEX(04_КП!$G$4:$G$203,MATCH(B24,04_КП!$A$4:$A$203,0)),""))</f>
        <v/>
      </c>
      <c r="N24" s="4"/>
      <c r="O24" s="5" t="str">
        <f aca="false">IF(A24="","",IF(AND(COUNTIF(A$4:A$203,A24)=1,COUNTIF(04_КП!$A$4:$A$203,B24)=1,IFERROR(INDEX(04_КП!$T$4:$T$203,MATCH(B24,04_КП!$A$4:$A$203,0)),"")="READY",COUNTIF(03_Пакеты!$A$4:$A$203,C24)=1,G24&lt;&gt;"",ISNUMBER(H24),H24&gt;=0,OR(AND(H24&gt;0,I24="KNOWN"),AND(H24=0,I24="ZERO_CONFIRMED")),N24&lt;&gt;""),"READY","INCOMPLETE / SOURCE"))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6"/>
      <c r="I25" s="4"/>
      <c r="J25" s="4"/>
      <c r="K25" s="4"/>
      <c r="L25" s="5" t="str">
        <f aca="false">IF(B25="","",IFERROR(INDEX(04_КП!$F$4:$F$203,MATCH(B25,04_КП!$A$4:$A$203,0)),""))</f>
        <v/>
      </c>
      <c r="M25" s="5" t="str">
        <f aca="false">IF(B25="","",IFERROR(INDEX(04_КП!$G$4:$G$203,MATCH(B25,04_КП!$A$4:$A$203,0)),""))</f>
        <v/>
      </c>
      <c r="N25" s="4"/>
      <c r="O25" s="5" t="str">
        <f aca="false">IF(A25="","",IF(AND(COUNTIF(A$4:A$203,A25)=1,COUNTIF(04_КП!$A$4:$A$203,B25)=1,IFERROR(INDEX(04_КП!$T$4:$T$203,MATCH(B25,04_КП!$A$4:$A$203,0)),"")="READY",COUNTIF(03_Пакеты!$A$4:$A$203,C25)=1,G25&lt;&gt;"",ISNUMBER(H25),H25&gt;=0,OR(AND(H25&gt;0,I25="KNOWN"),AND(H25=0,I25="ZERO_CONFIRMED")),N25&lt;&gt;""),"READY","INCOMPLETE / SOURCE"))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6"/>
      <c r="I26" s="4"/>
      <c r="J26" s="4"/>
      <c r="K26" s="4"/>
      <c r="L26" s="5" t="str">
        <f aca="false">IF(B26="","",IFERROR(INDEX(04_КП!$F$4:$F$203,MATCH(B26,04_КП!$A$4:$A$203,0)),""))</f>
        <v/>
      </c>
      <c r="M26" s="5" t="str">
        <f aca="false">IF(B26="","",IFERROR(INDEX(04_КП!$G$4:$G$203,MATCH(B26,04_КП!$A$4:$A$203,0)),""))</f>
        <v/>
      </c>
      <c r="N26" s="4"/>
      <c r="O26" s="5" t="str">
        <f aca="false">IF(A26="","",IF(AND(COUNTIF(A$4:A$203,A26)=1,COUNTIF(04_КП!$A$4:$A$203,B26)=1,IFERROR(INDEX(04_КП!$T$4:$T$203,MATCH(B26,04_КП!$A$4:$A$203,0)),"")="READY",COUNTIF(03_Пакеты!$A$4:$A$203,C26)=1,G26&lt;&gt;"",ISNUMBER(H26),H26&gt;=0,OR(AND(H26&gt;0,I26="KNOWN"),AND(H26=0,I26="ZERO_CONFIRMED")),N26&lt;&gt;""),"READY","INCOMPLETE / SOURCE"))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6"/>
      <c r="I27" s="4"/>
      <c r="J27" s="4"/>
      <c r="K27" s="4"/>
      <c r="L27" s="5" t="str">
        <f aca="false">IF(B27="","",IFERROR(INDEX(04_КП!$F$4:$F$203,MATCH(B27,04_КП!$A$4:$A$203,0)),""))</f>
        <v/>
      </c>
      <c r="M27" s="5" t="str">
        <f aca="false">IF(B27="","",IFERROR(INDEX(04_КП!$G$4:$G$203,MATCH(B27,04_КП!$A$4:$A$203,0)),""))</f>
        <v/>
      </c>
      <c r="N27" s="4"/>
      <c r="O27" s="5" t="str">
        <f aca="false">IF(A27="","",IF(AND(COUNTIF(A$4:A$203,A27)=1,COUNTIF(04_КП!$A$4:$A$203,B27)=1,IFERROR(INDEX(04_КП!$T$4:$T$203,MATCH(B27,04_КП!$A$4:$A$203,0)),"")="READY",COUNTIF(03_Пакеты!$A$4:$A$203,C27)=1,G27&lt;&gt;"",ISNUMBER(H27),H27&gt;=0,OR(AND(H27&gt;0,I27="KNOWN"),AND(H27=0,I27="ZERO_CONFIRMED")),N27&lt;&gt;""),"READY","INCOMPLETE / SOURCE"))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6"/>
      <c r="I28" s="4"/>
      <c r="J28" s="4"/>
      <c r="K28" s="4"/>
      <c r="L28" s="5" t="str">
        <f aca="false">IF(B28="","",IFERROR(INDEX(04_КП!$F$4:$F$203,MATCH(B28,04_КП!$A$4:$A$203,0)),""))</f>
        <v/>
      </c>
      <c r="M28" s="5" t="str">
        <f aca="false">IF(B28="","",IFERROR(INDEX(04_КП!$G$4:$G$203,MATCH(B28,04_КП!$A$4:$A$203,0)),""))</f>
        <v/>
      </c>
      <c r="N28" s="4"/>
      <c r="O28" s="5" t="str">
        <f aca="false">IF(A28="","",IF(AND(COUNTIF(A$4:A$203,A28)=1,COUNTIF(04_КП!$A$4:$A$203,B28)=1,IFERROR(INDEX(04_КП!$T$4:$T$203,MATCH(B28,04_КП!$A$4:$A$203,0)),"")="READY",COUNTIF(03_Пакеты!$A$4:$A$203,C28)=1,G28&lt;&gt;"",ISNUMBER(H28),H28&gt;=0,OR(AND(H28&gt;0,I28="KNOWN"),AND(H28=0,I28="ZERO_CONFIRMED")),N28&lt;&gt;""),"READY","INCOMPLETE / SOURCE"))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6"/>
      <c r="I29" s="4"/>
      <c r="J29" s="4"/>
      <c r="K29" s="4"/>
      <c r="L29" s="5" t="str">
        <f aca="false">IF(B29="","",IFERROR(INDEX(04_КП!$F$4:$F$203,MATCH(B29,04_КП!$A$4:$A$203,0)),""))</f>
        <v/>
      </c>
      <c r="M29" s="5" t="str">
        <f aca="false">IF(B29="","",IFERROR(INDEX(04_КП!$G$4:$G$203,MATCH(B29,04_КП!$A$4:$A$203,0)),""))</f>
        <v/>
      </c>
      <c r="N29" s="4"/>
      <c r="O29" s="5" t="str">
        <f aca="false">IF(A29="","",IF(AND(COUNTIF(A$4:A$203,A29)=1,COUNTIF(04_КП!$A$4:$A$203,B29)=1,IFERROR(INDEX(04_КП!$T$4:$T$203,MATCH(B29,04_КП!$A$4:$A$203,0)),"")="READY",COUNTIF(03_Пакеты!$A$4:$A$203,C29)=1,G29&lt;&gt;"",ISNUMBER(H29),H29&gt;=0,OR(AND(H29&gt;0,I29="KNOWN"),AND(H29=0,I29="ZERO_CONFIRMED")),N29&lt;&gt;""),"READY","INCOMPLETE / SOURCE"))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6"/>
      <c r="I30" s="4"/>
      <c r="J30" s="4"/>
      <c r="K30" s="4"/>
      <c r="L30" s="5" t="str">
        <f aca="false">IF(B30="","",IFERROR(INDEX(04_КП!$F$4:$F$203,MATCH(B30,04_КП!$A$4:$A$203,0)),""))</f>
        <v/>
      </c>
      <c r="M30" s="5" t="str">
        <f aca="false">IF(B30="","",IFERROR(INDEX(04_КП!$G$4:$G$203,MATCH(B30,04_КП!$A$4:$A$203,0)),""))</f>
        <v/>
      </c>
      <c r="N30" s="4"/>
      <c r="O30" s="5" t="str">
        <f aca="false">IF(A30="","",IF(AND(COUNTIF(A$4:A$203,A30)=1,COUNTIF(04_КП!$A$4:$A$203,B30)=1,IFERROR(INDEX(04_КП!$T$4:$T$203,MATCH(B30,04_КП!$A$4:$A$203,0)),"")="READY",COUNTIF(03_Пакеты!$A$4:$A$203,C30)=1,G30&lt;&gt;"",ISNUMBER(H30),H30&gt;=0,OR(AND(H30&gt;0,I30="KNOWN"),AND(H30=0,I30="ZERO_CONFIRMED")),N30&lt;&gt;""),"READY","INCOMPLETE / SOURCE"))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  <c r="L31" s="5" t="str">
        <f aca="false">IF(B31="","",IFERROR(INDEX(04_КП!$F$4:$F$203,MATCH(B31,04_КП!$A$4:$A$203,0)),""))</f>
        <v/>
      </c>
      <c r="M31" s="5" t="str">
        <f aca="false">IF(B31="","",IFERROR(INDEX(04_КП!$G$4:$G$203,MATCH(B31,04_КП!$A$4:$A$203,0)),""))</f>
        <v/>
      </c>
      <c r="N31" s="4"/>
      <c r="O31" s="5" t="str">
        <f aca="false">IF(A31="","",IF(AND(COUNTIF(A$4:A$203,A31)=1,COUNTIF(04_КП!$A$4:$A$203,B31)=1,IFERROR(INDEX(04_КП!$T$4:$T$203,MATCH(B31,04_КП!$A$4:$A$203,0)),"")="READY",COUNTIF(03_Пакеты!$A$4:$A$203,C31)=1,G31&lt;&gt;"",ISNUMBER(H31),H31&gt;=0,OR(AND(H31&gt;0,I31="KNOWN"),AND(H31=0,I31="ZERO_CONFIRMED")),N31&lt;&gt;""),"READY","INCOMPLETE / SOURCE"))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6"/>
      <c r="I32" s="4"/>
      <c r="J32" s="4"/>
      <c r="K32" s="4"/>
      <c r="L32" s="5" t="str">
        <f aca="false">IF(B32="","",IFERROR(INDEX(04_КП!$F$4:$F$203,MATCH(B32,04_КП!$A$4:$A$203,0)),""))</f>
        <v/>
      </c>
      <c r="M32" s="5" t="str">
        <f aca="false">IF(B32="","",IFERROR(INDEX(04_КП!$G$4:$G$203,MATCH(B32,04_КП!$A$4:$A$203,0)),""))</f>
        <v/>
      </c>
      <c r="N32" s="4"/>
      <c r="O32" s="5" t="str">
        <f aca="false">IF(A32="","",IF(AND(COUNTIF(A$4:A$203,A32)=1,COUNTIF(04_КП!$A$4:$A$203,B32)=1,IFERROR(INDEX(04_КП!$T$4:$T$203,MATCH(B32,04_КП!$A$4:$A$203,0)),"")="READY",COUNTIF(03_Пакеты!$A$4:$A$203,C32)=1,G32&lt;&gt;"",ISNUMBER(H32),H32&gt;=0,OR(AND(H32&gt;0,I32="KNOWN"),AND(H32=0,I32="ZERO_CONFIRMED")),N32&lt;&gt;""),"READY","INCOMPLETE / SOURCE"))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6"/>
      <c r="I33" s="4"/>
      <c r="J33" s="4"/>
      <c r="K33" s="4"/>
      <c r="L33" s="5" t="str">
        <f aca="false">IF(B33="","",IFERROR(INDEX(04_КП!$F$4:$F$203,MATCH(B33,04_КП!$A$4:$A$203,0)),""))</f>
        <v/>
      </c>
      <c r="M33" s="5" t="str">
        <f aca="false">IF(B33="","",IFERROR(INDEX(04_КП!$G$4:$G$203,MATCH(B33,04_КП!$A$4:$A$203,0)),""))</f>
        <v/>
      </c>
      <c r="N33" s="4"/>
      <c r="O33" s="5" t="str">
        <f aca="false">IF(A33="","",IF(AND(COUNTIF(A$4:A$203,A33)=1,COUNTIF(04_КП!$A$4:$A$203,B33)=1,IFERROR(INDEX(04_КП!$T$4:$T$203,MATCH(B33,04_КП!$A$4:$A$203,0)),"")="READY",COUNTIF(03_Пакеты!$A$4:$A$203,C33)=1,G33&lt;&gt;"",ISNUMBER(H33),H33&gt;=0,OR(AND(H33&gt;0,I33="KNOWN"),AND(H33=0,I33="ZERO_CONFIRMED")),N33&lt;&gt;""),"READY","INCOMPLETE / SOURCE"))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6"/>
      <c r="I34" s="4"/>
      <c r="J34" s="4"/>
      <c r="K34" s="4"/>
      <c r="L34" s="5" t="str">
        <f aca="false">IF(B34="","",IFERROR(INDEX(04_КП!$F$4:$F$203,MATCH(B34,04_КП!$A$4:$A$203,0)),""))</f>
        <v/>
      </c>
      <c r="M34" s="5" t="str">
        <f aca="false">IF(B34="","",IFERROR(INDEX(04_КП!$G$4:$G$203,MATCH(B34,04_КП!$A$4:$A$203,0)),""))</f>
        <v/>
      </c>
      <c r="N34" s="4"/>
      <c r="O34" s="5" t="str">
        <f aca="false">IF(A34="","",IF(AND(COUNTIF(A$4:A$203,A34)=1,COUNTIF(04_КП!$A$4:$A$203,B34)=1,IFERROR(INDEX(04_КП!$T$4:$T$203,MATCH(B34,04_КП!$A$4:$A$203,0)),"")="READY",COUNTIF(03_Пакеты!$A$4:$A$203,C34)=1,G34&lt;&gt;"",ISNUMBER(H34),H34&gt;=0,OR(AND(H34&gt;0,I34="KNOWN"),AND(H34=0,I34="ZERO_CONFIRMED")),N34&lt;&gt;""),"READY","INCOMPLETE / SOURCE"))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6"/>
      <c r="I35" s="4"/>
      <c r="J35" s="4"/>
      <c r="K35" s="4"/>
      <c r="L35" s="5" t="str">
        <f aca="false">IF(B35="","",IFERROR(INDEX(04_КП!$F$4:$F$203,MATCH(B35,04_КП!$A$4:$A$203,0)),""))</f>
        <v/>
      </c>
      <c r="M35" s="5" t="str">
        <f aca="false">IF(B35="","",IFERROR(INDEX(04_КП!$G$4:$G$203,MATCH(B35,04_КП!$A$4:$A$203,0)),""))</f>
        <v/>
      </c>
      <c r="N35" s="4"/>
      <c r="O35" s="5" t="str">
        <f aca="false">IF(A35="","",IF(AND(COUNTIF(A$4:A$203,A35)=1,COUNTIF(04_КП!$A$4:$A$203,B35)=1,IFERROR(INDEX(04_КП!$T$4:$T$203,MATCH(B35,04_КП!$A$4:$A$203,0)),"")="READY",COUNTIF(03_Пакеты!$A$4:$A$203,C35)=1,G35&lt;&gt;"",ISNUMBER(H35),H35&gt;=0,OR(AND(H35&gt;0,I35="KNOWN"),AND(H35=0,I35="ZERO_CONFIRMED")),N35&lt;&gt;""),"READY","INCOMPLETE / SOURCE"))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6"/>
      <c r="I36" s="4"/>
      <c r="J36" s="4"/>
      <c r="K36" s="4"/>
      <c r="L36" s="5" t="str">
        <f aca="false">IF(B36="","",IFERROR(INDEX(04_КП!$F$4:$F$203,MATCH(B36,04_КП!$A$4:$A$203,0)),""))</f>
        <v/>
      </c>
      <c r="M36" s="5" t="str">
        <f aca="false">IF(B36="","",IFERROR(INDEX(04_КП!$G$4:$G$203,MATCH(B36,04_КП!$A$4:$A$203,0)),""))</f>
        <v/>
      </c>
      <c r="N36" s="4"/>
      <c r="O36" s="5" t="str">
        <f aca="false">IF(A36="","",IF(AND(COUNTIF(A$4:A$203,A36)=1,COUNTIF(04_КП!$A$4:$A$203,B36)=1,IFERROR(INDEX(04_КП!$T$4:$T$203,MATCH(B36,04_КП!$A$4:$A$203,0)),"")="READY",COUNTIF(03_Пакеты!$A$4:$A$203,C36)=1,G36&lt;&gt;"",ISNUMBER(H36),H36&gt;=0,OR(AND(H36&gt;0,I36="KNOWN"),AND(H36=0,I36="ZERO_CONFIRMED")),N36&lt;&gt;""),"READY","INCOMPLETE / SOURCE"))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6"/>
      <c r="I37" s="4"/>
      <c r="J37" s="4"/>
      <c r="K37" s="4"/>
      <c r="L37" s="5" t="str">
        <f aca="false">IF(B37="","",IFERROR(INDEX(04_КП!$F$4:$F$203,MATCH(B37,04_КП!$A$4:$A$203,0)),""))</f>
        <v/>
      </c>
      <c r="M37" s="5" t="str">
        <f aca="false">IF(B37="","",IFERROR(INDEX(04_КП!$G$4:$G$203,MATCH(B37,04_КП!$A$4:$A$203,0)),""))</f>
        <v/>
      </c>
      <c r="N37" s="4"/>
      <c r="O37" s="5" t="str">
        <f aca="false">IF(A37="","",IF(AND(COUNTIF(A$4:A$203,A37)=1,COUNTIF(04_КП!$A$4:$A$203,B37)=1,IFERROR(INDEX(04_КП!$T$4:$T$203,MATCH(B37,04_КП!$A$4:$A$203,0)),"")="READY",COUNTIF(03_Пакеты!$A$4:$A$203,C37)=1,G37&lt;&gt;"",ISNUMBER(H37),H37&gt;=0,OR(AND(H37&gt;0,I37="KNOWN"),AND(H37=0,I37="ZERO_CONFIRMED")),N37&lt;&gt;""),"READY","INCOMPLETE / SOURCE"))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6"/>
      <c r="I38" s="4"/>
      <c r="J38" s="4"/>
      <c r="K38" s="4"/>
      <c r="L38" s="5" t="str">
        <f aca="false">IF(B38="","",IFERROR(INDEX(04_КП!$F$4:$F$203,MATCH(B38,04_КП!$A$4:$A$203,0)),""))</f>
        <v/>
      </c>
      <c r="M38" s="5" t="str">
        <f aca="false">IF(B38="","",IFERROR(INDEX(04_КП!$G$4:$G$203,MATCH(B38,04_КП!$A$4:$A$203,0)),""))</f>
        <v/>
      </c>
      <c r="N38" s="4"/>
      <c r="O38" s="5" t="str">
        <f aca="false">IF(A38="","",IF(AND(COUNTIF(A$4:A$203,A38)=1,COUNTIF(04_КП!$A$4:$A$203,B38)=1,IFERROR(INDEX(04_КП!$T$4:$T$203,MATCH(B38,04_КП!$A$4:$A$203,0)),"")="READY",COUNTIF(03_Пакеты!$A$4:$A$203,C38)=1,G38&lt;&gt;"",ISNUMBER(H38),H38&gt;=0,OR(AND(H38&gt;0,I38="KNOWN"),AND(H38=0,I38="ZERO_CONFIRMED")),N38&lt;&gt;""),"READY","INCOMPLETE / SOURCE"))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6"/>
      <c r="I39" s="4"/>
      <c r="J39" s="4"/>
      <c r="K39" s="4"/>
      <c r="L39" s="5" t="str">
        <f aca="false">IF(B39="","",IFERROR(INDEX(04_КП!$F$4:$F$203,MATCH(B39,04_КП!$A$4:$A$203,0)),""))</f>
        <v/>
      </c>
      <c r="M39" s="5" t="str">
        <f aca="false">IF(B39="","",IFERROR(INDEX(04_КП!$G$4:$G$203,MATCH(B39,04_КП!$A$4:$A$203,0)),""))</f>
        <v/>
      </c>
      <c r="N39" s="4"/>
      <c r="O39" s="5" t="str">
        <f aca="false">IF(A39="","",IF(AND(COUNTIF(A$4:A$203,A39)=1,COUNTIF(04_КП!$A$4:$A$203,B39)=1,IFERROR(INDEX(04_КП!$T$4:$T$203,MATCH(B39,04_КП!$A$4:$A$203,0)),"")="READY",COUNTIF(03_Пакеты!$A$4:$A$203,C39)=1,G39&lt;&gt;"",ISNUMBER(H39),H39&gt;=0,OR(AND(H39&gt;0,I39="KNOWN"),AND(H39=0,I39="ZERO_CONFIRMED")),N39&lt;&gt;""),"READY","INCOMPLETE / SOURCE"))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6"/>
      <c r="I40" s="4"/>
      <c r="J40" s="4"/>
      <c r="K40" s="4"/>
      <c r="L40" s="5" t="str">
        <f aca="false">IF(B40="","",IFERROR(INDEX(04_КП!$F$4:$F$203,MATCH(B40,04_КП!$A$4:$A$203,0)),""))</f>
        <v/>
      </c>
      <c r="M40" s="5" t="str">
        <f aca="false">IF(B40="","",IFERROR(INDEX(04_КП!$G$4:$G$203,MATCH(B40,04_КП!$A$4:$A$203,0)),""))</f>
        <v/>
      </c>
      <c r="N40" s="4"/>
      <c r="O40" s="5" t="str">
        <f aca="false">IF(A40="","",IF(AND(COUNTIF(A$4:A$203,A40)=1,COUNTIF(04_КП!$A$4:$A$203,B40)=1,IFERROR(INDEX(04_КП!$T$4:$T$203,MATCH(B40,04_КП!$A$4:$A$203,0)),"")="READY",COUNTIF(03_Пакеты!$A$4:$A$203,C40)=1,G40&lt;&gt;"",ISNUMBER(H40),H40&gt;=0,OR(AND(H40&gt;0,I40="KNOWN"),AND(H40=0,I40="ZERO_CONFIRMED")),N40&lt;&gt;""),"READY","INCOMPLETE / SOURCE"))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6"/>
      <c r="I41" s="4"/>
      <c r="J41" s="4"/>
      <c r="K41" s="4"/>
      <c r="L41" s="5" t="str">
        <f aca="false">IF(B41="","",IFERROR(INDEX(04_КП!$F$4:$F$203,MATCH(B41,04_КП!$A$4:$A$203,0)),""))</f>
        <v/>
      </c>
      <c r="M41" s="5" t="str">
        <f aca="false">IF(B41="","",IFERROR(INDEX(04_КП!$G$4:$G$203,MATCH(B41,04_КП!$A$4:$A$203,0)),""))</f>
        <v/>
      </c>
      <c r="N41" s="4"/>
      <c r="O41" s="5" t="str">
        <f aca="false">IF(A41="","",IF(AND(COUNTIF(A$4:A$203,A41)=1,COUNTIF(04_КП!$A$4:$A$203,B41)=1,IFERROR(INDEX(04_КП!$T$4:$T$203,MATCH(B41,04_КП!$A$4:$A$203,0)),"")="READY",COUNTIF(03_Пакеты!$A$4:$A$203,C41)=1,G41&lt;&gt;"",ISNUMBER(H41),H41&gt;=0,OR(AND(H41&gt;0,I41="KNOWN"),AND(H41=0,I41="ZERO_CONFIRMED")),N41&lt;&gt;""),"READY","INCOMPLETE / SOURCE"))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6"/>
      <c r="I42" s="4"/>
      <c r="J42" s="4"/>
      <c r="K42" s="4"/>
      <c r="L42" s="5" t="str">
        <f aca="false">IF(B42="","",IFERROR(INDEX(04_КП!$F$4:$F$203,MATCH(B42,04_КП!$A$4:$A$203,0)),""))</f>
        <v/>
      </c>
      <c r="M42" s="5" t="str">
        <f aca="false">IF(B42="","",IFERROR(INDEX(04_КП!$G$4:$G$203,MATCH(B42,04_КП!$A$4:$A$203,0)),""))</f>
        <v/>
      </c>
      <c r="N42" s="4"/>
      <c r="O42" s="5" t="str">
        <f aca="false">IF(A42="","",IF(AND(COUNTIF(A$4:A$203,A42)=1,COUNTIF(04_КП!$A$4:$A$203,B42)=1,IFERROR(INDEX(04_КП!$T$4:$T$203,MATCH(B42,04_КП!$A$4:$A$203,0)),"")="READY",COUNTIF(03_Пакеты!$A$4:$A$203,C42)=1,G42&lt;&gt;"",ISNUMBER(H42),H42&gt;=0,OR(AND(H42&gt;0,I42="KNOWN"),AND(H42=0,I42="ZERO_CONFIRMED")),N42&lt;&gt;""),"READY","INCOMPLETE / SOURCE"))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6"/>
      <c r="I43" s="4"/>
      <c r="J43" s="4"/>
      <c r="K43" s="4"/>
      <c r="L43" s="5" t="str">
        <f aca="false">IF(B43="","",IFERROR(INDEX(04_КП!$F$4:$F$203,MATCH(B43,04_КП!$A$4:$A$203,0)),""))</f>
        <v/>
      </c>
      <c r="M43" s="5" t="str">
        <f aca="false">IF(B43="","",IFERROR(INDEX(04_КП!$G$4:$G$203,MATCH(B43,04_КП!$A$4:$A$203,0)),""))</f>
        <v/>
      </c>
      <c r="N43" s="4"/>
      <c r="O43" s="5" t="str">
        <f aca="false">IF(A43="","",IF(AND(COUNTIF(A$4:A$203,A43)=1,COUNTIF(04_КП!$A$4:$A$203,B43)=1,IFERROR(INDEX(04_КП!$T$4:$T$203,MATCH(B43,04_КП!$A$4:$A$203,0)),"")="READY",COUNTIF(03_Пакеты!$A$4:$A$203,C43)=1,G43&lt;&gt;"",ISNUMBER(H43),H43&gt;=0,OR(AND(H43&gt;0,I43="KNOWN"),AND(H43=0,I43="ZERO_CONFIRMED")),N43&lt;&gt;""),"READY","INCOMPLETE / SOURCE"))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6"/>
      <c r="I44" s="4"/>
      <c r="J44" s="4"/>
      <c r="K44" s="4"/>
      <c r="L44" s="5" t="str">
        <f aca="false">IF(B44="","",IFERROR(INDEX(04_КП!$F$4:$F$203,MATCH(B44,04_КП!$A$4:$A$203,0)),""))</f>
        <v/>
      </c>
      <c r="M44" s="5" t="str">
        <f aca="false">IF(B44="","",IFERROR(INDEX(04_КП!$G$4:$G$203,MATCH(B44,04_КП!$A$4:$A$203,0)),""))</f>
        <v/>
      </c>
      <c r="N44" s="4"/>
      <c r="O44" s="5" t="str">
        <f aca="false">IF(A44="","",IF(AND(COUNTIF(A$4:A$203,A44)=1,COUNTIF(04_КП!$A$4:$A$203,B44)=1,IFERROR(INDEX(04_КП!$T$4:$T$203,MATCH(B44,04_КП!$A$4:$A$203,0)),"")="READY",COUNTIF(03_Пакеты!$A$4:$A$203,C44)=1,G44&lt;&gt;"",ISNUMBER(H44),H44&gt;=0,OR(AND(H44&gt;0,I44="KNOWN"),AND(H44=0,I44="ZERO_CONFIRMED")),N44&lt;&gt;""),"READY","INCOMPLETE / SOURCE"))</f>
        <v/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6"/>
      <c r="I45" s="4"/>
      <c r="J45" s="4"/>
      <c r="K45" s="4"/>
      <c r="L45" s="5" t="str">
        <f aca="false">IF(B45="","",IFERROR(INDEX(04_КП!$F$4:$F$203,MATCH(B45,04_КП!$A$4:$A$203,0)),""))</f>
        <v/>
      </c>
      <c r="M45" s="5" t="str">
        <f aca="false">IF(B45="","",IFERROR(INDEX(04_КП!$G$4:$G$203,MATCH(B45,04_КП!$A$4:$A$203,0)),""))</f>
        <v/>
      </c>
      <c r="N45" s="4"/>
      <c r="O45" s="5" t="str">
        <f aca="false">IF(A45="","",IF(AND(COUNTIF(A$4:A$203,A45)=1,COUNTIF(04_КП!$A$4:$A$203,B45)=1,IFERROR(INDEX(04_КП!$T$4:$T$203,MATCH(B45,04_КП!$A$4:$A$203,0)),"")="READY",COUNTIF(03_Пакеты!$A$4:$A$203,C45)=1,G45&lt;&gt;"",ISNUMBER(H45),H45&gt;=0,OR(AND(H45&gt;0,I45="KNOWN"),AND(H45=0,I45="ZERO_CONFIRMED")),N45&lt;&gt;""),"READY","INCOMPLETE / SOURCE"))</f>
        <v/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6"/>
      <c r="I46" s="4"/>
      <c r="J46" s="4"/>
      <c r="K46" s="4"/>
      <c r="L46" s="5" t="str">
        <f aca="false">IF(B46="","",IFERROR(INDEX(04_КП!$F$4:$F$203,MATCH(B46,04_КП!$A$4:$A$203,0)),""))</f>
        <v/>
      </c>
      <c r="M46" s="5" t="str">
        <f aca="false">IF(B46="","",IFERROR(INDEX(04_КП!$G$4:$G$203,MATCH(B46,04_КП!$A$4:$A$203,0)),""))</f>
        <v/>
      </c>
      <c r="N46" s="4"/>
      <c r="O46" s="5" t="str">
        <f aca="false">IF(A46="","",IF(AND(COUNTIF(A$4:A$203,A46)=1,COUNTIF(04_КП!$A$4:$A$203,B46)=1,IFERROR(INDEX(04_КП!$T$4:$T$203,MATCH(B46,04_КП!$A$4:$A$203,0)),"")="READY",COUNTIF(03_Пакеты!$A$4:$A$203,C46)=1,G46&lt;&gt;"",ISNUMBER(H46),H46&gt;=0,OR(AND(H46&gt;0,I46="KNOWN"),AND(H46=0,I46="ZERO_CONFIRMED")),N46&lt;&gt;""),"READY","INCOMPLETE / SOURCE"))</f>
        <v/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6"/>
      <c r="I47" s="4"/>
      <c r="J47" s="4"/>
      <c r="K47" s="4"/>
      <c r="L47" s="5" t="str">
        <f aca="false">IF(B47="","",IFERROR(INDEX(04_КП!$F$4:$F$203,MATCH(B47,04_КП!$A$4:$A$203,0)),""))</f>
        <v/>
      </c>
      <c r="M47" s="5" t="str">
        <f aca="false">IF(B47="","",IFERROR(INDEX(04_КП!$G$4:$G$203,MATCH(B47,04_КП!$A$4:$A$203,0)),""))</f>
        <v/>
      </c>
      <c r="N47" s="4"/>
      <c r="O47" s="5" t="str">
        <f aca="false">IF(A47="","",IF(AND(COUNTIF(A$4:A$203,A47)=1,COUNTIF(04_КП!$A$4:$A$203,B47)=1,IFERROR(INDEX(04_КП!$T$4:$T$203,MATCH(B47,04_КП!$A$4:$A$203,0)),"")="READY",COUNTIF(03_Пакеты!$A$4:$A$203,C47)=1,G47&lt;&gt;"",ISNUMBER(H47),H47&gt;=0,OR(AND(H47&gt;0,I47="KNOWN"),AND(H47=0,I47="ZERO_CONFIRMED")),N47&lt;&gt;""),"READY","INCOMPLETE / SOURCE"))</f>
        <v/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6"/>
      <c r="I48" s="4"/>
      <c r="J48" s="4"/>
      <c r="K48" s="4"/>
      <c r="L48" s="5" t="str">
        <f aca="false">IF(B48="","",IFERROR(INDEX(04_КП!$F$4:$F$203,MATCH(B48,04_КП!$A$4:$A$203,0)),""))</f>
        <v/>
      </c>
      <c r="M48" s="5" t="str">
        <f aca="false">IF(B48="","",IFERROR(INDEX(04_КП!$G$4:$G$203,MATCH(B48,04_КП!$A$4:$A$203,0)),""))</f>
        <v/>
      </c>
      <c r="N48" s="4"/>
      <c r="O48" s="5" t="str">
        <f aca="false">IF(A48="","",IF(AND(COUNTIF(A$4:A$203,A48)=1,COUNTIF(04_КП!$A$4:$A$203,B48)=1,IFERROR(INDEX(04_КП!$T$4:$T$203,MATCH(B48,04_КП!$A$4:$A$203,0)),"")="READY",COUNTIF(03_Пакеты!$A$4:$A$203,C48)=1,G48&lt;&gt;"",ISNUMBER(H48),H48&gt;=0,OR(AND(H48&gt;0,I48="KNOWN"),AND(H48=0,I48="ZERO_CONFIRMED")),N48&lt;&gt;""),"READY","INCOMPLETE / SOURCE"))</f>
        <v/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6"/>
      <c r="I49" s="4"/>
      <c r="J49" s="4"/>
      <c r="K49" s="4"/>
      <c r="L49" s="5" t="str">
        <f aca="false">IF(B49="","",IFERROR(INDEX(04_КП!$F$4:$F$203,MATCH(B49,04_КП!$A$4:$A$203,0)),""))</f>
        <v/>
      </c>
      <c r="M49" s="5" t="str">
        <f aca="false">IF(B49="","",IFERROR(INDEX(04_КП!$G$4:$G$203,MATCH(B49,04_КП!$A$4:$A$203,0)),""))</f>
        <v/>
      </c>
      <c r="N49" s="4"/>
      <c r="O49" s="5" t="str">
        <f aca="false">IF(A49="","",IF(AND(COUNTIF(A$4:A$203,A49)=1,COUNTIF(04_КП!$A$4:$A$203,B49)=1,IFERROR(INDEX(04_КП!$T$4:$T$203,MATCH(B49,04_КП!$A$4:$A$203,0)),"")="READY",COUNTIF(03_Пакеты!$A$4:$A$203,C49)=1,G49&lt;&gt;"",ISNUMBER(H49),H49&gt;=0,OR(AND(H49&gt;0,I49="KNOWN"),AND(H49=0,I49="ZERO_CONFIRMED")),N49&lt;&gt;""),"READY","INCOMPLETE / SOURCE"))</f>
        <v/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6"/>
      <c r="I50" s="4"/>
      <c r="J50" s="4"/>
      <c r="K50" s="4"/>
      <c r="L50" s="5" t="str">
        <f aca="false">IF(B50="","",IFERROR(INDEX(04_КП!$F$4:$F$203,MATCH(B50,04_КП!$A$4:$A$203,0)),""))</f>
        <v/>
      </c>
      <c r="M50" s="5" t="str">
        <f aca="false">IF(B50="","",IFERROR(INDEX(04_КП!$G$4:$G$203,MATCH(B50,04_КП!$A$4:$A$203,0)),""))</f>
        <v/>
      </c>
      <c r="N50" s="4"/>
      <c r="O50" s="5" t="str">
        <f aca="false">IF(A50="","",IF(AND(COUNTIF(A$4:A$203,A50)=1,COUNTIF(04_КП!$A$4:$A$203,B50)=1,IFERROR(INDEX(04_КП!$T$4:$T$203,MATCH(B50,04_КП!$A$4:$A$203,0)),"")="READY",COUNTIF(03_Пакеты!$A$4:$A$203,C50)=1,G50&lt;&gt;"",ISNUMBER(H50),H50&gt;=0,OR(AND(H50&gt;0,I50="KNOWN"),AND(H50=0,I50="ZERO_CONFIRMED")),N50&lt;&gt;""),"READY","INCOMPLETE / SOURCE"))</f>
        <v/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6"/>
      <c r="I51" s="4"/>
      <c r="J51" s="4"/>
      <c r="K51" s="4"/>
      <c r="L51" s="5" t="str">
        <f aca="false">IF(B51="","",IFERROR(INDEX(04_КП!$F$4:$F$203,MATCH(B51,04_КП!$A$4:$A$203,0)),""))</f>
        <v/>
      </c>
      <c r="M51" s="5" t="str">
        <f aca="false">IF(B51="","",IFERROR(INDEX(04_КП!$G$4:$G$203,MATCH(B51,04_КП!$A$4:$A$203,0)),""))</f>
        <v/>
      </c>
      <c r="N51" s="4"/>
      <c r="O51" s="5" t="str">
        <f aca="false">IF(A51="","",IF(AND(COUNTIF(A$4:A$203,A51)=1,COUNTIF(04_КП!$A$4:$A$203,B51)=1,IFERROR(INDEX(04_КП!$T$4:$T$203,MATCH(B51,04_КП!$A$4:$A$203,0)),"")="READY",COUNTIF(03_Пакеты!$A$4:$A$203,C51)=1,G51&lt;&gt;"",ISNUMBER(H51),H51&gt;=0,OR(AND(H51&gt;0,I51="KNOWN"),AND(H51=0,I51="ZERO_CONFIRMED")),N51&lt;&gt;""),"READY","INCOMPLETE / SOURCE"))</f>
        <v/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6"/>
      <c r="I52" s="4"/>
      <c r="J52" s="4"/>
      <c r="K52" s="4"/>
      <c r="L52" s="5" t="str">
        <f aca="false">IF(B52="","",IFERROR(INDEX(04_КП!$F$4:$F$203,MATCH(B52,04_КП!$A$4:$A$203,0)),""))</f>
        <v/>
      </c>
      <c r="M52" s="5" t="str">
        <f aca="false">IF(B52="","",IFERROR(INDEX(04_КП!$G$4:$G$203,MATCH(B52,04_КП!$A$4:$A$203,0)),""))</f>
        <v/>
      </c>
      <c r="N52" s="4"/>
      <c r="O52" s="5" t="str">
        <f aca="false">IF(A52="","",IF(AND(COUNTIF(A$4:A$203,A52)=1,COUNTIF(04_КП!$A$4:$A$203,B52)=1,IFERROR(INDEX(04_КП!$T$4:$T$203,MATCH(B52,04_КП!$A$4:$A$203,0)),"")="READY",COUNTIF(03_Пакеты!$A$4:$A$203,C52)=1,G52&lt;&gt;"",ISNUMBER(H52),H52&gt;=0,OR(AND(H52&gt;0,I52="KNOWN"),AND(H52=0,I52="ZERO_CONFIRMED")),N52&lt;&gt;""),"READY","INCOMPLETE / SOURCE"))</f>
        <v/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6"/>
      <c r="I53" s="4"/>
      <c r="J53" s="4"/>
      <c r="K53" s="4"/>
      <c r="L53" s="5" t="str">
        <f aca="false">IF(B53="","",IFERROR(INDEX(04_КП!$F$4:$F$203,MATCH(B53,04_КП!$A$4:$A$203,0)),""))</f>
        <v/>
      </c>
      <c r="M53" s="5" t="str">
        <f aca="false">IF(B53="","",IFERROR(INDEX(04_КП!$G$4:$G$203,MATCH(B53,04_КП!$A$4:$A$203,0)),""))</f>
        <v/>
      </c>
      <c r="N53" s="4"/>
      <c r="O53" s="5" t="str">
        <f aca="false">IF(A53="","",IF(AND(COUNTIF(A$4:A$203,A53)=1,COUNTIF(04_КП!$A$4:$A$203,B53)=1,IFERROR(INDEX(04_КП!$T$4:$T$203,MATCH(B53,04_КП!$A$4:$A$203,0)),"")="READY",COUNTIF(03_Пакеты!$A$4:$A$203,C53)=1,G53&lt;&gt;"",ISNUMBER(H53),H53&gt;=0,OR(AND(H53&gt;0,I53="KNOWN"),AND(H53=0,I53="ZERO_CONFIRMED")),N53&lt;&gt;""),"READY","INCOMPLETE / SOURCE"))</f>
        <v/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6"/>
      <c r="I54" s="4"/>
      <c r="J54" s="4"/>
      <c r="K54" s="4"/>
      <c r="L54" s="5" t="str">
        <f aca="false">IF(B54="","",IFERROR(INDEX(04_КП!$F$4:$F$203,MATCH(B54,04_КП!$A$4:$A$203,0)),""))</f>
        <v/>
      </c>
      <c r="M54" s="5" t="str">
        <f aca="false">IF(B54="","",IFERROR(INDEX(04_КП!$G$4:$G$203,MATCH(B54,04_КП!$A$4:$A$203,0)),""))</f>
        <v/>
      </c>
      <c r="N54" s="4"/>
      <c r="O54" s="5" t="str">
        <f aca="false">IF(A54="","",IF(AND(COUNTIF(A$4:A$203,A54)=1,COUNTIF(04_КП!$A$4:$A$203,B54)=1,IFERROR(INDEX(04_КП!$T$4:$T$203,MATCH(B54,04_КП!$A$4:$A$203,0)),"")="READY",COUNTIF(03_Пакеты!$A$4:$A$203,C54)=1,G54&lt;&gt;"",ISNUMBER(H54),H54&gt;=0,OR(AND(H54&gt;0,I54="KNOWN"),AND(H54=0,I54="ZERO_CONFIRMED")),N54&lt;&gt;""),"READY","INCOMPLETE / SOURCE"))</f>
        <v/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6"/>
      <c r="I55" s="4"/>
      <c r="J55" s="4"/>
      <c r="K55" s="4"/>
      <c r="L55" s="5" t="str">
        <f aca="false">IF(B55="","",IFERROR(INDEX(04_КП!$F$4:$F$203,MATCH(B55,04_КП!$A$4:$A$203,0)),""))</f>
        <v/>
      </c>
      <c r="M55" s="5" t="str">
        <f aca="false">IF(B55="","",IFERROR(INDEX(04_КП!$G$4:$G$203,MATCH(B55,04_КП!$A$4:$A$203,0)),""))</f>
        <v/>
      </c>
      <c r="N55" s="4"/>
      <c r="O55" s="5" t="str">
        <f aca="false">IF(A55="","",IF(AND(COUNTIF(A$4:A$203,A55)=1,COUNTIF(04_КП!$A$4:$A$203,B55)=1,IFERROR(INDEX(04_КП!$T$4:$T$203,MATCH(B55,04_КП!$A$4:$A$203,0)),"")="READY",COUNTIF(03_Пакеты!$A$4:$A$203,C55)=1,G55&lt;&gt;"",ISNUMBER(H55),H55&gt;=0,OR(AND(H55&gt;0,I55="KNOWN"),AND(H55=0,I55="ZERO_CONFIRMED")),N55&lt;&gt;""),"READY","INCOMPLETE / SOURCE"))</f>
        <v/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6"/>
      <c r="I56" s="4"/>
      <c r="J56" s="4"/>
      <c r="K56" s="4"/>
      <c r="L56" s="5" t="str">
        <f aca="false">IF(B56="","",IFERROR(INDEX(04_КП!$F$4:$F$203,MATCH(B56,04_КП!$A$4:$A$203,0)),""))</f>
        <v/>
      </c>
      <c r="M56" s="5" t="str">
        <f aca="false">IF(B56="","",IFERROR(INDEX(04_КП!$G$4:$G$203,MATCH(B56,04_КП!$A$4:$A$203,0)),""))</f>
        <v/>
      </c>
      <c r="N56" s="4"/>
      <c r="O56" s="5" t="str">
        <f aca="false">IF(A56="","",IF(AND(COUNTIF(A$4:A$203,A56)=1,COUNTIF(04_КП!$A$4:$A$203,B56)=1,IFERROR(INDEX(04_КП!$T$4:$T$203,MATCH(B56,04_КП!$A$4:$A$203,0)),"")="READY",COUNTIF(03_Пакеты!$A$4:$A$203,C56)=1,G56&lt;&gt;"",ISNUMBER(H56),H56&gt;=0,OR(AND(H56&gt;0,I56="KNOWN"),AND(H56=0,I56="ZERO_CONFIRMED")),N56&lt;&gt;""),"READY","INCOMPLETE / SOURCE"))</f>
        <v/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6"/>
      <c r="I57" s="4"/>
      <c r="J57" s="4"/>
      <c r="K57" s="4"/>
      <c r="L57" s="5" t="str">
        <f aca="false">IF(B57="","",IFERROR(INDEX(04_КП!$F$4:$F$203,MATCH(B57,04_КП!$A$4:$A$203,0)),""))</f>
        <v/>
      </c>
      <c r="M57" s="5" t="str">
        <f aca="false">IF(B57="","",IFERROR(INDEX(04_КП!$G$4:$G$203,MATCH(B57,04_КП!$A$4:$A$203,0)),""))</f>
        <v/>
      </c>
      <c r="N57" s="4"/>
      <c r="O57" s="5" t="str">
        <f aca="false">IF(A57="","",IF(AND(COUNTIF(A$4:A$203,A57)=1,COUNTIF(04_КП!$A$4:$A$203,B57)=1,IFERROR(INDEX(04_КП!$T$4:$T$203,MATCH(B57,04_КП!$A$4:$A$203,0)),"")="READY",COUNTIF(03_Пакеты!$A$4:$A$203,C57)=1,G57&lt;&gt;"",ISNUMBER(H57),H57&gt;=0,OR(AND(H57&gt;0,I57="KNOWN"),AND(H57=0,I57="ZERO_CONFIRMED")),N57&lt;&gt;""),"READY","INCOMPLETE / SOURCE"))</f>
        <v/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6"/>
      <c r="I58" s="4"/>
      <c r="J58" s="4"/>
      <c r="K58" s="4"/>
      <c r="L58" s="5" t="str">
        <f aca="false">IF(B58="","",IFERROR(INDEX(04_КП!$F$4:$F$203,MATCH(B58,04_КП!$A$4:$A$203,0)),""))</f>
        <v/>
      </c>
      <c r="M58" s="5" t="str">
        <f aca="false">IF(B58="","",IFERROR(INDEX(04_КП!$G$4:$G$203,MATCH(B58,04_КП!$A$4:$A$203,0)),""))</f>
        <v/>
      </c>
      <c r="N58" s="4"/>
      <c r="O58" s="5" t="str">
        <f aca="false">IF(A58="","",IF(AND(COUNTIF(A$4:A$203,A58)=1,COUNTIF(04_КП!$A$4:$A$203,B58)=1,IFERROR(INDEX(04_КП!$T$4:$T$203,MATCH(B58,04_КП!$A$4:$A$203,0)),"")="READY",COUNTIF(03_Пакеты!$A$4:$A$203,C58)=1,G58&lt;&gt;"",ISNUMBER(H58),H58&gt;=0,OR(AND(H58&gt;0,I58="KNOWN"),AND(H58=0,I58="ZERO_CONFIRMED")),N58&lt;&gt;""),"READY","INCOMPLETE / SOURCE"))</f>
        <v/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6"/>
      <c r="I59" s="4"/>
      <c r="J59" s="4"/>
      <c r="K59" s="4"/>
      <c r="L59" s="5" t="str">
        <f aca="false">IF(B59="","",IFERROR(INDEX(04_КП!$F$4:$F$203,MATCH(B59,04_КП!$A$4:$A$203,0)),""))</f>
        <v/>
      </c>
      <c r="M59" s="5" t="str">
        <f aca="false">IF(B59="","",IFERROR(INDEX(04_КП!$G$4:$G$203,MATCH(B59,04_КП!$A$4:$A$203,0)),""))</f>
        <v/>
      </c>
      <c r="N59" s="4"/>
      <c r="O59" s="5" t="str">
        <f aca="false">IF(A59="","",IF(AND(COUNTIF(A$4:A$203,A59)=1,COUNTIF(04_КП!$A$4:$A$203,B59)=1,IFERROR(INDEX(04_КП!$T$4:$T$203,MATCH(B59,04_КП!$A$4:$A$203,0)),"")="READY",COUNTIF(03_Пакеты!$A$4:$A$203,C59)=1,G59&lt;&gt;"",ISNUMBER(H59),H59&gt;=0,OR(AND(H59&gt;0,I59="KNOWN"),AND(H59=0,I59="ZERO_CONFIRMED")),N59&lt;&gt;""),"READY","INCOMPLETE / SOURCE"))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6"/>
      <c r="I60" s="4"/>
      <c r="J60" s="4"/>
      <c r="K60" s="4"/>
      <c r="L60" s="5" t="str">
        <f aca="false">IF(B60="","",IFERROR(INDEX(04_КП!$F$4:$F$203,MATCH(B60,04_КП!$A$4:$A$203,0)),""))</f>
        <v/>
      </c>
      <c r="M60" s="5" t="str">
        <f aca="false">IF(B60="","",IFERROR(INDEX(04_КП!$G$4:$G$203,MATCH(B60,04_КП!$A$4:$A$203,0)),""))</f>
        <v/>
      </c>
      <c r="N60" s="4"/>
      <c r="O60" s="5" t="str">
        <f aca="false">IF(A60="","",IF(AND(COUNTIF(A$4:A$203,A60)=1,COUNTIF(04_КП!$A$4:$A$203,B60)=1,IFERROR(INDEX(04_КП!$T$4:$T$203,MATCH(B60,04_КП!$A$4:$A$203,0)),"")="READY",COUNTIF(03_Пакеты!$A$4:$A$203,C60)=1,G60&lt;&gt;"",ISNUMBER(H60),H60&gt;=0,OR(AND(H60&gt;0,I60="KNOWN"),AND(H60=0,I60="ZERO_CONFIRMED")),N60&lt;&gt;""),"READY","INCOMPLETE / SOURCE"))</f>
        <v/>
      </c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6"/>
      <c r="I61" s="4"/>
      <c r="J61" s="4"/>
      <c r="K61" s="4"/>
      <c r="L61" s="5" t="str">
        <f aca="false">IF(B61="","",IFERROR(INDEX(04_КП!$F$4:$F$203,MATCH(B61,04_КП!$A$4:$A$203,0)),""))</f>
        <v/>
      </c>
      <c r="M61" s="5" t="str">
        <f aca="false">IF(B61="","",IFERROR(INDEX(04_КП!$G$4:$G$203,MATCH(B61,04_КП!$A$4:$A$203,0)),""))</f>
        <v/>
      </c>
      <c r="N61" s="4"/>
      <c r="O61" s="5" t="str">
        <f aca="false">IF(A61="","",IF(AND(COUNTIF(A$4:A$203,A61)=1,COUNTIF(04_КП!$A$4:$A$203,B61)=1,IFERROR(INDEX(04_КП!$T$4:$T$203,MATCH(B61,04_КП!$A$4:$A$203,0)),"")="READY",COUNTIF(03_Пакеты!$A$4:$A$203,C61)=1,G61&lt;&gt;"",ISNUMBER(H61),H61&gt;=0,OR(AND(H61&gt;0,I61="KNOWN"),AND(H61=0,I61="ZERO_CONFIRMED")),N61&lt;&gt;""),"READY","INCOMPLETE / SOURCE"))</f>
        <v/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6"/>
      <c r="I62" s="4"/>
      <c r="J62" s="4"/>
      <c r="K62" s="4"/>
      <c r="L62" s="5" t="str">
        <f aca="false">IF(B62="","",IFERROR(INDEX(04_КП!$F$4:$F$203,MATCH(B62,04_КП!$A$4:$A$203,0)),""))</f>
        <v/>
      </c>
      <c r="M62" s="5" t="str">
        <f aca="false">IF(B62="","",IFERROR(INDEX(04_КП!$G$4:$G$203,MATCH(B62,04_КП!$A$4:$A$203,0)),""))</f>
        <v/>
      </c>
      <c r="N62" s="4"/>
      <c r="O62" s="5" t="str">
        <f aca="false">IF(A62="","",IF(AND(COUNTIF(A$4:A$203,A62)=1,COUNTIF(04_КП!$A$4:$A$203,B62)=1,IFERROR(INDEX(04_КП!$T$4:$T$203,MATCH(B62,04_КП!$A$4:$A$203,0)),"")="READY",COUNTIF(03_Пакеты!$A$4:$A$203,C62)=1,G62&lt;&gt;"",ISNUMBER(H62),H62&gt;=0,OR(AND(H62&gt;0,I62="KNOWN"),AND(H62=0,I62="ZERO_CONFIRMED")),N62&lt;&gt;""),"READY","INCOMPLETE / SOURCE"))</f>
        <v/>
      </c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6"/>
      <c r="I63" s="4"/>
      <c r="J63" s="4"/>
      <c r="K63" s="4"/>
      <c r="L63" s="5" t="str">
        <f aca="false">IF(B63="","",IFERROR(INDEX(04_КП!$F$4:$F$203,MATCH(B63,04_КП!$A$4:$A$203,0)),""))</f>
        <v/>
      </c>
      <c r="M63" s="5" t="str">
        <f aca="false">IF(B63="","",IFERROR(INDEX(04_КП!$G$4:$G$203,MATCH(B63,04_КП!$A$4:$A$203,0)),""))</f>
        <v/>
      </c>
      <c r="N63" s="4"/>
      <c r="O63" s="5" t="str">
        <f aca="false">IF(A63="","",IF(AND(COUNTIF(A$4:A$203,A63)=1,COUNTIF(04_КП!$A$4:$A$203,B63)=1,IFERROR(INDEX(04_КП!$T$4:$T$203,MATCH(B63,04_КП!$A$4:$A$203,0)),"")="READY",COUNTIF(03_Пакеты!$A$4:$A$203,C63)=1,G63&lt;&gt;"",ISNUMBER(H63),H63&gt;=0,OR(AND(H63&gt;0,I63="KNOWN"),AND(H63=0,I63="ZERO_CONFIRMED")),N63&lt;&gt;""),"READY","INCOMPLETE / SOURCE"))</f>
        <v/>
      </c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6"/>
      <c r="I64" s="4"/>
      <c r="J64" s="4"/>
      <c r="K64" s="4"/>
      <c r="L64" s="5" t="str">
        <f aca="false">IF(B64="","",IFERROR(INDEX(04_КП!$F$4:$F$203,MATCH(B64,04_КП!$A$4:$A$203,0)),""))</f>
        <v/>
      </c>
      <c r="M64" s="5" t="str">
        <f aca="false">IF(B64="","",IFERROR(INDEX(04_КП!$G$4:$G$203,MATCH(B64,04_КП!$A$4:$A$203,0)),""))</f>
        <v/>
      </c>
      <c r="N64" s="4"/>
      <c r="O64" s="5" t="str">
        <f aca="false">IF(A64="","",IF(AND(COUNTIF(A$4:A$203,A64)=1,COUNTIF(04_КП!$A$4:$A$203,B64)=1,IFERROR(INDEX(04_КП!$T$4:$T$203,MATCH(B64,04_КП!$A$4:$A$203,0)),"")="READY",COUNTIF(03_Пакеты!$A$4:$A$203,C64)=1,G64&lt;&gt;"",ISNUMBER(H64),H64&gt;=0,OR(AND(H64&gt;0,I64="KNOWN"),AND(H64=0,I64="ZERO_CONFIRMED")),N64&lt;&gt;""),"READY","INCOMPLETE / SOURCE"))</f>
        <v/>
      </c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6"/>
      <c r="I65" s="4"/>
      <c r="J65" s="4"/>
      <c r="K65" s="4"/>
      <c r="L65" s="5" t="str">
        <f aca="false">IF(B65="","",IFERROR(INDEX(04_КП!$F$4:$F$203,MATCH(B65,04_КП!$A$4:$A$203,0)),""))</f>
        <v/>
      </c>
      <c r="M65" s="5" t="str">
        <f aca="false">IF(B65="","",IFERROR(INDEX(04_КП!$G$4:$G$203,MATCH(B65,04_КП!$A$4:$A$203,0)),""))</f>
        <v/>
      </c>
      <c r="N65" s="4"/>
      <c r="O65" s="5" t="str">
        <f aca="false">IF(A65="","",IF(AND(COUNTIF(A$4:A$203,A65)=1,COUNTIF(04_КП!$A$4:$A$203,B65)=1,IFERROR(INDEX(04_КП!$T$4:$T$203,MATCH(B65,04_КП!$A$4:$A$203,0)),"")="READY",COUNTIF(03_Пакеты!$A$4:$A$203,C65)=1,G65&lt;&gt;"",ISNUMBER(H65),H65&gt;=0,OR(AND(H65&gt;0,I65="KNOWN"),AND(H65=0,I65="ZERO_CONFIRMED")),N65&lt;&gt;""),"READY","INCOMPLETE / SOURCE"))</f>
        <v/>
      </c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6"/>
      <c r="I66" s="4"/>
      <c r="J66" s="4"/>
      <c r="K66" s="4"/>
      <c r="L66" s="5" t="str">
        <f aca="false">IF(B66="","",IFERROR(INDEX(04_КП!$F$4:$F$203,MATCH(B66,04_КП!$A$4:$A$203,0)),""))</f>
        <v/>
      </c>
      <c r="M66" s="5" t="str">
        <f aca="false">IF(B66="","",IFERROR(INDEX(04_КП!$G$4:$G$203,MATCH(B66,04_КП!$A$4:$A$203,0)),""))</f>
        <v/>
      </c>
      <c r="N66" s="4"/>
      <c r="O66" s="5" t="str">
        <f aca="false">IF(A66="","",IF(AND(COUNTIF(A$4:A$203,A66)=1,COUNTIF(04_КП!$A$4:$A$203,B66)=1,IFERROR(INDEX(04_КП!$T$4:$T$203,MATCH(B66,04_КП!$A$4:$A$203,0)),"")="READY",COUNTIF(03_Пакеты!$A$4:$A$203,C66)=1,G66&lt;&gt;"",ISNUMBER(H66),H66&gt;=0,OR(AND(H66&gt;0,I66="KNOWN"),AND(H66=0,I66="ZERO_CONFIRMED")),N66&lt;&gt;""),"READY","INCOMPLETE / SOURCE"))</f>
        <v/>
      </c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6"/>
      <c r="I67" s="4"/>
      <c r="J67" s="4"/>
      <c r="K67" s="4"/>
      <c r="L67" s="5" t="str">
        <f aca="false">IF(B67="","",IFERROR(INDEX(04_КП!$F$4:$F$203,MATCH(B67,04_КП!$A$4:$A$203,0)),""))</f>
        <v/>
      </c>
      <c r="M67" s="5" t="str">
        <f aca="false">IF(B67="","",IFERROR(INDEX(04_КП!$G$4:$G$203,MATCH(B67,04_КП!$A$4:$A$203,0)),""))</f>
        <v/>
      </c>
      <c r="N67" s="4"/>
      <c r="O67" s="5" t="str">
        <f aca="false">IF(A67="","",IF(AND(COUNTIF(A$4:A$203,A67)=1,COUNTIF(04_КП!$A$4:$A$203,B67)=1,IFERROR(INDEX(04_КП!$T$4:$T$203,MATCH(B67,04_КП!$A$4:$A$203,0)),"")="READY",COUNTIF(03_Пакеты!$A$4:$A$203,C67)=1,G67&lt;&gt;"",ISNUMBER(H67),H67&gt;=0,OR(AND(H67&gt;0,I67="KNOWN"),AND(H67=0,I67="ZERO_CONFIRMED")),N67&lt;&gt;""),"READY","INCOMPLETE / SOURCE"))</f>
        <v/>
      </c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6"/>
      <c r="I68" s="4"/>
      <c r="J68" s="4"/>
      <c r="K68" s="4"/>
      <c r="L68" s="5" t="str">
        <f aca="false">IF(B68="","",IFERROR(INDEX(04_КП!$F$4:$F$203,MATCH(B68,04_КП!$A$4:$A$203,0)),""))</f>
        <v/>
      </c>
      <c r="M68" s="5" t="str">
        <f aca="false">IF(B68="","",IFERROR(INDEX(04_КП!$G$4:$G$203,MATCH(B68,04_КП!$A$4:$A$203,0)),""))</f>
        <v/>
      </c>
      <c r="N68" s="4"/>
      <c r="O68" s="5" t="str">
        <f aca="false">IF(A68="","",IF(AND(COUNTIF(A$4:A$203,A68)=1,COUNTIF(04_КП!$A$4:$A$203,B68)=1,IFERROR(INDEX(04_КП!$T$4:$T$203,MATCH(B68,04_КП!$A$4:$A$203,0)),"")="READY",COUNTIF(03_Пакеты!$A$4:$A$203,C68)=1,G68&lt;&gt;"",ISNUMBER(H68),H68&gt;=0,OR(AND(H68&gt;0,I68="KNOWN"),AND(H68=0,I68="ZERO_CONFIRMED")),N68&lt;&gt;""),"READY","INCOMPLETE / SOURCE"))</f>
        <v/>
      </c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6"/>
      <c r="I69" s="4"/>
      <c r="J69" s="4"/>
      <c r="K69" s="4"/>
      <c r="L69" s="5" t="str">
        <f aca="false">IF(B69="","",IFERROR(INDEX(04_КП!$F$4:$F$203,MATCH(B69,04_КП!$A$4:$A$203,0)),""))</f>
        <v/>
      </c>
      <c r="M69" s="5" t="str">
        <f aca="false">IF(B69="","",IFERROR(INDEX(04_КП!$G$4:$G$203,MATCH(B69,04_КП!$A$4:$A$203,0)),""))</f>
        <v/>
      </c>
      <c r="N69" s="4"/>
      <c r="O69" s="5" t="str">
        <f aca="false">IF(A69="","",IF(AND(COUNTIF(A$4:A$203,A69)=1,COUNTIF(04_КП!$A$4:$A$203,B69)=1,IFERROR(INDEX(04_КП!$T$4:$T$203,MATCH(B69,04_КП!$A$4:$A$203,0)),"")="READY",COUNTIF(03_Пакеты!$A$4:$A$203,C69)=1,G69&lt;&gt;"",ISNUMBER(H69),H69&gt;=0,OR(AND(H69&gt;0,I69="KNOWN"),AND(H69=0,I69="ZERO_CONFIRMED")),N69&lt;&gt;""),"READY","INCOMPLETE / SOURCE"))</f>
        <v/>
      </c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6"/>
      <c r="I70" s="4"/>
      <c r="J70" s="4"/>
      <c r="K70" s="4"/>
      <c r="L70" s="5" t="str">
        <f aca="false">IF(B70="","",IFERROR(INDEX(04_КП!$F$4:$F$203,MATCH(B70,04_КП!$A$4:$A$203,0)),""))</f>
        <v/>
      </c>
      <c r="M70" s="5" t="str">
        <f aca="false">IF(B70="","",IFERROR(INDEX(04_КП!$G$4:$G$203,MATCH(B70,04_КП!$A$4:$A$203,0)),""))</f>
        <v/>
      </c>
      <c r="N70" s="4"/>
      <c r="O70" s="5" t="str">
        <f aca="false">IF(A70="","",IF(AND(COUNTIF(A$4:A$203,A70)=1,COUNTIF(04_КП!$A$4:$A$203,B70)=1,IFERROR(INDEX(04_КП!$T$4:$T$203,MATCH(B70,04_КП!$A$4:$A$203,0)),"")="READY",COUNTIF(03_Пакеты!$A$4:$A$203,C70)=1,G70&lt;&gt;"",ISNUMBER(H70),H70&gt;=0,OR(AND(H70&gt;0,I70="KNOWN"),AND(H70=0,I70="ZERO_CONFIRMED")),N70&lt;&gt;""),"READY","INCOMPLETE / SOURCE"))</f>
        <v/>
      </c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6"/>
      <c r="I71" s="4"/>
      <c r="J71" s="4"/>
      <c r="K71" s="4"/>
      <c r="L71" s="5" t="str">
        <f aca="false">IF(B71="","",IFERROR(INDEX(04_КП!$F$4:$F$203,MATCH(B71,04_КП!$A$4:$A$203,0)),""))</f>
        <v/>
      </c>
      <c r="M71" s="5" t="str">
        <f aca="false">IF(B71="","",IFERROR(INDEX(04_КП!$G$4:$G$203,MATCH(B71,04_КП!$A$4:$A$203,0)),""))</f>
        <v/>
      </c>
      <c r="N71" s="4"/>
      <c r="O71" s="5" t="str">
        <f aca="false">IF(A71="","",IF(AND(COUNTIF(A$4:A$203,A71)=1,COUNTIF(04_КП!$A$4:$A$203,B71)=1,IFERROR(INDEX(04_КП!$T$4:$T$203,MATCH(B71,04_КП!$A$4:$A$203,0)),"")="READY",COUNTIF(03_Пакеты!$A$4:$A$203,C71)=1,G71&lt;&gt;"",ISNUMBER(H71),H71&gt;=0,OR(AND(H71&gt;0,I71="KNOWN"),AND(H71=0,I71="ZERO_CONFIRMED")),N71&lt;&gt;""),"READY","INCOMPLETE / SOURCE"))</f>
        <v/>
      </c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6"/>
      <c r="I72" s="4"/>
      <c r="J72" s="4"/>
      <c r="K72" s="4"/>
      <c r="L72" s="5" t="str">
        <f aca="false">IF(B72="","",IFERROR(INDEX(04_КП!$F$4:$F$203,MATCH(B72,04_КП!$A$4:$A$203,0)),""))</f>
        <v/>
      </c>
      <c r="M72" s="5" t="str">
        <f aca="false">IF(B72="","",IFERROR(INDEX(04_КП!$G$4:$G$203,MATCH(B72,04_КП!$A$4:$A$203,0)),""))</f>
        <v/>
      </c>
      <c r="N72" s="4"/>
      <c r="O72" s="5" t="str">
        <f aca="false">IF(A72="","",IF(AND(COUNTIF(A$4:A$203,A72)=1,COUNTIF(04_КП!$A$4:$A$203,B72)=1,IFERROR(INDEX(04_КП!$T$4:$T$203,MATCH(B72,04_КП!$A$4:$A$203,0)),"")="READY",COUNTIF(03_Пакеты!$A$4:$A$203,C72)=1,G72&lt;&gt;"",ISNUMBER(H72),H72&gt;=0,OR(AND(H72&gt;0,I72="KNOWN"),AND(H72=0,I72="ZERO_CONFIRMED")),N72&lt;&gt;""),"READY","INCOMPLETE / SOURCE"))</f>
        <v/>
      </c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6"/>
      <c r="I73" s="4"/>
      <c r="J73" s="4"/>
      <c r="K73" s="4"/>
      <c r="L73" s="5" t="str">
        <f aca="false">IF(B73="","",IFERROR(INDEX(04_КП!$F$4:$F$203,MATCH(B73,04_КП!$A$4:$A$203,0)),""))</f>
        <v/>
      </c>
      <c r="M73" s="5" t="str">
        <f aca="false">IF(B73="","",IFERROR(INDEX(04_КП!$G$4:$G$203,MATCH(B73,04_КП!$A$4:$A$203,0)),""))</f>
        <v/>
      </c>
      <c r="N73" s="4"/>
      <c r="O73" s="5" t="str">
        <f aca="false">IF(A73="","",IF(AND(COUNTIF(A$4:A$203,A73)=1,COUNTIF(04_КП!$A$4:$A$203,B73)=1,IFERROR(INDEX(04_КП!$T$4:$T$203,MATCH(B73,04_КП!$A$4:$A$203,0)),"")="READY",COUNTIF(03_Пакеты!$A$4:$A$203,C73)=1,G73&lt;&gt;"",ISNUMBER(H73),H73&gt;=0,OR(AND(H73&gt;0,I73="KNOWN"),AND(H73=0,I73="ZERO_CONFIRMED")),N73&lt;&gt;""),"READY","INCOMPLETE / SOURCE"))</f>
        <v/>
      </c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6"/>
      <c r="I74" s="4"/>
      <c r="J74" s="4"/>
      <c r="K74" s="4"/>
      <c r="L74" s="5" t="str">
        <f aca="false">IF(B74="","",IFERROR(INDEX(04_КП!$F$4:$F$203,MATCH(B74,04_КП!$A$4:$A$203,0)),""))</f>
        <v/>
      </c>
      <c r="M74" s="5" t="str">
        <f aca="false">IF(B74="","",IFERROR(INDEX(04_КП!$G$4:$G$203,MATCH(B74,04_КП!$A$4:$A$203,0)),""))</f>
        <v/>
      </c>
      <c r="N74" s="4"/>
      <c r="O74" s="5" t="str">
        <f aca="false">IF(A74="","",IF(AND(COUNTIF(A$4:A$203,A74)=1,COUNTIF(04_КП!$A$4:$A$203,B74)=1,IFERROR(INDEX(04_КП!$T$4:$T$203,MATCH(B74,04_КП!$A$4:$A$203,0)),"")="READY",COUNTIF(03_Пакеты!$A$4:$A$203,C74)=1,G74&lt;&gt;"",ISNUMBER(H74),H74&gt;=0,OR(AND(H74&gt;0,I74="KNOWN"),AND(H74=0,I74="ZERO_CONFIRMED")),N74&lt;&gt;""),"READY","INCOMPLETE / SOURCE"))</f>
        <v/>
      </c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6"/>
      <c r="I75" s="4"/>
      <c r="J75" s="4"/>
      <c r="K75" s="4"/>
      <c r="L75" s="5" t="str">
        <f aca="false">IF(B75="","",IFERROR(INDEX(04_КП!$F$4:$F$203,MATCH(B75,04_КП!$A$4:$A$203,0)),""))</f>
        <v/>
      </c>
      <c r="M75" s="5" t="str">
        <f aca="false">IF(B75="","",IFERROR(INDEX(04_КП!$G$4:$G$203,MATCH(B75,04_КП!$A$4:$A$203,0)),""))</f>
        <v/>
      </c>
      <c r="N75" s="4"/>
      <c r="O75" s="5" t="str">
        <f aca="false">IF(A75="","",IF(AND(COUNTIF(A$4:A$203,A75)=1,COUNTIF(04_КП!$A$4:$A$203,B75)=1,IFERROR(INDEX(04_КП!$T$4:$T$203,MATCH(B75,04_КП!$A$4:$A$203,0)),"")="READY",COUNTIF(03_Пакеты!$A$4:$A$203,C75)=1,G75&lt;&gt;"",ISNUMBER(H75),H75&gt;=0,OR(AND(H75&gt;0,I75="KNOWN"),AND(H75=0,I75="ZERO_CONFIRMED")),N75&lt;&gt;""),"READY","INCOMPLETE / SOURCE"))</f>
        <v/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6"/>
      <c r="I76" s="4"/>
      <c r="J76" s="4"/>
      <c r="K76" s="4"/>
      <c r="L76" s="5" t="str">
        <f aca="false">IF(B76="","",IFERROR(INDEX(04_КП!$F$4:$F$203,MATCH(B76,04_КП!$A$4:$A$203,0)),""))</f>
        <v/>
      </c>
      <c r="M76" s="5" t="str">
        <f aca="false">IF(B76="","",IFERROR(INDEX(04_КП!$G$4:$G$203,MATCH(B76,04_КП!$A$4:$A$203,0)),""))</f>
        <v/>
      </c>
      <c r="N76" s="4"/>
      <c r="O76" s="5" t="str">
        <f aca="false">IF(A76="","",IF(AND(COUNTIF(A$4:A$203,A76)=1,COUNTIF(04_КП!$A$4:$A$203,B76)=1,IFERROR(INDEX(04_КП!$T$4:$T$203,MATCH(B76,04_КП!$A$4:$A$203,0)),"")="READY",COUNTIF(03_Пакеты!$A$4:$A$203,C76)=1,G76&lt;&gt;"",ISNUMBER(H76),H76&gt;=0,OR(AND(H76&gt;0,I76="KNOWN"),AND(H76=0,I76="ZERO_CONFIRMED")),N76&lt;&gt;""),"READY","INCOMPLETE / SOURCE"))</f>
        <v/>
      </c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6"/>
      <c r="I77" s="4"/>
      <c r="J77" s="4"/>
      <c r="K77" s="4"/>
      <c r="L77" s="5" t="str">
        <f aca="false">IF(B77="","",IFERROR(INDEX(04_КП!$F$4:$F$203,MATCH(B77,04_КП!$A$4:$A$203,0)),""))</f>
        <v/>
      </c>
      <c r="M77" s="5" t="str">
        <f aca="false">IF(B77="","",IFERROR(INDEX(04_КП!$G$4:$G$203,MATCH(B77,04_КП!$A$4:$A$203,0)),""))</f>
        <v/>
      </c>
      <c r="N77" s="4"/>
      <c r="O77" s="5" t="str">
        <f aca="false">IF(A77="","",IF(AND(COUNTIF(A$4:A$203,A77)=1,COUNTIF(04_КП!$A$4:$A$203,B77)=1,IFERROR(INDEX(04_КП!$T$4:$T$203,MATCH(B77,04_КП!$A$4:$A$203,0)),"")="READY",COUNTIF(03_Пакеты!$A$4:$A$203,C77)=1,G77&lt;&gt;"",ISNUMBER(H77),H77&gt;=0,OR(AND(H77&gt;0,I77="KNOWN"),AND(H77=0,I77="ZERO_CONFIRMED")),N77&lt;&gt;""),"READY","INCOMPLETE / SOURCE"))</f>
        <v/>
      </c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6"/>
      <c r="I78" s="4"/>
      <c r="J78" s="4"/>
      <c r="K78" s="4"/>
      <c r="L78" s="5" t="str">
        <f aca="false">IF(B78="","",IFERROR(INDEX(04_КП!$F$4:$F$203,MATCH(B78,04_КП!$A$4:$A$203,0)),""))</f>
        <v/>
      </c>
      <c r="M78" s="5" t="str">
        <f aca="false">IF(B78="","",IFERROR(INDEX(04_КП!$G$4:$G$203,MATCH(B78,04_КП!$A$4:$A$203,0)),""))</f>
        <v/>
      </c>
      <c r="N78" s="4"/>
      <c r="O78" s="5" t="str">
        <f aca="false">IF(A78="","",IF(AND(COUNTIF(A$4:A$203,A78)=1,COUNTIF(04_КП!$A$4:$A$203,B78)=1,IFERROR(INDEX(04_КП!$T$4:$T$203,MATCH(B78,04_КП!$A$4:$A$203,0)),"")="READY",COUNTIF(03_Пакеты!$A$4:$A$203,C78)=1,G78&lt;&gt;"",ISNUMBER(H78),H78&gt;=0,OR(AND(H78&gt;0,I78="KNOWN"),AND(H78=0,I78="ZERO_CONFIRMED")),N78&lt;&gt;""),"READY","INCOMPLETE / SOURCE"))</f>
        <v/>
      </c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6"/>
      <c r="I79" s="4"/>
      <c r="J79" s="4"/>
      <c r="K79" s="4"/>
      <c r="L79" s="5" t="str">
        <f aca="false">IF(B79="","",IFERROR(INDEX(04_КП!$F$4:$F$203,MATCH(B79,04_КП!$A$4:$A$203,0)),""))</f>
        <v/>
      </c>
      <c r="M79" s="5" t="str">
        <f aca="false">IF(B79="","",IFERROR(INDEX(04_КП!$G$4:$G$203,MATCH(B79,04_КП!$A$4:$A$203,0)),""))</f>
        <v/>
      </c>
      <c r="N79" s="4"/>
      <c r="O79" s="5" t="str">
        <f aca="false">IF(A79="","",IF(AND(COUNTIF(A$4:A$203,A79)=1,COUNTIF(04_КП!$A$4:$A$203,B79)=1,IFERROR(INDEX(04_КП!$T$4:$T$203,MATCH(B79,04_КП!$A$4:$A$203,0)),"")="READY",COUNTIF(03_Пакеты!$A$4:$A$203,C79)=1,G79&lt;&gt;"",ISNUMBER(H79),H79&gt;=0,OR(AND(H79&gt;0,I79="KNOWN"),AND(H79=0,I79="ZERO_CONFIRMED")),N79&lt;&gt;""),"READY","INCOMPLETE / SOURCE"))</f>
        <v/>
      </c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6"/>
      <c r="I80" s="4"/>
      <c r="J80" s="4"/>
      <c r="K80" s="4"/>
      <c r="L80" s="5" t="str">
        <f aca="false">IF(B80="","",IFERROR(INDEX(04_КП!$F$4:$F$203,MATCH(B80,04_КП!$A$4:$A$203,0)),""))</f>
        <v/>
      </c>
      <c r="M80" s="5" t="str">
        <f aca="false">IF(B80="","",IFERROR(INDEX(04_КП!$G$4:$G$203,MATCH(B80,04_КП!$A$4:$A$203,0)),""))</f>
        <v/>
      </c>
      <c r="N80" s="4"/>
      <c r="O80" s="5" t="str">
        <f aca="false">IF(A80="","",IF(AND(COUNTIF(A$4:A$203,A80)=1,COUNTIF(04_КП!$A$4:$A$203,B80)=1,IFERROR(INDEX(04_КП!$T$4:$T$203,MATCH(B80,04_КП!$A$4:$A$203,0)),"")="READY",COUNTIF(03_Пакеты!$A$4:$A$203,C80)=1,G80&lt;&gt;"",ISNUMBER(H80),H80&gt;=0,OR(AND(H80&gt;0,I80="KNOWN"),AND(H80=0,I80="ZERO_CONFIRMED")),N80&lt;&gt;""),"READY","INCOMPLETE / SOURCE"))</f>
        <v/>
      </c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6"/>
      <c r="I81" s="4"/>
      <c r="J81" s="4"/>
      <c r="K81" s="4"/>
      <c r="L81" s="5" t="str">
        <f aca="false">IF(B81="","",IFERROR(INDEX(04_КП!$F$4:$F$203,MATCH(B81,04_КП!$A$4:$A$203,0)),""))</f>
        <v/>
      </c>
      <c r="M81" s="5" t="str">
        <f aca="false">IF(B81="","",IFERROR(INDEX(04_КП!$G$4:$G$203,MATCH(B81,04_КП!$A$4:$A$203,0)),""))</f>
        <v/>
      </c>
      <c r="N81" s="4"/>
      <c r="O81" s="5" t="str">
        <f aca="false">IF(A81="","",IF(AND(COUNTIF(A$4:A$203,A81)=1,COUNTIF(04_КП!$A$4:$A$203,B81)=1,IFERROR(INDEX(04_КП!$T$4:$T$203,MATCH(B81,04_КП!$A$4:$A$203,0)),"")="READY",COUNTIF(03_Пакеты!$A$4:$A$203,C81)=1,G81&lt;&gt;"",ISNUMBER(H81),H81&gt;=0,OR(AND(H81&gt;0,I81="KNOWN"),AND(H81=0,I81="ZERO_CONFIRMED")),N81&lt;&gt;""),"READY","INCOMPLETE / SOURCE"))</f>
        <v/>
      </c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6"/>
      <c r="I82" s="4"/>
      <c r="J82" s="4"/>
      <c r="K82" s="4"/>
      <c r="L82" s="5" t="str">
        <f aca="false">IF(B82="","",IFERROR(INDEX(04_КП!$F$4:$F$203,MATCH(B82,04_КП!$A$4:$A$203,0)),""))</f>
        <v/>
      </c>
      <c r="M82" s="5" t="str">
        <f aca="false">IF(B82="","",IFERROR(INDEX(04_КП!$G$4:$G$203,MATCH(B82,04_КП!$A$4:$A$203,0)),""))</f>
        <v/>
      </c>
      <c r="N82" s="4"/>
      <c r="O82" s="5" t="str">
        <f aca="false">IF(A82="","",IF(AND(COUNTIF(A$4:A$203,A82)=1,COUNTIF(04_КП!$A$4:$A$203,B82)=1,IFERROR(INDEX(04_КП!$T$4:$T$203,MATCH(B82,04_КП!$A$4:$A$203,0)),"")="READY",COUNTIF(03_Пакеты!$A$4:$A$203,C82)=1,G82&lt;&gt;"",ISNUMBER(H82),H82&gt;=0,OR(AND(H82&gt;0,I82="KNOWN"),AND(H82=0,I82="ZERO_CONFIRMED")),N82&lt;&gt;""),"READY","INCOMPLETE / SOURCE"))</f>
        <v/>
      </c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6"/>
      <c r="I83" s="4"/>
      <c r="J83" s="4"/>
      <c r="K83" s="4"/>
      <c r="L83" s="5" t="str">
        <f aca="false">IF(B83="","",IFERROR(INDEX(04_КП!$F$4:$F$203,MATCH(B83,04_КП!$A$4:$A$203,0)),""))</f>
        <v/>
      </c>
      <c r="M83" s="5" t="str">
        <f aca="false">IF(B83="","",IFERROR(INDEX(04_КП!$G$4:$G$203,MATCH(B83,04_КП!$A$4:$A$203,0)),""))</f>
        <v/>
      </c>
      <c r="N83" s="4"/>
      <c r="O83" s="5" t="str">
        <f aca="false">IF(A83="","",IF(AND(COUNTIF(A$4:A$203,A83)=1,COUNTIF(04_КП!$A$4:$A$203,B83)=1,IFERROR(INDEX(04_КП!$T$4:$T$203,MATCH(B83,04_КП!$A$4:$A$203,0)),"")="READY",COUNTIF(03_Пакеты!$A$4:$A$203,C83)=1,G83&lt;&gt;"",ISNUMBER(H83),H83&gt;=0,OR(AND(H83&gt;0,I83="KNOWN"),AND(H83=0,I83="ZERO_CONFIRMED")),N83&lt;&gt;""),"READY","INCOMPLETE / SOURCE"))</f>
        <v/>
      </c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6"/>
      <c r="I84" s="4"/>
      <c r="J84" s="4"/>
      <c r="K84" s="4"/>
      <c r="L84" s="5" t="str">
        <f aca="false">IF(B84="","",IFERROR(INDEX(04_КП!$F$4:$F$203,MATCH(B84,04_КП!$A$4:$A$203,0)),""))</f>
        <v/>
      </c>
      <c r="M84" s="5" t="str">
        <f aca="false">IF(B84="","",IFERROR(INDEX(04_КП!$G$4:$G$203,MATCH(B84,04_КП!$A$4:$A$203,0)),""))</f>
        <v/>
      </c>
      <c r="N84" s="4"/>
      <c r="O84" s="5" t="str">
        <f aca="false">IF(A84="","",IF(AND(COUNTIF(A$4:A$203,A84)=1,COUNTIF(04_КП!$A$4:$A$203,B84)=1,IFERROR(INDEX(04_КП!$T$4:$T$203,MATCH(B84,04_КП!$A$4:$A$203,0)),"")="READY",COUNTIF(03_Пакеты!$A$4:$A$203,C84)=1,G84&lt;&gt;"",ISNUMBER(H84),H84&gt;=0,OR(AND(H84&gt;0,I84="KNOWN"),AND(H84=0,I84="ZERO_CONFIRMED")),N84&lt;&gt;""),"READY","INCOMPLETE / SOURCE"))</f>
        <v/>
      </c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6"/>
      <c r="I85" s="4"/>
      <c r="J85" s="4"/>
      <c r="K85" s="4"/>
      <c r="L85" s="5" t="str">
        <f aca="false">IF(B85="","",IFERROR(INDEX(04_КП!$F$4:$F$203,MATCH(B85,04_КП!$A$4:$A$203,0)),""))</f>
        <v/>
      </c>
      <c r="M85" s="5" t="str">
        <f aca="false">IF(B85="","",IFERROR(INDEX(04_КП!$G$4:$G$203,MATCH(B85,04_КП!$A$4:$A$203,0)),""))</f>
        <v/>
      </c>
      <c r="N85" s="4"/>
      <c r="O85" s="5" t="str">
        <f aca="false">IF(A85="","",IF(AND(COUNTIF(A$4:A$203,A85)=1,COUNTIF(04_КП!$A$4:$A$203,B85)=1,IFERROR(INDEX(04_КП!$T$4:$T$203,MATCH(B85,04_КП!$A$4:$A$203,0)),"")="READY",COUNTIF(03_Пакеты!$A$4:$A$203,C85)=1,G85&lt;&gt;"",ISNUMBER(H85),H85&gt;=0,OR(AND(H85&gt;0,I85="KNOWN"),AND(H85=0,I85="ZERO_CONFIRMED")),N85&lt;&gt;""),"READY","INCOMPLETE / SOURCE"))</f>
        <v/>
      </c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6"/>
      <c r="I86" s="4"/>
      <c r="J86" s="4"/>
      <c r="K86" s="4"/>
      <c r="L86" s="5" t="str">
        <f aca="false">IF(B86="","",IFERROR(INDEX(04_КП!$F$4:$F$203,MATCH(B86,04_КП!$A$4:$A$203,0)),""))</f>
        <v/>
      </c>
      <c r="M86" s="5" t="str">
        <f aca="false">IF(B86="","",IFERROR(INDEX(04_КП!$G$4:$G$203,MATCH(B86,04_КП!$A$4:$A$203,0)),""))</f>
        <v/>
      </c>
      <c r="N86" s="4"/>
      <c r="O86" s="5" t="str">
        <f aca="false">IF(A86="","",IF(AND(COUNTIF(A$4:A$203,A86)=1,COUNTIF(04_КП!$A$4:$A$203,B86)=1,IFERROR(INDEX(04_КП!$T$4:$T$203,MATCH(B86,04_КП!$A$4:$A$203,0)),"")="READY",COUNTIF(03_Пакеты!$A$4:$A$203,C86)=1,G86&lt;&gt;"",ISNUMBER(H86),H86&gt;=0,OR(AND(H86&gt;0,I86="KNOWN"),AND(H86=0,I86="ZERO_CONFIRMED")),N86&lt;&gt;""),"READY","INCOMPLETE / SOURCE"))</f>
        <v/>
      </c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6"/>
      <c r="I87" s="4"/>
      <c r="J87" s="4"/>
      <c r="K87" s="4"/>
      <c r="L87" s="5" t="str">
        <f aca="false">IF(B87="","",IFERROR(INDEX(04_КП!$F$4:$F$203,MATCH(B87,04_КП!$A$4:$A$203,0)),""))</f>
        <v/>
      </c>
      <c r="M87" s="5" t="str">
        <f aca="false">IF(B87="","",IFERROR(INDEX(04_КП!$G$4:$G$203,MATCH(B87,04_КП!$A$4:$A$203,0)),""))</f>
        <v/>
      </c>
      <c r="N87" s="4"/>
      <c r="O87" s="5" t="str">
        <f aca="false">IF(A87="","",IF(AND(COUNTIF(A$4:A$203,A87)=1,COUNTIF(04_КП!$A$4:$A$203,B87)=1,IFERROR(INDEX(04_КП!$T$4:$T$203,MATCH(B87,04_КП!$A$4:$A$203,0)),"")="READY",COUNTIF(03_Пакеты!$A$4:$A$203,C87)=1,G87&lt;&gt;"",ISNUMBER(H87),H87&gt;=0,OR(AND(H87&gt;0,I87="KNOWN"),AND(H87=0,I87="ZERO_CONFIRMED")),N87&lt;&gt;""),"READY","INCOMPLETE / SOURCE"))</f>
        <v/>
      </c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6"/>
      <c r="I88" s="4"/>
      <c r="J88" s="4"/>
      <c r="K88" s="4"/>
      <c r="L88" s="5" t="str">
        <f aca="false">IF(B88="","",IFERROR(INDEX(04_КП!$F$4:$F$203,MATCH(B88,04_КП!$A$4:$A$203,0)),""))</f>
        <v/>
      </c>
      <c r="M88" s="5" t="str">
        <f aca="false">IF(B88="","",IFERROR(INDEX(04_КП!$G$4:$G$203,MATCH(B88,04_КП!$A$4:$A$203,0)),""))</f>
        <v/>
      </c>
      <c r="N88" s="4"/>
      <c r="O88" s="5" t="str">
        <f aca="false">IF(A88="","",IF(AND(COUNTIF(A$4:A$203,A88)=1,COUNTIF(04_КП!$A$4:$A$203,B88)=1,IFERROR(INDEX(04_КП!$T$4:$T$203,MATCH(B88,04_КП!$A$4:$A$203,0)),"")="READY",COUNTIF(03_Пакеты!$A$4:$A$203,C88)=1,G88&lt;&gt;"",ISNUMBER(H88),H88&gt;=0,OR(AND(H88&gt;0,I88="KNOWN"),AND(H88=0,I88="ZERO_CONFIRMED")),N88&lt;&gt;""),"READY","INCOMPLETE / SOURCE"))</f>
        <v/>
      </c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6"/>
      <c r="I89" s="4"/>
      <c r="J89" s="4"/>
      <c r="K89" s="4"/>
      <c r="L89" s="5" t="str">
        <f aca="false">IF(B89="","",IFERROR(INDEX(04_КП!$F$4:$F$203,MATCH(B89,04_КП!$A$4:$A$203,0)),""))</f>
        <v/>
      </c>
      <c r="M89" s="5" t="str">
        <f aca="false">IF(B89="","",IFERROR(INDEX(04_КП!$G$4:$G$203,MATCH(B89,04_КП!$A$4:$A$203,0)),""))</f>
        <v/>
      </c>
      <c r="N89" s="4"/>
      <c r="O89" s="5" t="str">
        <f aca="false">IF(A89="","",IF(AND(COUNTIF(A$4:A$203,A89)=1,COUNTIF(04_КП!$A$4:$A$203,B89)=1,IFERROR(INDEX(04_КП!$T$4:$T$203,MATCH(B89,04_КП!$A$4:$A$203,0)),"")="READY",COUNTIF(03_Пакеты!$A$4:$A$203,C89)=1,G89&lt;&gt;"",ISNUMBER(H89),H89&gt;=0,OR(AND(H89&gt;0,I89="KNOWN"),AND(H89=0,I89="ZERO_CONFIRMED")),N89&lt;&gt;""),"READY","INCOMPLETE / SOURCE"))</f>
        <v/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6"/>
      <c r="I90" s="4"/>
      <c r="J90" s="4"/>
      <c r="K90" s="4"/>
      <c r="L90" s="5" t="str">
        <f aca="false">IF(B90="","",IFERROR(INDEX(04_КП!$F$4:$F$203,MATCH(B90,04_КП!$A$4:$A$203,0)),""))</f>
        <v/>
      </c>
      <c r="M90" s="5" t="str">
        <f aca="false">IF(B90="","",IFERROR(INDEX(04_КП!$G$4:$G$203,MATCH(B90,04_КП!$A$4:$A$203,0)),""))</f>
        <v/>
      </c>
      <c r="N90" s="4"/>
      <c r="O90" s="5" t="str">
        <f aca="false">IF(A90="","",IF(AND(COUNTIF(A$4:A$203,A90)=1,COUNTIF(04_КП!$A$4:$A$203,B90)=1,IFERROR(INDEX(04_КП!$T$4:$T$203,MATCH(B90,04_КП!$A$4:$A$203,0)),"")="READY",COUNTIF(03_Пакеты!$A$4:$A$203,C90)=1,G90&lt;&gt;"",ISNUMBER(H90),H90&gt;=0,OR(AND(H90&gt;0,I90="KNOWN"),AND(H90=0,I90="ZERO_CONFIRMED")),N90&lt;&gt;""),"READY","INCOMPLETE / SOURCE"))</f>
        <v/>
      </c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6"/>
      <c r="I91" s="4"/>
      <c r="J91" s="4"/>
      <c r="K91" s="4"/>
      <c r="L91" s="5" t="str">
        <f aca="false">IF(B91="","",IFERROR(INDEX(04_КП!$F$4:$F$203,MATCH(B91,04_КП!$A$4:$A$203,0)),""))</f>
        <v/>
      </c>
      <c r="M91" s="5" t="str">
        <f aca="false">IF(B91="","",IFERROR(INDEX(04_КП!$G$4:$G$203,MATCH(B91,04_КП!$A$4:$A$203,0)),""))</f>
        <v/>
      </c>
      <c r="N91" s="4"/>
      <c r="O91" s="5" t="str">
        <f aca="false">IF(A91="","",IF(AND(COUNTIF(A$4:A$203,A91)=1,COUNTIF(04_КП!$A$4:$A$203,B91)=1,IFERROR(INDEX(04_КП!$T$4:$T$203,MATCH(B91,04_КП!$A$4:$A$203,0)),"")="READY",COUNTIF(03_Пакеты!$A$4:$A$203,C91)=1,G91&lt;&gt;"",ISNUMBER(H91),H91&gt;=0,OR(AND(H91&gt;0,I91="KNOWN"),AND(H91=0,I91="ZERO_CONFIRMED")),N91&lt;&gt;""),"READY","INCOMPLETE / SOURCE"))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6"/>
      <c r="I92" s="4"/>
      <c r="J92" s="4"/>
      <c r="K92" s="4"/>
      <c r="L92" s="5" t="str">
        <f aca="false">IF(B92="","",IFERROR(INDEX(04_КП!$F$4:$F$203,MATCH(B92,04_КП!$A$4:$A$203,0)),""))</f>
        <v/>
      </c>
      <c r="M92" s="5" t="str">
        <f aca="false">IF(B92="","",IFERROR(INDEX(04_КП!$G$4:$G$203,MATCH(B92,04_КП!$A$4:$A$203,0)),""))</f>
        <v/>
      </c>
      <c r="N92" s="4"/>
      <c r="O92" s="5" t="str">
        <f aca="false">IF(A92="","",IF(AND(COUNTIF(A$4:A$203,A92)=1,COUNTIF(04_КП!$A$4:$A$203,B92)=1,IFERROR(INDEX(04_КП!$T$4:$T$203,MATCH(B92,04_КП!$A$4:$A$203,0)),"")="READY",COUNTIF(03_Пакеты!$A$4:$A$203,C92)=1,G92&lt;&gt;"",ISNUMBER(H92),H92&gt;=0,OR(AND(H92&gt;0,I92="KNOWN"),AND(H92=0,I92="ZERO_CONFIRMED")),N92&lt;&gt;""),"READY","INCOMPLETE / SOURCE"))</f>
        <v/>
      </c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6"/>
      <c r="I93" s="4"/>
      <c r="J93" s="4"/>
      <c r="K93" s="4"/>
      <c r="L93" s="5" t="str">
        <f aca="false">IF(B93="","",IFERROR(INDEX(04_КП!$F$4:$F$203,MATCH(B93,04_КП!$A$4:$A$203,0)),""))</f>
        <v/>
      </c>
      <c r="M93" s="5" t="str">
        <f aca="false">IF(B93="","",IFERROR(INDEX(04_КП!$G$4:$G$203,MATCH(B93,04_КП!$A$4:$A$203,0)),""))</f>
        <v/>
      </c>
      <c r="N93" s="4"/>
      <c r="O93" s="5" t="str">
        <f aca="false">IF(A93="","",IF(AND(COUNTIF(A$4:A$203,A93)=1,COUNTIF(04_КП!$A$4:$A$203,B93)=1,IFERROR(INDEX(04_КП!$T$4:$T$203,MATCH(B93,04_КП!$A$4:$A$203,0)),"")="READY",COUNTIF(03_Пакеты!$A$4:$A$203,C93)=1,G93&lt;&gt;"",ISNUMBER(H93),H93&gt;=0,OR(AND(H93&gt;0,I93="KNOWN"),AND(H93=0,I93="ZERO_CONFIRMED")),N93&lt;&gt;""),"READY","INCOMPLETE / SOURCE"))</f>
        <v/>
      </c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6"/>
      <c r="I94" s="4"/>
      <c r="J94" s="4"/>
      <c r="K94" s="4"/>
      <c r="L94" s="5" t="str">
        <f aca="false">IF(B94="","",IFERROR(INDEX(04_КП!$F$4:$F$203,MATCH(B94,04_КП!$A$4:$A$203,0)),""))</f>
        <v/>
      </c>
      <c r="M94" s="5" t="str">
        <f aca="false">IF(B94="","",IFERROR(INDEX(04_КП!$G$4:$G$203,MATCH(B94,04_КП!$A$4:$A$203,0)),""))</f>
        <v/>
      </c>
      <c r="N94" s="4"/>
      <c r="O94" s="5" t="str">
        <f aca="false">IF(A94="","",IF(AND(COUNTIF(A$4:A$203,A94)=1,COUNTIF(04_КП!$A$4:$A$203,B94)=1,IFERROR(INDEX(04_КП!$T$4:$T$203,MATCH(B94,04_КП!$A$4:$A$203,0)),"")="READY",COUNTIF(03_Пакеты!$A$4:$A$203,C94)=1,G94&lt;&gt;"",ISNUMBER(H94),H94&gt;=0,OR(AND(H94&gt;0,I94="KNOWN"),AND(H94=0,I94="ZERO_CONFIRMED")),N94&lt;&gt;""),"READY","INCOMPLETE / SOURCE"))</f>
        <v/>
      </c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  <c r="L95" s="5" t="str">
        <f aca="false">IF(B95="","",IFERROR(INDEX(04_КП!$F$4:$F$203,MATCH(B95,04_КП!$A$4:$A$203,0)),""))</f>
        <v/>
      </c>
      <c r="M95" s="5" t="str">
        <f aca="false">IF(B95="","",IFERROR(INDEX(04_КП!$G$4:$G$203,MATCH(B95,04_КП!$A$4:$A$203,0)),""))</f>
        <v/>
      </c>
      <c r="N95" s="4"/>
      <c r="O95" s="5" t="str">
        <f aca="false">IF(A95="","",IF(AND(COUNTIF(A$4:A$203,A95)=1,COUNTIF(04_КП!$A$4:$A$203,B95)=1,IFERROR(INDEX(04_КП!$T$4:$T$203,MATCH(B95,04_КП!$A$4:$A$203,0)),"")="READY",COUNTIF(03_Пакеты!$A$4:$A$203,C95)=1,G95&lt;&gt;"",ISNUMBER(H95),H95&gt;=0,OR(AND(H95&gt;0,I95="KNOWN"),AND(H95=0,I95="ZERO_CONFIRMED")),N95&lt;&gt;""),"READY","INCOMPLETE / SOURCE"))</f>
        <v/>
      </c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  <c r="L96" s="5" t="str">
        <f aca="false">IF(B96="","",IFERROR(INDEX(04_КП!$F$4:$F$203,MATCH(B96,04_КП!$A$4:$A$203,0)),""))</f>
        <v/>
      </c>
      <c r="M96" s="5" t="str">
        <f aca="false">IF(B96="","",IFERROR(INDEX(04_КП!$G$4:$G$203,MATCH(B96,04_КП!$A$4:$A$203,0)),""))</f>
        <v/>
      </c>
      <c r="N96" s="4"/>
      <c r="O96" s="5" t="str">
        <f aca="false">IF(A96="","",IF(AND(COUNTIF(A$4:A$203,A96)=1,COUNTIF(04_КП!$A$4:$A$203,B96)=1,IFERROR(INDEX(04_КП!$T$4:$T$203,MATCH(B96,04_КП!$A$4:$A$203,0)),"")="READY",COUNTIF(03_Пакеты!$A$4:$A$203,C96)=1,G96&lt;&gt;"",ISNUMBER(H96),H96&gt;=0,OR(AND(H96&gt;0,I96="KNOWN"),AND(H96=0,I96="ZERO_CONFIRMED")),N96&lt;&gt;""),"READY","INCOMPLETE / SOURCE"))</f>
        <v/>
      </c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  <c r="L97" s="5" t="str">
        <f aca="false">IF(B97="","",IFERROR(INDEX(04_КП!$F$4:$F$203,MATCH(B97,04_КП!$A$4:$A$203,0)),""))</f>
        <v/>
      </c>
      <c r="M97" s="5" t="str">
        <f aca="false">IF(B97="","",IFERROR(INDEX(04_КП!$G$4:$G$203,MATCH(B97,04_КП!$A$4:$A$203,0)),""))</f>
        <v/>
      </c>
      <c r="N97" s="4"/>
      <c r="O97" s="5" t="str">
        <f aca="false">IF(A97="","",IF(AND(COUNTIF(A$4:A$203,A97)=1,COUNTIF(04_КП!$A$4:$A$203,B97)=1,IFERROR(INDEX(04_КП!$T$4:$T$203,MATCH(B97,04_КП!$A$4:$A$203,0)),"")="READY",COUNTIF(03_Пакеты!$A$4:$A$203,C97)=1,G97&lt;&gt;"",ISNUMBER(H97),H97&gt;=0,OR(AND(H97&gt;0,I97="KNOWN"),AND(H97=0,I97="ZERO_CONFIRMED")),N97&lt;&gt;""),"READY","INCOMPLETE / SOURCE"))</f>
        <v/>
      </c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  <c r="L98" s="5" t="str">
        <f aca="false">IF(B98="","",IFERROR(INDEX(04_КП!$F$4:$F$203,MATCH(B98,04_КП!$A$4:$A$203,0)),""))</f>
        <v/>
      </c>
      <c r="M98" s="5" t="str">
        <f aca="false">IF(B98="","",IFERROR(INDEX(04_КП!$G$4:$G$203,MATCH(B98,04_КП!$A$4:$A$203,0)),""))</f>
        <v/>
      </c>
      <c r="N98" s="4"/>
      <c r="O98" s="5" t="str">
        <f aca="false">IF(A98="","",IF(AND(COUNTIF(A$4:A$203,A98)=1,COUNTIF(04_КП!$A$4:$A$203,B98)=1,IFERROR(INDEX(04_КП!$T$4:$T$203,MATCH(B98,04_КП!$A$4:$A$203,0)),"")="READY",COUNTIF(03_Пакеты!$A$4:$A$203,C98)=1,G98&lt;&gt;"",ISNUMBER(H98),H98&gt;=0,OR(AND(H98&gt;0,I98="KNOWN"),AND(H98=0,I98="ZERO_CONFIRMED")),N98&lt;&gt;""),"READY","INCOMPLETE / SOURCE"))</f>
        <v/>
      </c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  <c r="L99" s="5" t="str">
        <f aca="false">IF(B99="","",IFERROR(INDEX(04_КП!$F$4:$F$203,MATCH(B99,04_КП!$A$4:$A$203,0)),""))</f>
        <v/>
      </c>
      <c r="M99" s="5" t="str">
        <f aca="false">IF(B99="","",IFERROR(INDEX(04_КП!$G$4:$G$203,MATCH(B99,04_КП!$A$4:$A$203,0)),""))</f>
        <v/>
      </c>
      <c r="N99" s="4"/>
      <c r="O99" s="5" t="str">
        <f aca="false">IF(A99="","",IF(AND(COUNTIF(A$4:A$203,A99)=1,COUNTIF(04_КП!$A$4:$A$203,B99)=1,IFERROR(INDEX(04_КП!$T$4:$T$203,MATCH(B99,04_КП!$A$4:$A$203,0)),"")="READY",COUNTIF(03_Пакеты!$A$4:$A$203,C99)=1,G99&lt;&gt;"",ISNUMBER(H99),H99&gt;=0,OR(AND(H99&gt;0,I99="KNOWN"),AND(H99=0,I99="ZERO_CONFIRMED")),N99&lt;&gt;""),"READY","INCOMPLETE / SOURCE"))</f>
        <v/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  <c r="L100" s="5" t="str">
        <f aca="false">IF(B100="","",IFERROR(INDEX(04_КП!$F$4:$F$203,MATCH(B100,04_КП!$A$4:$A$203,0)),""))</f>
        <v/>
      </c>
      <c r="M100" s="5" t="str">
        <f aca="false">IF(B100="","",IFERROR(INDEX(04_КП!$G$4:$G$203,MATCH(B100,04_КП!$A$4:$A$203,0)),""))</f>
        <v/>
      </c>
      <c r="N100" s="4"/>
      <c r="O100" s="5" t="str">
        <f aca="false">IF(A100="","",IF(AND(COUNTIF(A$4:A$203,A100)=1,COUNTIF(04_КП!$A$4:$A$203,B100)=1,IFERROR(INDEX(04_КП!$T$4:$T$203,MATCH(B100,04_КП!$A$4:$A$203,0)),"")="READY",COUNTIF(03_Пакеты!$A$4:$A$203,C100)=1,G100&lt;&gt;"",ISNUMBER(H100),H100&gt;=0,OR(AND(H100&gt;0,I100="KNOWN"),AND(H100=0,I100="ZERO_CONFIRMED")),N100&lt;&gt;""),"READY","INCOMPLETE / SOURCE"))</f>
        <v/>
      </c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  <c r="L101" s="5" t="str">
        <f aca="false">IF(B101="","",IFERROR(INDEX(04_КП!$F$4:$F$203,MATCH(B101,04_КП!$A$4:$A$203,0)),""))</f>
        <v/>
      </c>
      <c r="M101" s="5" t="str">
        <f aca="false">IF(B101="","",IFERROR(INDEX(04_КП!$G$4:$G$203,MATCH(B101,04_КП!$A$4:$A$203,0)),""))</f>
        <v/>
      </c>
      <c r="N101" s="4"/>
      <c r="O101" s="5" t="str">
        <f aca="false">IF(A101="","",IF(AND(COUNTIF(A$4:A$203,A101)=1,COUNTIF(04_КП!$A$4:$A$203,B101)=1,IFERROR(INDEX(04_КП!$T$4:$T$203,MATCH(B101,04_КП!$A$4:$A$203,0)),"")="READY",COUNTIF(03_Пакеты!$A$4:$A$203,C101)=1,G101&lt;&gt;"",ISNUMBER(H101),H101&gt;=0,OR(AND(H101&gt;0,I101="KNOWN"),AND(H101=0,I101="ZERO_CONFIRMED")),N101&lt;&gt;""),"READY","INCOMPLETE / SOURCE"))</f>
        <v/>
      </c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  <c r="L102" s="5" t="str">
        <f aca="false">IF(B102="","",IFERROR(INDEX(04_КП!$F$4:$F$203,MATCH(B102,04_КП!$A$4:$A$203,0)),""))</f>
        <v/>
      </c>
      <c r="M102" s="5" t="str">
        <f aca="false">IF(B102="","",IFERROR(INDEX(04_КП!$G$4:$G$203,MATCH(B102,04_КП!$A$4:$A$203,0)),""))</f>
        <v/>
      </c>
      <c r="N102" s="4"/>
      <c r="O102" s="5" t="str">
        <f aca="false">IF(A102="","",IF(AND(COUNTIF(A$4:A$203,A102)=1,COUNTIF(04_КП!$A$4:$A$203,B102)=1,IFERROR(INDEX(04_КП!$T$4:$T$203,MATCH(B102,04_КП!$A$4:$A$203,0)),"")="READY",COUNTIF(03_Пакеты!$A$4:$A$203,C102)=1,G102&lt;&gt;"",ISNUMBER(H102),H102&gt;=0,OR(AND(H102&gt;0,I102="KNOWN"),AND(H102=0,I102="ZERO_CONFIRMED")),N102&lt;&gt;""),"READY","INCOMPLETE / SOURCE"))</f>
        <v/>
      </c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  <c r="L103" s="5" t="str">
        <f aca="false">IF(B103="","",IFERROR(INDEX(04_КП!$F$4:$F$203,MATCH(B103,04_КП!$A$4:$A$203,0)),""))</f>
        <v/>
      </c>
      <c r="M103" s="5" t="str">
        <f aca="false">IF(B103="","",IFERROR(INDEX(04_КП!$G$4:$G$203,MATCH(B103,04_КП!$A$4:$A$203,0)),""))</f>
        <v/>
      </c>
      <c r="N103" s="4"/>
      <c r="O103" s="5" t="str">
        <f aca="false">IF(A103="","",IF(AND(COUNTIF(A$4:A$203,A103)=1,COUNTIF(04_КП!$A$4:$A$203,B103)=1,IFERROR(INDEX(04_КП!$T$4:$T$203,MATCH(B103,04_КП!$A$4:$A$203,0)),"")="READY",COUNTIF(03_Пакеты!$A$4:$A$203,C103)=1,G103&lt;&gt;"",ISNUMBER(H103),H103&gt;=0,OR(AND(H103&gt;0,I103="KNOWN"),AND(H103=0,I103="ZERO_CONFIRMED")),N103&lt;&gt;""),"READY","INCOMPLETE / SOURCE"))</f>
        <v/>
      </c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  <c r="L104" s="5" t="str">
        <f aca="false">IF(B104="","",IFERROR(INDEX(04_КП!$F$4:$F$203,MATCH(B104,04_КП!$A$4:$A$203,0)),""))</f>
        <v/>
      </c>
      <c r="M104" s="5" t="str">
        <f aca="false">IF(B104="","",IFERROR(INDEX(04_КП!$G$4:$G$203,MATCH(B104,04_КП!$A$4:$A$203,0)),""))</f>
        <v/>
      </c>
      <c r="N104" s="4"/>
      <c r="O104" s="5" t="str">
        <f aca="false">IF(A104="","",IF(AND(COUNTIF(A$4:A$203,A104)=1,COUNTIF(04_КП!$A$4:$A$203,B104)=1,IFERROR(INDEX(04_КП!$T$4:$T$203,MATCH(B104,04_КП!$A$4:$A$203,0)),"")="READY",COUNTIF(03_Пакеты!$A$4:$A$203,C104)=1,G104&lt;&gt;"",ISNUMBER(H104),H104&gt;=0,OR(AND(H104&gt;0,I104="KNOWN"),AND(H104=0,I104="ZERO_CONFIRMED")),N104&lt;&gt;""),"READY","INCOMPLETE / SOURCE"))</f>
        <v/>
      </c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  <c r="L105" s="5" t="str">
        <f aca="false">IF(B105="","",IFERROR(INDEX(04_КП!$F$4:$F$203,MATCH(B105,04_КП!$A$4:$A$203,0)),""))</f>
        <v/>
      </c>
      <c r="M105" s="5" t="str">
        <f aca="false">IF(B105="","",IFERROR(INDEX(04_КП!$G$4:$G$203,MATCH(B105,04_КП!$A$4:$A$203,0)),""))</f>
        <v/>
      </c>
      <c r="N105" s="4"/>
      <c r="O105" s="5" t="str">
        <f aca="false">IF(A105="","",IF(AND(COUNTIF(A$4:A$203,A105)=1,COUNTIF(04_КП!$A$4:$A$203,B105)=1,IFERROR(INDEX(04_КП!$T$4:$T$203,MATCH(B105,04_КП!$A$4:$A$203,0)),"")="READY",COUNTIF(03_Пакеты!$A$4:$A$203,C105)=1,G105&lt;&gt;"",ISNUMBER(H105),H105&gt;=0,OR(AND(H105&gt;0,I105="KNOWN"),AND(H105=0,I105="ZERO_CONFIRMED")),N105&lt;&gt;""),"READY","INCOMPLETE / SOURCE"))</f>
        <v/>
      </c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  <c r="L106" s="5" t="str">
        <f aca="false">IF(B106="","",IFERROR(INDEX(04_КП!$F$4:$F$203,MATCH(B106,04_КП!$A$4:$A$203,0)),""))</f>
        <v/>
      </c>
      <c r="M106" s="5" t="str">
        <f aca="false">IF(B106="","",IFERROR(INDEX(04_КП!$G$4:$G$203,MATCH(B106,04_КП!$A$4:$A$203,0)),""))</f>
        <v/>
      </c>
      <c r="N106" s="4"/>
      <c r="O106" s="5" t="str">
        <f aca="false">IF(A106="","",IF(AND(COUNTIF(A$4:A$203,A106)=1,COUNTIF(04_КП!$A$4:$A$203,B106)=1,IFERROR(INDEX(04_КП!$T$4:$T$203,MATCH(B106,04_КП!$A$4:$A$203,0)),"")="READY",COUNTIF(03_Пакеты!$A$4:$A$203,C106)=1,G106&lt;&gt;"",ISNUMBER(H106),H106&gt;=0,OR(AND(H106&gt;0,I106="KNOWN"),AND(H106=0,I106="ZERO_CONFIRMED")),N106&lt;&gt;""),"READY","INCOMPLETE / SOURCE"))</f>
        <v/>
      </c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  <c r="L107" s="5" t="str">
        <f aca="false">IF(B107="","",IFERROR(INDEX(04_КП!$F$4:$F$203,MATCH(B107,04_КП!$A$4:$A$203,0)),""))</f>
        <v/>
      </c>
      <c r="M107" s="5" t="str">
        <f aca="false">IF(B107="","",IFERROR(INDEX(04_КП!$G$4:$G$203,MATCH(B107,04_КП!$A$4:$A$203,0)),""))</f>
        <v/>
      </c>
      <c r="N107" s="4"/>
      <c r="O107" s="5" t="str">
        <f aca="false">IF(A107="","",IF(AND(COUNTIF(A$4:A$203,A107)=1,COUNTIF(04_КП!$A$4:$A$203,B107)=1,IFERROR(INDEX(04_КП!$T$4:$T$203,MATCH(B107,04_КП!$A$4:$A$203,0)),"")="READY",COUNTIF(03_Пакеты!$A$4:$A$203,C107)=1,G107&lt;&gt;"",ISNUMBER(H107),H107&gt;=0,OR(AND(H107&gt;0,I107="KNOWN"),AND(H107=0,I107="ZERO_CONFIRMED")),N107&lt;&gt;""),"READY","INCOMPLETE / SOURCE"))</f>
        <v/>
      </c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  <c r="L108" s="5" t="str">
        <f aca="false">IF(B108="","",IFERROR(INDEX(04_КП!$F$4:$F$203,MATCH(B108,04_КП!$A$4:$A$203,0)),""))</f>
        <v/>
      </c>
      <c r="M108" s="5" t="str">
        <f aca="false">IF(B108="","",IFERROR(INDEX(04_КП!$G$4:$G$203,MATCH(B108,04_КП!$A$4:$A$203,0)),""))</f>
        <v/>
      </c>
      <c r="N108" s="4"/>
      <c r="O108" s="5" t="str">
        <f aca="false">IF(A108="","",IF(AND(COUNTIF(A$4:A$203,A108)=1,COUNTIF(04_КП!$A$4:$A$203,B108)=1,IFERROR(INDEX(04_КП!$T$4:$T$203,MATCH(B108,04_КП!$A$4:$A$203,0)),"")="READY",COUNTIF(03_Пакеты!$A$4:$A$203,C108)=1,G108&lt;&gt;"",ISNUMBER(H108),H108&gt;=0,OR(AND(H108&gt;0,I108="KNOWN"),AND(H108=0,I108="ZERO_CONFIRMED")),N108&lt;&gt;""),"READY","INCOMPLETE / SOURCE"))</f>
        <v/>
      </c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  <c r="L109" s="5" t="str">
        <f aca="false">IF(B109="","",IFERROR(INDEX(04_КП!$F$4:$F$203,MATCH(B109,04_КП!$A$4:$A$203,0)),""))</f>
        <v/>
      </c>
      <c r="M109" s="5" t="str">
        <f aca="false">IF(B109="","",IFERROR(INDEX(04_КП!$G$4:$G$203,MATCH(B109,04_КП!$A$4:$A$203,0)),""))</f>
        <v/>
      </c>
      <c r="N109" s="4"/>
      <c r="O109" s="5" t="str">
        <f aca="false">IF(A109="","",IF(AND(COUNTIF(A$4:A$203,A109)=1,COUNTIF(04_КП!$A$4:$A$203,B109)=1,IFERROR(INDEX(04_КП!$T$4:$T$203,MATCH(B109,04_КП!$A$4:$A$203,0)),"")="READY",COUNTIF(03_Пакеты!$A$4:$A$203,C109)=1,G109&lt;&gt;"",ISNUMBER(H109),H109&gt;=0,OR(AND(H109&gt;0,I109="KNOWN"),AND(H109=0,I109="ZERO_CONFIRMED")),N109&lt;&gt;""),"READY","INCOMPLETE / SOURCE"))</f>
        <v/>
      </c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  <c r="L110" s="5" t="str">
        <f aca="false">IF(B110="","",IFERROR(INDEX(04_КП!$F$4:$F$203,MATCH(B110,04_КП!$A$4:$A$203,0)),""))</f>
        <v/>
      </c>
      <c r="M110" s="5" t="str">
        <f aca="false">IF(B110="","",IFERROR(INDEX(04_КП!$G$4:$G$203,MATCH(B110,04_КП!$A$4:$A$203,0)),""))</f>
        <v/>
      </c>
      <c r="N110" s="4"/>
      <c r="O110" s="5" t="str">
        <f aca="false">IF(A110="","",IF(AND(COUNTIF(A$4:A$203,A110)=1,COUNTIF(04_КП!$A$4:$A$203,B110)=1,IFERROR(INDEX(04_КП!$T$4:$T$203,MATCH(B110,04_КП!$A$4:$A$203,0)),"")="READY",COUNTIF(03_Пакеты!$A$4:$A$203,C110)=1,G110&lt;&gt;"",ISNUMBER(H110),H110&gt;=0,OR(AND(H110&gt;0,I110="KNOWN"),AND(H110=0,I110="ZERO_CONFIRMED")),N110&lt;&gt;""),"READY","INCOMPLETE / SOURCE"))</f>
        <v/>
      </c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  <c r="L111" s="5" t="str">
        <f aca="false">IF(B111="","",IFERROR(INDEX(04_КП!$F$4:$F$203,MATCH(B111,04_КП!$A$4:$A$203,0)),""))</f>
        <v/>
      </c>
      <c r="M111" s="5" t="str">
        <f aca="false">IF(B111="","",IFERROR(INDEX(04_КП!$G$4:$G$203,MATCH(B111,04_КП!$A$4:$A$203,0)),""))</f>
        <v/>
      </c>
      <c r="N111" s="4"/>
      <c r="O111" s="5" t="str">
        <f aca="false">IF(A111="","",IF(AND(COUNTIF(A$4:A$203,A111)=1,COUNTIF(04_КП!$A$4:$A$203,B111)=1,IFERROR(INDEX(04_КП!$T$4:$T$203,MATCH(B111,04_КП!$A$4:$A$203,0)),"")="READY",COUNTIF(03_Пакеты!$A$4:$A$203,C111)=1,G111&lt;&gt;"",ISNUMBER(H111),H111&gt;=0,OR(AND(H111&gt;0,I111="KNOWN"),AND(H111=0,I111="ZERO_CONFIRMED")),N111&lt;&gt;""),"READY","INCOMPLETE / SOURCE"))</f>
        <v/>
      </c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  <c r="L112" s="5" t="str">
        <f aca="false">IF(B112="","",IFERROR(INDEX(04_КП!$F$4:$F$203,MATCH(B112,04_КП!$A$4:$A$203,0)),""))</f>
        <v/>
      </c>
      <c r="M112" s="5" t="str">
        <f aca="false">IF(B112="","",IFERROR(INDEX(04_КП!$G$4:$G$203,MATCH(B112,04_КП!$A$4:$A$203,0)),""))</f>
        <v/>
      </c>
      <c r="N112" s="4"/>
      <c r="O112" s="5" t="str">
        <f aca="false">IF(A112="","",IF(AND(COUNTIF(A$4:A$203,A112)=1,COUNTIF(04_КП!$A$4:$A$203,B112)=1,IFERROR(INDEX(04_КП!$T$4:$T$203,MATCH(B112,04_КП!$A$4:$A$203,0)),"")="READY",COUNTIF(03_Пакеты!$A$4:$A$203,C112)=1,G112&lt;&gt;"",ISNUMBER(H112),H112&gt;=0,OR(AND(H112&gt;0,I112="KNOWN"),AND(H112=0,I112="ZERO_CONFIRMED")),N112&lt;&gt;""),"READY","INCOMPLETE / SOURCE"))</f>
        <v/>
      </c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  <c r="L113" s="5" t="str">
        <f aca="false">IF(B113="","",IFERROR(INDEX(04_КП!$F$4:$F$203,MATCH(B113,04_КП!$A$4:$A$203,0)),""))</f>
        <v/>
      </c>
      <c r="M113" s="5" t="str">
        <f aca="false">IF(B113="","",IFERROR(INDEX(04_КП!$G$4:$G$203,MATCH(B113,04_КП!$A$4:$A$203,0)),""))</f>
        <v/>
      </c>
      <c r="N113" s="4"/>
      <c r="O113" s="5" t="str">
        <f aca="false">IF(A113="","",IF(AND(COUNTIF(A$4:A$203,A113)=1,COUNTIF(04_КП!$A$4:$A$203,B113)=1,IFERROR(INDEX(04_КП!$T$4:$T$203,MATCH(B113,04_КП!$A$4:$A$203,0)),"")="READY",COUNTIF(03_Пакеты!$A$4:$A$203,C113)=1,G113&lt;&gt;"",ISNUMBER(H113),H113&gt;=0,OR(AND(H113&gt;0,I113="KNOWN"),AND(H113=0,I113="ZERO_CONFIRMED")),N113&lt;&gt;""),"READY","INCOMPLETE / SOURCE"))</f>
        <v/>
      </c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  <c r="L114" s="5" t="str">
        <f aca="false">IF(B114="","",IFERROR(INDEX(04_КП!$F$4:$F$203,MATCH(B114,04_КП!$A$4:$A$203,0)),""))</f>
        <v/>
      </c>
      <c r="M114" s="5" t="str">
        <f aca="false">IF(B114="","",IFERROR(INDEX(04_КП!$G$4:$G$203,MATCH(B114,04_КП!$A$4:$A$203,0)),""))</f>
        <v/>
      </c>
      <c r="N114" s="4"/>
      <c r="O114" s="5" t="str">
        <f aca="false">IF(A114="","",IF(AND(COUNTIF(A$4:A$203,A114)=1,COUNTIF(04_КП!$A$4:$A$203,B114)=1,IFERROR(INDEX(04_КП!$T$4:$T$203,MATCH(B114,04_КП!$A$4:$A$203,0)),"")="READY",COUNTIF(03_Пакеты!$A$4:$A$203,C114)=1,G114&lt;&gt;"",ISNUMBER(H114),H114&gt;=0,OR(AND(H114&gt;0,I114="KNOWN"),AND(H114=0,I114="ZERO_CONFIRMED")),N114&lt;&gt;""),"READY","INCOMPLETE / SOURCE"))</f>
        <v/>
      </c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  <c r="L115" s="5" t="str">
        <f aca="false">IF(B115="","",IFERROR(INDEX(04_КП!$F$4:$F$203,MATCH(B115,04_КП!$A$4:$A$203,0)),""))</f>
        <v/>
      </c>
      <c r="M115" s="5" t="str">
        <f aca="false">IF(B115="","",IFERROR(INDEX(04_КП!$G$4:$G$203,MATCH(B115,04_КП!$A$4:$A$203,0)),""))</f>
        <v/>
      </c>
      <c r="N115" s="4"/>
      <c r="O115" s="5" t="str">
        <f aca="false">IF(A115="","",IF(AND(COUNTIF(A$4:A$203,A115)=1,COUNTIF(04_КП!$A$4:$A$203,B115)=1,IFERROR(INDEX(04_КП!$T$4:$T$203,MATCH(B115,04_КП!$A$4:$A$203,0)),"")="READY",COUNTIF(03_Пакеты!$A$4:$A$203,C115)=1,G115&lt;&gt;"",ISNUMBER(H115),H115&gt;=0,OR(AND(H115&gt;0,I115="KNOWN"),AND(H115=0,I115="ZERO_CONFIRMED")),N115&lt;&gt;""),"READY","INCOMPLETE / SOURCE"))</f>
        <v/>
      </c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  <c r="L116" s="5" t="str">
        <f aca="false">IF(B116="","",IFERROR(INDEX(04_КП!$F$4:$F$203,MATCH(B116,04_КП!$A$4:$A$203,0)),""))</f>
        <v/>
      </c>
      <c r="M116" s="5" t="str">
        <f aca="false">IF(B116="","",IFERROR(INDEX(04_КП!$G$4:$G$203,MATCH(B116,04_КП!$A$4:$A$203,0)),""))</f>
        <v/>
      </c>
      <c r="N116" s="4"/>
      <c r="O116" s="5" t="str">
        <f aca="false">IF(A116="","",IF(AND(COUNTIF(A$4:A$203,A116)=1,COUNTIF(04_КП!$A$4:$A$203,B116)=1,IFERROR(INDEX(04_КП!$T$4:$T$203,MATCH(B116,04_КП!$A$4:$A$203,0)),"")="READY",COUNTIF(03_Пакеты!$A$4:$A$203,C116)=1,G116&lt;&gt;"",ISNUMBER(H116),H116&gt;=0,OR(AND(H116&gt;0,I116="KNOWN"),AND(H116=0,I116="ZERO_CONFIRMED")),N116&lt;&gt;""),"READY","INCOMPLETE / SOURCE"))</f>
        <v/>
      </c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  <c r="L117" s="5" t="str">
        <f aca="false">IF(B117="","",IFERROR(INDEX(04_КП!$F$4:$F$203,MATCH(B117,04_КП!$A$4:$A$203,0)),""))</f>
        <v/>
      </c>
      <c r="M117" s="5" t="str">
        <f aca="false">IF(B117="","",IFERROR(INDEX(04_КП!$G$4:$G$203,MATCH(B117,04_КП!$A$4:$A$203,0)),""))</f>
        <v/>
      </c>
      <c r="N117" s="4"/>
      <c r="O117" s="5" t="str">
        <f aca="false">IF(A117="","",IF(AND(COUNTIF(A$4:A$203,A117)=1,COUNTIF(04_КП!$A$4:$A$203,B117)=1,IFERROR(INDEX(04_КП!$T$4:$T$203,MATCH(B117,04_КП!$A$4:$A$203,0)),"")="READY",COUNTIF(03_Пакеты!$A$4:$A$203,C117)=1,G117&lt;&gt;"",ISNUMBER(H117),H117&gt;=0,OR(AND(H117&gt;0,I117="KNOWN"),AND(H117=0,I117="ZERO_CONFIRMED")),N117&lt;&gt;""),"READY","INCOMPLETE / SOURCE"))</f>
        <v/>
      </c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  <c r="L118" s="5" t="str">
        <f aca="false">IF(B118="","",IFERROR(INDEX(04_КП!$F$4:$F$203,MATCH(B118,04_КП!$A$4:$A$203,0)),""))</f>
        <v/>
      </c>
      <c r="M118" s="5" t="str">
        <f aca="false">IF(B118="","",IFERROR(INDEX(04_КП!$G$4:$G$203,MATCH(B118,04_КП!$A$4:$A$203,0)),""))</f>
        <v/>
      </c>
      <c r="N118" s="4"/>
      <c r="O118" s="5" t="str">
        <f aca="false">IF(A118="","",IF(AND(COUNTIF(A$4:A$203,A118)=1,COUNTIF(04_КП!$A$4:$A$203,B118)=1,IFERROR(INDEX(04_КП!$T$4:$T$203,MATCH(B118,04_КП!$A$4:$A$203,0)),"")="READY",COUNTIF(03_Пакеты!$A$4:$A$203,C118)=1,G118&lt;&gt;"",ISNUMBER(H118),H118&gt;=0,OR(AND(H118&gt;0,I118="KNOWN"),AND(H118=0,I118="ZERO_CONFIRMED")),N118&lt;&gt;""),"READY","INCOMPLETE / SOURCE"))</f>
        <v/>
      </c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  <c r="L119" s="5" t="str">
        <f aca="false">IF(B119="","",IFERROR(INDEX(04_КП!$F$4:$F$203,MATCH(B119,04_КП!$A$4:$A$203,0)),""))</f>
        <v/>
      </c>
      <c r="M119" s="5" t="str">
        <f aca="false">IF(B119="","",IFERROR(INDEX(04_КП!$G$4:$G$203,MATCH(B119,04_КП!$A$4:$A$203,0)),""))</f>
        <v/>
      </c>
      <c r="N119" s="4"/>
      <c r="O119" s="5" t="str">
        <f aca="false">IF(A119="","",IF(AND(COUNTIF(A$4:A$203,A119)=1,COUNTIF(04_КП!$A$4:$A$203,B119)=1,IFERROR(INDEX(04_КП!$T$4:$T$203,MATCH(B119,04_КП!$A$4:$A$203,0)),"")="READY",COUNTIF(03_Пакеты!$A$4:$A$203,C119)=1,G119&lt;&gt;"",ISNUMBER(H119),H119&gt;=0,OR(AND(H119&gt;0,I119="KNOWN"),AND(H119=0,I119="ZERO_CONFIRMED")),N119&lt;&gt;""),"READY","INCOMPLETE / SOURCE"))</f>
        <v/>
      </c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  <c r="L120" s="5" t="str">
        <f aca="false">IF(B120="","",IFERROR(INDEX(04_КП!$F$4:$F$203,MATCH(B120,04_КП!$A$4:$A$203,0)),""))</f>
        <v/>
      </c>
      <c r="M120" s="5" t="str">
        <f aca="false">IF(B120="","",IFERROR(INDEX(04_КП!$G$4:$G$203,MATCH(B120,04_КП!$A$4:$A$203,0)),""))</f>
        <v/>
      </c>
      <c r="N120" s="4"/>
      <c r="O120" s="5" t="str">
        <f aca="false">IF(A120="","",IF(AND(COUNTIF(A$4:A$203,A120)=1,COUNTIF(04_КП!$A$4:$A$203,B120)=1,IFERROR(INDEX(04_КП!$T$4:$T$203,MATCH(B120,04_КП!$A$4:$A$203,0)),"")="READY",COUNTIF(03_Пакеты!$A$4:$A$203,C120)=1,G120&lt;&gt;"",ISNUMBER(H120),H120&gt;=0,OR(AND(H120&gt;0,I120="KNOWN"),AND(H120=0,I120="ZERO_CONFIRMED")),N120&lt;&gt;""),"READY","INCOMPLETE / SOURCE"))</f>
        <v/>
      </c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  <c r="L121" s="5" t="str">
        <f aca="false">IF(B121="","",IFERROR(INDEX(04_КП!$F$4:$F$203,MATCH(B121,04_КП!$A$4:$A$203,0)),""))</f>
        <v/>
      </c>
      <c r="M121" s="5" t="str">
        <f aca="false">IF(B121="","",IFERROR(INDEX(04_КП!$G$4:$G$203,MATCH(B121,04_КП!$A$4:$A$203,0)),""))</f>
        <v/>
      </c>
      <c r="N121" s="4"/>
      <c r="O121" s="5" t="str">
        <f aca="false">IF(A121="","",IF(AND(COUNTIF(A$4:A$203,A121)=1,COUNTIF(04_КП!$A$4:$A$203,B121)=1,IFERROR(INDEX(04_КП!$T$4:$T$203,MATCH(B121,04_КП!$A$4:$A$203,0)),"")="READY",COUNTIF(03_Пакеты!$A$4:$A$203,C121)=1,G121&lt;&gt;"",ISNUMBER(H121),H121&gt;=0,OR(AND(H121&gt;0,I121="KNOWN"),AND(H121=0,I121="ZERO_CONFIRMED")),N121&lt;&gt;""),"READY","INCOMPLETE / SOURCE"))</f>
        <v/>
      </c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  <c r="L122" s="5" t="str">
        <f aca="false">IF(B122="","",IFERROR(INDEX(04_КП!$F$4:$F$203,MATCH(B122,04_КП!$A$4:$A$203,0)),""))</f>
        <v/>
      </c>
      <c r="M122" s="5" t="str">
        <f aca="false">IF(B122="","",IFERROR(INDEX(04_КП!$G$4:$G$203,MATCH(B122,04_КП!$A$4:$A$203,0)),""))</f>
        <v/>
      </c>
      <c r="N122" s="4"/>
      <c r="O122" s="5" t="str">
        <f aca="false">IF(A122="","",IF(AND(COUNTIF(A$4:A$203,A122)=1,COUNTIF(04_КП!$A$4:$A$203,B122)=1,IFERROR(INDEX(04_КП!$T$4:$T$203,MATCH(B122,04_КП!$A$4:$A$203,0)),"")="READY",COUNTIF(03_Пакеты!$A$4:$A$203,C122)=1,G122&lt;&gt;"",ISNUMBER(H122),H122&gt;=0,OR(AND(H122&gt;0,I122="KNOWN"),AND(H122=0,I122="ZERO_CONFIRMED")),N122&lt;&gt;""),"READY","INCOMPLETE / SOURCE"))</f>
        <v/>
      </c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  <c r="L123" s="5" t="str">
        <f aca="false">IF(B123="","",IFERROR(INDEX(04_КП!$F$4:$F$203,MATCH(B123,04_КП!$A$4:$A$203,0)),""))</f>
        <v/>
      </c>
      <c r="M123" s="5" t="str">
        <f aca="false">IF(B123="","",IFERROR(INDEX(04_КП!$G$4:$G$203,MATCH(B123,04_КП!$A$4:$A$203,0)),""))</f>
        <v/>
      </c>
      <c r="N123" s="4"/>
      <c r="O123" s="5" t="str">
        <f aca="false">IF(A123="","",IF(AND(COUNTIF(A$4:A$203,A123)=1,COUNTIF(04_КП!$A$4:$A$203,B123)=1,IFERROR(INDEX(04_КП!$T$4:$T$203,MATCH(B123,04_КП!$A$4:$A$203,0)),"")="READY",COUNTIF(03_Пакеты!$A$4:$A$203,C123)=1,G123&lt;&gt;"",ISNUMBER(H123),H123&gt;=0,OR(AND(H123&gt;0,I123="KNOWN"),AND(H123=0,I123="ZERO_CONFIRMED")),N123&lt;&gt;""),"READY","INCOMPLETE / SOURCE"))</f>
        <v/>
      </c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  <c r="L124" s="5" t="str">
        <f aca="false">IF(B124="","",IFERROR(INDEX(04_КП!$F$4:$F$203,MATCH(B124,04_КП!$A$4:$A$203,0)),""))</f>
        <v/>
      </c>
      <c r="M124" s="5" t="str">
        <f aca="false">IF(B124="","",IFERROR(INDEX(04_КП!$G$4:$G$203,MATCH(B124,04_КП!$A$4:$A$203,0)),""))</f>
        <v/>
      </c>
      <c r="N124" s="4"/>
      <c r="O124" s="5" t="str">
        <f aca="false">IF(A124="","",IF(AND(COUNTIF(A$4:A$203,A124)=1,COUNTIF(04_КП!$A$4:$A$203,B124)=1,IFERROR(INDEX(04_КП!$T$4:$T$203,MATCH(B124,04_КП!$A$4:$A$203,0)),"")="READY",COUNTIF(03_Пакеты!$A$4:$A$203,C124)=1,G124&lt;&gt;"",ISNUMBER(H124),H124&gt;=0,OR(AND(H124&gt;0,I124="KNOWN"),AND(H124=0,I124="ZERO_CONFIRMED")),N124&lt;&gt;""),"READY","INCOMPLETE / SOURCE"))</f>
        <v/>
      </c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  <c r="L125" s="5" t="str">
        <f aca="false">IF(B125="","",IFERROR(INDEX(04_КП!$F$4:$F$203,MATCH(B125,04_КП!$A$4:$A$203,0)),""))</f>
        <v/>
      </c>
      <c r="M125" s="5" t="str">
        <f aca="false">IF(B125="","",IFERROR(INDEX(04_КП!$G$4:$G$203,MATCH(B125,04_КП!$A$4:$A$203,0)),""))</f>
        <v/>
      </c>
      <c r="N125" s="4"/>
      <c r="O125" s="5" t="str">
        <f aca="false">IF(A125="","",IF(AND(COUNTIF(A$4:A$203,A125)=1,COUNTIF(04_КП!$A$4:$A$203,B125)=1,IFERROR(INDEX(04_КП!$T$4:$T$203,MATCH(B125,04_КП!$A$4:$A$203,0)),"")="READY",COUNTIF(03_Пакеты!$A$4:$A$203,C125)=1,G125&lt;&gt;"",ISNUMBER(H125),H125&gt;=0,OR(AND(H125&gt;0,I125="KNOWN"),AND(H125=0,I125="ZERO_CONFIRMED")),N125&lt;&gt;""),"READY","INCOMPLETE / SOURCE"))</f>
        <v/>
      </c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  <c r="L126" s="5" t="str">
        <f aca="false">IF(B126="","",IFERROR(INDEX(04_КП!$F$4:$F$203,MATCH(B126,04_КП!$A$4:$A$203,0)),""))</f>
        <v/>
      </c>
      <c r="M126" s="5" t="str">
        <f aca="false">IF(B126="","",IFERROR(INDEX(04_КП!$G$4:$G$203,MATCH(B126,04_КП!$A$4:$A$203,0)),""))</f>
        <v/>
      </c>
      <c r="N126" s="4"/>
      <c r="O126" s="5" t="str">
        <f aca="false">IF(A126="","",IF(AND(COUNTIF(A$4:A$203,A126)=1,COUNTIF(04_КП!$A$4:$A$203,B126)=1,IFERROR(INDEX(04_КП!$T$4:$T$203,MATCH(B126,04_КП!$A$4:$A$203,0)),"")="READY",COUNTIF(03_Пакеты!$A$4:$A$203,C126)=1,G126&lt;&gt;"",ISNUMBER(H126),H126&gt;=0,OR(AND(H126&gt;0,I126="KNOWN"),AND(H126=0,I126="ZERO_CONFIRMED")),N126&lt;&gt;""),"READY","INCOMPLETE / SOURCE"))</f>
        <v/>
      </c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  <c r="L127" s="5" t="str">
        <f aca="false">IF(B127="","",IFERROR(INDEX(04_КП!$F$4:$F$203,MATCH(B127,04_КП!$A$4:$A$203,0)),""))</f>
        <v/>
      </c>
      <c r="M127" s="5" t="str">
        <f aca="false">IF(B127="","",IFERROR(INDEX(04_КП!$G$4:$G$203,MATCH(B127,04_КП!$A$4:$A$203,0)),""))</f>
        <v/>
      </c>
      <c r="N127" s="4"/>
      <c r="O127" s="5" t="str">
        <f aca="false">IF(A127="","",IF(AND(COUNTIF(A$4:A$203,A127)=1,COUNTIF(04_КП!$A$4:$A$203,B127)=1,IFERROR(INDEX(04_КП!$T$4:$T$203,MATCH(B127,04_КП!$A$4:$A$203,0)),"")="READY",COUNTIF(03_Пакеты!$A$4:$A$203,C127)=1,G127&lt;&gt;"",ISNUMBER(H127),H127&gt;=0,OR(AND(H127&gt;0,I127="KNOWN"),AND(H127=0,I127="ZERO_CONFIRMED")),N127&lt;&gt;""),"READY","INCOMPLETE / SOURCE"))</f>
        <v/>
      </c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  <c r="L128" s="5" t="str">
        <f aca="false">IF(B128="","",IFERROR(INDEX(04_КП!$F$4:$F$203,MATCH(B128,04_КП!$A$4:$A$203,0)),""))</f>
        <v/>
      </c>
      <c r="M128" s="5" t="str">
        <f aca="false">IF(B128="","",IFERROR(INDEX(04_КП!$G$4:$G$203,MATCH(B128,04_КП!$A$4:$A$203,0)),""))</f>
        <v/>
      </c>
      <c r="N128" s="4"/>
      <c r="O128" s="5" t="str">
        <f aca="false">IF(A128="","",IF(AND(COUNTIF(A$4:A$203,A128)=1,COUNTIF(04_КП!$A$4:$A$203,B128)=1,IFERROR(INDEX(04_КП!$T$4:$T$203,MATCH(B128,04_КП!$A$4:$A$203,0)),"")="READY",COUNTIF(03_Пакеты!$A$4:$A$203,C128)=1,G128&lt;&gt;"",ISNUMBER(H128),H128&gt;=0,OR(AND(H128&gt;0,I128="KNOWN"),AND(H128=0,I128="ZERO_CONFIRMED")),N128&lt;&gt;""),"READY","INCOMPLETE / SOURCE"))</f>
        <v/>
      </c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  <c r="L129" s="5" t="str">
        <f aca="false">IF(B129="","",IFERROR(INDEX(04_КП!$F$4:$F$203,MATCH(B129,04_КП!$A$4:$A$203,0)),""))</f>
        <v/>
      </c>
      <c r="M129" s="5" t="str">
        <f aca="false">IF(B129="","",IFERROR(INDEX(04_КП!$G$4:$G$203,MATCH(B129,04_КП!$A$4:$A$203,0)),""))</f>
        <v/>
      </c>
      <c r="N129" s="4"/>
      <c r="O129" s="5" t="str">
        <f aca="false">IF(A129="","",IF(AND(COUNTIF(A$4:A$203,A129)=1,COUNTIF(04_КП!$A$4:$A$203,B129)=1,IFERROR(INDEX(04_КП!$T$4:$T$203,MATCH(B129,04_КП!$A$4:$A$203,0)),"")="READY",COUNTIF(03_Пакеты!$A$4:$A$203,C129)=1,G129&lt;&gt;"",ISNUMBER(H129),H129&gt;=0,OR(AND(H129&gt;0,I129="KNOWN"),AND(H129=0,I129="ZERO_CONFIRMED")),N129&lt;&gt;""),"READY","INCOMPLETE / SOURCE"))</f>
        <v/>
      </c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  <c r="L130" s="5" t="str">
        <f aca="false">IF(B130="","",IFERROR(INDEX(04_КП!$F$4:$F$203,MATCH(B130,04_КП!$A$4:$A$203,0)),""))</f>
        <v/>
      </c>
      <c r="M130" s="5" t="str">
        <f aca="false">IF(B130="","",IFERROR(INDEX(04_КП!$G$4:$G$203,MATCH(B130,04_КП!$A$4:$A$203,0)),""))</f>
        <v/>
      </c>
      <c r="N130" s="4"/>
      <c r="O130" s="5" t="str">
        <f aca="false">IF(A130="","",IF(AND(COUNTIF(A$4:A$203,A130)=1,COUNTIF(04_КП!$A$4:$A$203,B130)=1,IFERROR(INDEX(04_КП!$T$4:$T$203,MATCH(B130,04_КП!$A$4:$A$203,0)),"")="READY",COUNTIF(03_Пакеты!$A$4:$A$203,C130)=1,G130&lt;&gt;"",ISNUMBER(H130),H130&gt;=0,OR(AND(H130&gt;0,I130="KNOWN"),AND(H130=0,I130="ZERO_CONFIRMED")),N130&lt;&gt;""),"READY","INCOMPLETE / SOURCE"))</f>
        <v/>
      </c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  <c r="L131" s="5" t="str">
        <f aca="false">IF(B131="","",IFERROR(INDEX(04_КП!$F$4:$F$203,MATCH(B131,04_КП!$A$4:$A$203,0)),""))</f>
        <v/>
      </c>
      <c r="M131" s="5" t="str">
        <f aca="false">IF(B131="","",IFERROR(INDEX(04_КП!$G$4:$G$203,MATCH(B131,04_КП!$A$4:$A$203,0)),""))</f>
        <v/>
      </c>
      <c r="N131" s="4"/>
      <c r="O131" s="5" t="str">
        <f aca="false">IF(A131="","",IF(AND(COUNTIF(A$4:A$203,A131)=1,COUNTIF(04_КП!$A$4:$A$203,B131)=1,IFERROR(INDEX(04_КП!$T$4:$T$203,MATCH(B131,04_КП!$A$4:$A$203,0)),"")="READY",COUNTIF(03_Пакеты!$A$4:$A$203,C131)=1,G131&lt;&gt;"",ISNUMBER(H131),H131&gt;=0,OR(AND(H131&gt;0,I131="KNOWN"),AND(H131=0,I131="ZERO_CONFIRMED")),N131&lt;&gt;""),"READY","INCOMPLETE / SOURCE"))</f>
        <v/>
      </c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  <c r="L132" s="5" t="str">
        <f aca="false">IF(B132="","",IFERROR(INDEX(04_КП!$F$4:$F$203,MATCH(B132,04_КП!$A$4:$A$203,0)),""))</f>
        <v/>
      </c>
      <c r="M132" s="5" t="str">
        <f aca="false">IF(B132="","",IFERROR(INDEX(04_КП!$G$4:$G$203,MATCH(B132,04_КП!$A$4:$A$203,0)),""))</f>
        <v/>
      </c>
      <c r="N132" s="4"/>
      <c r="O132" s="5" t="str">
        <f aca="false">IF(A132="","",IF(AND(COUNTIF(A$4:A$203,A132)=1,COUNTIF(04_КП!$A$4:$A$203,B132)=1,IFERROR(INDEX(04_КП!$T$4:$T$203,MATCH(B132,04_КП!$A$4:$A$203,0)),"")="READY",COUNTIF(03_Пакеты!$A$4:$A$203,C132)=1,G132&lt;&gt;"",ISNUMBER(H132),H132&gt;=0,OR(AND(H132&gt;0,I132="KNOWN"),AND(H132=0,I132="ZERO_CONFIRMED")),N132&lt;&gt;""),"READY","INCOMPLETE / SOURCE"))</f>
        <v/>
      </c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  <c r="L133" s="5" t="str">
        <f aca="false">IF(B133="","",IFERROR(INDEX(04_КП!$F$4:$F$203,MATCH(B133,04_КП!$A$4:$A$203,0)),""))</f>
        <v/>
      </c>
      <c r="M133" s="5" t="str">
        <f aca="false">IF(B133="","",IFERROR(INDEX(04_КП!$G$4:$G$203,MATCH(B133,04_КП!$A$4:$A$203,0)),""))</f>
        <v/>
      </c>
      <c r="N133" s="4"/>
      <c r="O133" s="5" t="str">
        <f aca="false">IF(A133="","",IF(AND(COUNTIF(A$4:A$203,A133)=1,COUNTIF(04_КП!$A$4:$A$203,B133)=1,IFERROR(INDEX(04_КП!$T$4:$T$203,MATCH(B133,04_КП!$A$4:$A$203,0)),"")="READY",COUNTIF(03_Пакеты!$A$4:$A$203,C133)=1,G133&lt;&gt;"",ISNUMBER(H133),H133&gt;=0,OR(AND(H133&gt;0,I133="KNOWN"),AND(H133=0,I133="ZERO_CONFIRMED")),N133&lt;&gt;""),"READY","INCOMPLETE / SOURCE"))</f>
        <v/>
      </c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  <c r="L134" s="5" t="str">
        <f aca="false">IF(B134="","",IFERROR(INDEX(04_КП!$F$4:$F$203,MATCH(B134,04_КП!$A$4:$A$203,0)),""))</f>
        <v/>
      </c>
      <c r="M134" s="5" t="str">
        <f aca="false">IF(B134="","",IFERROR(INDEX(04_КП!$G$4:$G$203,MATCH(B134,04_КП!$A$4:$A$203,0)),""))</f>
        <v/>
      </c>
      <c r="N134" s="4"/>
      <c r="O134" s="5" t="str">
        <f aca="false">IF(A134="","",IF(AND(COUNTIF(A$4:A$203,A134)=1,COUNTIF(04_КП!$A$4:$A$203,B134)=1,IFERROR(INDEX(04_КП!$T$4:$T$203,MATCH(B134,04_КП!$A$4:$A$203,0)),"")="READY",COUNTIF(03_Пакеты!$A$4:$A$203,C134)=1,G134&lt;&gt;"",ISNUMBER(H134),H134&gt;=0,OR(AND(H134&gt;0,I134="KNOWN"),AND(H134=0,I134="ZERO_CONFIRMED")),N134&lt;&gt;""),"READY","INCOMPLETE / SOURCE"))</f>
        <v/>
      </c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  <c r="L135" s="5" t="str">
        <f aca="false">IF(B135="","",IFERROR(INDEX(04_КП!$F$4:$F$203,MATCH(B135,04_КП!$A$4:$A$203,0)),""))</f>
        <v/>
      </c>
      <c r="M135" s="5" t="str">
        <f aca="false">IF(B135="","",IFERROR(INDEX(04_КП!$G$4:$G$203,MATCH(B135,04_КП!$A$4:$A$203,0)),""))</f>
        <v/>
      </c>
      <c r="N135" s="4"/>
      <c r="O135" s="5" t="str">
        <f aca="false">IF(A135="","",IF(AND(COUNTIF(A$4:A$203,A135)=1,COUNTIF(04_КП!$A$4:$A$203,B135)=1,IFERROR(INDEX(04_КП!$T$4:$T$203,MATCH(B135,04_КП!$A$4:$A$203,0)),"")="READY",COUNTIF(03_Пакеты!$A$4:$A$203,C135)=1,G135&lt;&gt;"",ISNUMBER(H135),H135&gt;=0,OR(AND(H135&gt;0,I135="KNOWN"),AND(H135=0,I135="ZERO_CONFIRMED")),N135&lt;&gt;""),"READY","INCOMPLETE / SOURCE"))</f>
        <v/>
      </c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  <c r="L136" s="5" t="str">
        <f aca="false">IF(B136="","",IFERROR(INDEX(04_КП!$F$4:$F$203,MATCH(B136,04_КП!$A$4:$A$203,0)),""))</f>
        <v/>
      </c>
      <c r="M136" s="5" t="str">
        <f aca="false">IF(B136="","",IFERROR(INDEX(04_КП!$G$4:$G$203,MATCH(B136,04_КП!$A$4:$A$203,0)),""))</f>
        <v/>
      </c>
      <c r="N136" s="4"/>
      <c r="O136" s="5" t="str">
        <f aca="false">IF(A136="","",IF(AND(COUNTIF(A$4:A$203,A136)=1,COUNTIF(04_КП!$A$4:$A$203,B136)=1,IFERROR(INDEX(04_КП!$T$4:$T$203,MATCH(B136,04_КП!$A$4:$A$203,0)),"")="READY",COUNTIF(03_Пакеты!$A$4:$A$203,C136)=1,G136&lt;&gt;"",ISNUMBER(H136),H136&gt;=0,OR(AND(H136&gt;0,I136="KNOWN"),AND(H136=0,I136="ZERO_CONFIRMED")),N136&lt;&gt;""),"READY","INCOMPLETE / SOURCE"))</f>
        <v/>
      </c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  <c r="L137" s="5" t="str">
        <f aca="false">IF(B137="","",IFERROR(INDEX(04_КП!$F$4:$F$203,MATCH(B137,04_КП!$A$4:$A$203,0)),""))</f>
        <v/>
      </c>
      <c r="M137" s="5" t="str">
        <f aca="false">IF(B137="","",IFERROR(INDEX(04_КП!$G$4:$G$203,MATCH(B137,04_КП!$A$4:$A$203,0)),""))</f>
        <v/>
      </c>
      <c r="N137" s="4"/>
      <c r="O137" s="5" t="str">
        <f aca="false">IF(A137="","",IF(AND(COUNTIF(A$4:A$203,A137)=1,COUNTIF(04_КП!$A$4:$A$203,B137)=1,IFERROR(INDEX(04_КП!$T$4:$T$203,MATCH(B137,04_КП!$A$4:$A$203,0)),"")="READY",COUNTIF(03_Пакеты!$A$4:$A$203,C137)=1,G137&lt;&gt;"",ISNUMBER(H137),H137&gt;=0,OR(AND(H137&gt;0,I137="KNOWN"),AND(H137=0,I137="ZERO_CONFIRMED")),N137&lt;&gt;""),"READY","INCOMPLETE / SOURCE"))</f>
        <v/>
      </c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  <c r="L138" s="5" t="str">
        <f aca="false">IF(B138="","",IFERROR(INDEX(04_КП!$F$4:$F$203,MATCH(B138,04_КП!$A$4:$A$203,0)),""))</f>
        <v/>
      </c>
      <c r="M138" s="5" t="str">
        <f aca="false">IF(B138="","",IFERROR(INDEX(04_КП!$G$4:$G$203,MATCH(B138,04_КП!$A$4:$A$203,0)),""))</f>
        <v/>
      </c>
      <c r="N138" s="4"/>
      <c r="O138" s="5" t="str">
        <f aca="false">IF(A138="","",IF(AND(COUNTIF(A$4:A$203,A138)=1,COUNTIF(04_КП!$A$4:$A$203,B138)=1,IFERROR(INDEX(04_КП!$T$4:$T$203,MATCH(B138,04_КП!$A$4:$A$203,0)),"")="READY",COUNTIF(03_Пакеты!$A$4:$A$203,C138)=1,G138&lt;&gt;"",ISNUMBER(H138),H138&gt;=0,OR(AND(H138&gt;0,I138="KNOWN"),AND(H138=0,I138="ZERO_CONFIRMED")),N138&lt;&gt;""),"READY","INCOMPLETE / SOURCE"))</f>
        <v/>
      </c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  <c r="L139" s="5" t="str">
        <f aca="false">IF(B139="","",IFERROR(INDEX(04_КП!$F$4:$F$203,MATCH(B139,04_КП!$A$4:$A$203,0)),""))</f>
        <v/>
      </c>
      <c r="M139" s="5" t="str">
        <f aca="false">IF(B139="","",IFERROR(INDEX(04_КП!$G$4:$G$203,MATCH(B139,04_КП!$A$4:$A$203,0)),""))</f>
        <v/>
      </c>
      <c r="N139" s="4"/>
      <c r="O139" s="5" t="str">
        <f aca="false">IF(A139="","",IF(AND(COUNTIF(A$4:A$203,A139)=1,COUNTIF(04_КП!$A$4:$A$203,B139)=1,IFERROR(INDEX(04_КП!$T$4:$T$203,MATCH(B139,04_КП!$A$4:$A$203,0)),"")="READY",COUNTIF(03_Пакеты!$A$4:$A$203,C139)=1,G139&lt;&gt;"",ISNUMBER(H139),H139&gt;=0,OR(AND(H139&gt;0,I139="KNOWN"),AND(H139=0,I139="ZERO_CONFIRMED")),N139&lt;&gt;""),"READY","INCOMPLETE / SOURCE"))</f>
        <v/>
      </c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  <c r="L140" s="5" t="str">
        <f aca="false">IF(B140="","",IFERROR(INDEX(04_КП!$F$4:$F$203,MATCH(B140,04_КП!$A$4:$A$203,0)),""))</f>
        <v/>
      </c>
      <c r="M140" s="5" t="str">
        <f aca="false">IF(B140="","",IFERROR(INDEX(04_КП!$G$4:$G$203,MATCH(B140,04_КП!$A$4:$A$203,0)),""))</f>
        <v/>
      </c>
      <c r="N140" s="4"/>
      <c r="O140" s="5" t="str">
        <f aca="false">IF(A140="","",IF(AND(COUNTIF(A$4:A$203,A140)=1,COUNTIF(04_КП!$A$4:$A$203,B140)=1,IFERROR(INDEX(04_КП!$T$4:$T$203,MATCH(B140,04_КП!$A$4:$A$203,0)),"")="READY",COUNTIF(03_Пакеты!$A$4:$A$203,C140)=1,G140&lt;&gt;"",ISNUMBER(H140),H140&gt;=0,OR(AND(H140&gt;0,I140="KNOWN"),AND(H140=0,I140="ZERO_CONFIRMED")),N140&lt;&gt;""),"READY","INCOMPLETE / SOURCE"))</f>
        <v/>
      </c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  <c r="L141" s="5" t="str">
        <f aca="false">IF(B141="","",IFERROR(INDEX(04_КП!$F$4:$F$203,MATCH(B141,04_КП!$A$4:$A$203,0)),""))</f>
        <v/>
      </c>
      <c r="M141" s="5" t="str">
        <f aca="false">IF(B141="","",IFERROR(INDEX(04_КП!$G$4:$G$203,MATCH(B141,04_КП!$A$4:$A$203,0)),""))</f>
        <v/>
      </c>
      <c r="N141" s="4"/>
      <c r="O141" s="5" t="str">
        <f aca="false">IF(A141="","",IF(AND(COUNTIF(A$4:A$203,A141)=1,COUNTIF(04_КП!$A$4:$A$203,B141)=1,IFERROR(INDEX(04_КП!$T$4:$T$203,MATCH(B141,04_КП!$A$4:$A$203,0)),"")="READY",COUNTIF(03_Пакеты!$A$4:$A$203,C141)=1,G141&lt;&gt;"",ISNUMBER(H141),H141&gt;=0,OR(AND(H141&gt;0,I141="KNOWN"),AND(H141=0,I141="ZERO_CONFIRMED")),N141&lt;&gt;""),"READY","INCOMPLETE / SOURCE"))</f>
        <v/>
      </c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  <c r="L142" s="5" t="str">
        <f aca="false">IF(B142="","",IFERROR(INDEX(04_КП!$F$4:$F$203,MATCH(B142,04_КП!$A$4:$A$203,0)),""))</f>
        <v/>
      </c>
      <c r="M142" s="5" t="str">
        <f aca="false">IF(B142="","",IFERROR(INDEX(04_КП!$G$4:$G$203,MATCH(B142,04_КП!$A$4:$A$203,0)),""))</f>
        <v/>
      </c>
      <c r="N142" s="4"/>
      <c r="O142" s="5" t="str">
        <f aca="false">IF(A142="","",IF(AND(COUNTIF(A$4:A$203,A142)=1,COUNTIF(04_КП!$A$4:$A$203,B142)=1,IFERROR(INDEX(04_КП!$T$4:$T$203,MATCH(B142,04_КП!$A$4:$A$203,0)),"")="READY",COUNTIF(03_Пакеты!$A$4:$A$203,C142)=1,G142&lt;&gt;"",ISNUMBER(H142),H142&gt;=0,OR(AND(H142&gt;0,I142="KNOWN"),AND(H142=0,I142="ZERO_CONFIRMED")),N142&lt;&gt;""),"READY","INCOMPLETE / SOURCE"))</f>
        <v/>
      </c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  <c r="L143" s="5" t="str">
        <f aca="false">IF(B143="","",IFERROR(INDEX(04_КП!$F$4:$F$203,MATCH(B143,04_КП!$A$4:$A$203,0)),""))</f>
        <v/>
      </c>
      <c r="M143" s="5" t="str">
        <f aca="false">IF(B143="","",IFERROR(INDEX(04_КП!$G$4:$G$203,MATCH(B143,04_КП!$A$4:$A$203,0)),""))</f>
        <v/>
      </c>
      <c r="N143" s="4"/>
      <c r="O143" s="5" t="str">
        <f aca="false">IF(A143="","",IF(AND(COUNTIF(A$4:A$203,A143)=1,COUNTIF(04_КП!$A$4:$A$203,B143)=1,IFERROR(INDEX(04_КП!$T$4:$T$203,MATCH(B143,04_КП!$A$4:$A$203,0)),"")="READY",COUNTIF(03_Пакеты!$A$4:$A$203,C143)=1,G143&lt;&gt;"",ISNUMBER(H143),H143&gt;=0,OR(AND(H143&gt;0,I143="KNOWN"),AND(H143=0,I143="ZERO_CONFIRMED")),N143&lt;&gt;""),"READY","INCOMPLETE / SOURCE"))</f>
        <v/>
      </c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  <c r="L144" s="5" t="str">
        <f aca="false">IF(B144="","",IFERROR(INDEX(04_КП!$F$4:$F$203,MATCH(B144,04_КП!$A$4:$A$203,0)),""))</f>
        <v/>
      </c>
      <c r="M144" s="5" t="str">
        <f aca="false">IF(B144="","",IFERROR(INDEX(04_КП!$G$4:$G$203,MATCH(B144,04_КП!$A$4:$A$203,0)),""))</f>
        <v/>
      </c>
      <c r="N144" s="4"/>
      <c r="O144" s="5" t="str">
        <f aca="false">IF(A144="","",IF(AND(COUNTIF(A$4:A$203,A144)=1,COUNTIF(04_КП!$A$4:$A$203,B144)=1,IFERROR(INDEX(04_КП!$T$4:$T$203,MATCH(B144,04_КП!$A$4:$A$203,0)),"")="READY",COUNTIF(03_Пакеты!$A$4:$A$203,C144)=1,G144&lt;&gt;"",ISNUMBER(H144),H144&gt;=0,OR(AND(H144&gt;0,I144="KNOWN"),AND(H144=0,I144="ZERO_CONFIRMED")),N144&lt;&gt;""),"READY","INCOMPLETE / SOURCE"))</f>
        <v/>
      </c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  <c r="L145" s="5" t="str">
        <f aca="false">IF(B145="","",IFERROR(INDEX(04_КП!$F$4:$F$203,MATCH(B145,04_КП!$A$4:$A$203,0)),""))</f>
        <v/>
      </c>
      <c r="M145" s="5" t="str">
        <f aca="false">IF(B145="","",IFERROR(INDEX(04_КП!$G$4:$G$203,MATCH(B145,04_КП!$A$4:$A$203,0)),""))</f>
        <v/>
      </c>
      <c r="N145" s="4"/>
      <c r="O145" s="5" t="str">
        <f aca="false">IF(A145="","",IF(AND(COUNTIF(A$4:A$203,A145)=1,COUNTIF(04_КП!$A$4:$A$203,B145)=1,IFERROR(INDEX(04_КП!$T$4:$T$203,MATCH(B145,04_КП!$A$4:$A$203,0)),"")="READY",COUNTIF(03_Пакеты!$A$4:$A$203,C145)=1,G145&lt;&gt;"",ISNUMBER(H145),H145&gt;=0,OR(AND(H145&gt;0,I145="KNOWN"),AND(H145=0,I145="ZERO_CONFIRMED")),N145&lt;&gt;""),"READY","INCOMPLETE / SOURCE"))</f>
        <v/>
      </c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  <c r="L146" s="5" t="str">
        <f aca="false">IF(B146="","",IFERROR(INDEX(04_КП!$F$4:$F$203,MATCH(B146,04_КП!$A$4:$A$203,0)),""))</f>
        <v/>
      </c>
      <c r="M146" s="5" t="str">
        <f aca="false">IF(B146="","",IFERROR(INDEX(04_КП!$G$4:$G$203,MATCH(B146,04_КП!$A$4:$A$203,0)),""))</f>
        <v/>
      </c>
      <c r="N146" s="4"/>
      <c r="O146" s="5" t="str">
        <f aca="false">IF(A146="","",IF(AND(COUNTIF(A$4:A$203,A146)=1,COUNTIF(04_КП!$A$4:$A$203,B146)=1,IFERROR(INDEX(04_КП!$T$4:$T$203,MATCH(B146,04_КП!$A$4:$A$203,0)),"")="READY",COUNTIF(03_Пакеты!$A$4:$A$203,C146)=1,G146&lt;&gt;"",ISNUMBER(H146),H146&gt;=0,OR(AND(H146&gt;0,I146="KNOWN"),AND(H146=0,I146="ZERO_CONFIRMED")),N146&lt;&gt;""),"READY","INCOMPLETE / SOURCE"))</f>
        <v/>
      </c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  <c r="L147" s="5" t="str">
        <f aca="false">IF(B147="","",IFERROR(INDEX(04_КП!$F$4:$F$203,MATCH(B147,04_КП!$A$4:$A$203,0)),""))</f>
        <v/>
      </c>
      <c r="M147" s="5" t="str">
        <f aca="false">IF(B147="","",IFERROR(INDEX(04_КП!$G$4:$G$203,MATCH(B147,04_КП!$A$4:$A$203,0)),""))</f>
        <v/>
      </c>
      <c r="N147" s="4"/>
      <c r="O147" s="5" t="str">
        <f aca="false">IF(A147="","",IF(AND(COUNTIF(A$4:A$203,A147)=1,COUNTIF(04_КП!$A$4:$A$203,B147)=1,IFERROR(INDEX(04_КП!$T$4:$T$203,MATCH(B147,04_КП!$A$4:$A$203,0)),"")="READY",COUNTIF(03_Пакеты!$A$4:$A$203,C147)=1,G147&lt;&gt;"",ISNUMBER(H147),H147&gt;=0,OR(AND(H147&gt;0,I147="KNOWN"),AND(H147=0,I147="ZERO_CONFIRMED")),N147&lt;&gt;""),"READY","INCOMPLETE / SOURCE"))</f>
        <v/>
      </c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  <c r="L148" s="5" t="str">
        <f aca="false">IF(B148="","",IFERROR(INDEX(04_КП!$F$4:$F$203,MATCH(B148,04_КП!$A$4:$A$203,0)),""))</f>
        <v/>
      </c>
      <c r="M148" s="5" t="str">
        <f aca="false">IF(B148="","",IFERROR(INDEX(04_КП!$G$4:$G$203,MATCH(B148,04_КП!$A$4:$A$203,0)),""))</f>
        <v/>
      </c>
      <c r="N148" s="4"/>
      <c r="O148" s="5" t="str">
        <f aca="false">IF(A148="","",IF(AND(COUNTIF(A$4:A$203,A148)=1,COUNTIF(04_КП!$A$4:$A$203,B148)=1,IFERROR(INDEX(04_КП!$T$4:$T$203,MATCH(B148,04_КП!$A$4:$A$203,0)),"")="READY",COUNTIF(03_Пакеты!$A$4:$A$203,C148)=1,G148&lt;&gt;"",ISNUMBER(H148),H148&gt;=0,OR(AND(H148&gt;0,I148="KNOWN"),AND(H148=0,I148="ZERO_CONFIRMED")),N148&lt;&gt;""),"READY","INCOMPLETE / SOURCE"))</f>
        <v/>
      </c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  <c r="L149" s="5" t="str">
        <f aca="false">IF(B149="","",IFERROR(INDEX(04_КП!$F$4:$F$203,MATCH(B149,04_КП!$A$4:$A$203,0)),""))</f>
        <v/>
      </c>
      <c r="M149" s="5" t="str">
        <f aca="false">IF(B149="","",IFERROR(INDEX(04_КП!$G$4:$G$203,MATCH(B149,04_КП!$A$4:$A$203,0)),""))</f>
        <v/>
      </c>
      <c r="N149" s="4"/>
      <c r="O149" s="5" t="str">
        <f aca="false">IF(A149="","",IF(AND(COUNTIF(A$4:A$203,A149)=1,COUNTIF(04_КП!$A$4:$A$203,B149)=1,IFERROR(INDEX(04_КП!$T$4:$T$203,MATCH(B149,04_КП!$A$4:$A$203,0)),"")="READY",COUNTIF(03_Пакеты!$A$4:$A$203,C149)=1,G149&lt;&gt;"",ISNUMBER(H149),H149&gt;=0,OR(AND(H149&gt;0,I149="KNOWN"),AND(H149=0,I149="ZERO_CONFIRMED")),N149&lt;&gt;""),"READY","INCOMPLETE / SOURCE"))</f>
        <v/>
      </c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  <c r="L150" s="5" t="str">
        <f aca="false">IF(B150="","",IFERROR(INDEX(04_КП!$F$4:$F$203,MATCH(B150,04_КП!$A$4:$A$203,0)),""))</f>
        <v/>
      </c>
      <c r="M150" s="5" t="str">
        <f aca="false">IF(B150="","",IFERROR(INDEX(04_КП!$G$4:$G$203,MATCH(B150,04_КП!$A$4:$A$203,0)),""))</f>
        <v/>
      </c>
      <c r="N150" s="4"/>
      <c r="O150" s="5" t="str">
        <f aca="false">IF(A150="","",IF(AND(COUNTIF(A$4:A$203,A150)=1,COUNTIF(04_КП!$A$4:$A$203,B150)=1,IFERROR(INDEX(04_КП!$T$4:$T$203,MATCH(B150,04_КП!$A$4:$A$203,0)),"")="READY",COUNTIF(03_Пакеты!$A$4:$A$203,C150)=1,G150&lt;&gt;"",ISNUMBER(H150),H150&gt;=0,OR(AND(H150&gt;0,I150="KNOWN"),AND(H150=0,I150="ZERO_CONFIRMED")),N150&lt;&gt;""),"READY","INCOMPLETE / SOURCE"))</f>
        <v/>
      </c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  <c r="L151" s="5" t="str">
        <f aca="false">IF(B151="","",IFERROR(INDEX(04_КП!$F$4:$F$203,MATCH(B151,04_КП!$A$4:$A$203,0)),""))</f>
        <v/>
      </c>
      <c r="M151" s="5" t="str">
        <f aca="false">IF(B151="","",IFERROR(INDEX(04_КП!$G$4:$G$203,MATCH(B151,04_КП!$A$4:$A$203,0)),""))</f>
        <v/>
      </c>
      <c r="N151" s="4"/>
      <c r="O151" s="5" t="str">
        <f aca="false">IF(A151="","",IF(AND(COUNTIF(A$4:A$203,A151)=1,COUNTIF(04_КП!$A$4:$A$203,B151)=1,IFERROR(INDEX(04_КП!$T$4:$T$203,MATCH(B151,04_КП!$A$4:$A$203,0)),"")="READY",COUNTIF(03_Пакеты!$A$4:$A$203,C151)=1,G151&lt;&gt;"",ISNUMBER(H151),H151&gt;=0,OR(AND(H151&gt;0,I151="KNOWN"),AND(H151=0,I151="ZERO_CONFIRMED")),N151&lt;&gt;""),"READY","INCOMPLETE / SOURCE"))</f>
        <v/>
      </c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  <c r="L152" s="5" t="str">
        <f aca="false">IF(B152="","",IFERROR(INDEX(04_КП!$F$4:$F$203,MATCH(B152,04_КП!$A$4:$A$203,0)),""))</f>
        <v/>
      </c>
      <c r="M152" s="5" t="str">
        <f aca="false">IF(B152="","",IFERROR(INDEX(04_КП!$G$4:$G$203,MATCH(B152,04_КП!$A$4:$A$203,0)),""))</f>
        <v/>
      </c>
      <c r="N152" s="4"/>
      <c r="O152" s="5" t="str">
        <f aca="false">IF(A152="","",IF(AND(COUNTIF(A$4:A$203,A152)=1,COUNTIF(04_КП!$A$4:$A$203,B152)=1,IFERROR(INDEX(04_КП!$T$4:$T$203,MATCH(B152,04_КП!$A$4:$A$203,0)),"")="READY",COUNTIF(03_Пакеты!$A$4:$A$203,C152)=1,G152&lt;&gt;"",ISNUMBER(H152),H152&gt;=0,OR(AND(H152&gt;0,I152="KNOWN"),AND(H152=0,I152="ZERO_CONFIRMED")),N152&lt;&gt;""),"READY","INCOMPLETE / SOURCE"))</f>
        <v/>
      </c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  <c r="L153" s="5" t="str">
        <f aca="false">IF(B153="","",IFERROR(INDEX(04_КП!$F$4:$F$203,MATCH(B153,04_КП!$A$4:$A$203,0)),""))</f>
        <v/>
      </c>
      <c r="M153" s="5" t="str">
        <f aca="false">IF(B153="","",IFERROR(INDEX(04_КП!$G$4:$G$203,MATCH(B153,04_КП!$A$4:$A$203,0)),""))</f>
        <v/>
      </c>
      <c r="N153" s="4"/>
      <c r="O153" s="5" t="str">
        <f aca="false">IF(A153="","",IF(AND(COUNTIF(A$4:A$203,A153)=1,COUNTIF(04_КП!$A$4:$A$203,B153)=1,IFERROR(INDEX(04_КП!$T$4:$T$203,MATCH(B153,04_КП!$A$4:$A$203,0)),"")="READY",COUNTIF(03_Пакеты!$A$4:$A$203,C153)=1,G153&lt;&gt;"",ISNUMBER(H153),H153&gt;=0,OR(AND(H153&gt;0,I153="KNOWN"),AND(H153=0,I153="ZERO_CONFIRMED")),N153&lt;&gt;""),"READY","INCOMPLETE / SOURCE"))</f>
        <v/>
      </c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  <c r="L154" s="5" t="str">
        <f aca="false">IF(B154="","",IFERROR(INDEX(04_КП!$F$4:$F$203,MATCH(B154,04_КП!$A$4:$A$203,0)),""))</f>
        <v/>
      </c>
      <c r="M154" s="5" t="str">
        <f aca="false">IF(B154="","",IFERROR(INDEX(04_КП!$G$4:$G$203,MATCH(B154,04_КП!$A$4:$A$203,0)),""))</f>
        <v/>
      </c>
      <c r="N154" s="4"/>
      <c r="O154" s="5" t="str">
        <f aca="false">IF(A154="","",IF(AND(COUNTIF(A$4:A$203,A154)=1,COUNTIF(04_КП!$A$4:$A$203,B154)=1,IFERROR(INDEX(04_КП!$T$4:$T$203,MATCH(B154,04_КП!$A$4:$A$203,0)),"")="READY",COUNTIF(03_Пакеты!$A$4:$A$203,C154)=1,G154&lt;&gt;"",ISNUMBER(H154),H154&gt;=0,OR(AND(H154&gt;0,I154="KNOWN"),AND(H154=0,I154="ZERO_CONFIRMED")),N154&lt;&gt;""),"READY","INCOMPLETE / SOURCE"))</f>
        <v/>
      </c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  <c r="L155" s="5" t="str">
        <f aca="false">IF(B155="","",IFERROR(INDEX(04_КП!$F$4:$F$203,MATCH(B155,04_КП!$A$4:$A$203,0)),""))</f>
        <v/>
      </c>
      <c r="M155" s="5" t="str">
        <f aca="false">IF(B155="","",IFERROR(INDEX(04_КП!$G$4:$G$203,MATCH(B155,04_КП!$A$4:$A$203,0)),""))</f>
        <v/>
      </c>
      <c r="N155" s="4"/>
      <c r="O155" s="5" t="str">
        <f aca="false">IF(A155="","",IF(AND(COUNTIF(A$4:A$203,A155)=1,COUNTIF(04_КП!$A$4:$A$203,B155)=1,IFERROR(INDEX(04_КП!$T$4:$T$203,MATCH(B155,04_КП!$A$4:$A$203,0)),"")="READY",COUNTIF(03_Пакеты!$A$4:$A$203,C155)=1,G155&lt;&gt;"",ISNUMBER(H155),H155&gt;=0,OR(AND(H155&gt;0,I155="KNOWN"),AND(H155=0,I155="ZERO_CONFIRMED")),N155&lt;&gt;""),"READY","INCOMPLETE / SOURCE"))</f>
        <v/>
      </c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  <c r="L156" s="5" t="str">
        <f aca="false">IF(B156="","",IFERROR(INDEX(04_КП!$F$4:$F$203,MATCH(B156,04_КП!$A$4:$A$203,0)),""))</f>
        <v/>
      </c>
      <c r="M156" s="5" t="str">
        <f aca="false">IF(B156="","",IFERROR(INDEX(04_КП!$G$4:$G$203,MATCH(B156,04_КП!$A$4:$A$203,0)),""))</f>
        <v/>
      </c>
      <c r="N156" s="4"/>
      <c r="O156" s="5" t="str">
        <f aca="false">IF(A156="","",IF(AND(COUNTIF(A$4:A$203,A156)=1,COUNTIF(04_КП!$A$4:$A$203,B156)=1,IFERROR(INDEX(04_КП!$T$4:$T$203,MATCH(B156,04_КП!$A$4:$A$203,0)),"")="READY",COUNTIF(03_Пакеты!$A$4:$A$203,C156)=1,G156&lt;&gt;"",ISNUMBER(H156),H156&gt;=0,OR(AND(H156&gt;0,I156="KNOWN"),AND(H156=0,I156="ZERO_CONFIRMED")),N156&lt;&gt;""),"READY","INCOMPLETE / SOURCE"))</f>
        <v/>
      </c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  <c r="L157" s="5" t="str">
        <f aca="false">IF(B157="","",IFERROR(INDEX(04_КП!$F$4:$F$203,MATCH(B157,04_КП!$A$4:$A$203,0)),""))</f>
        <v/>
      </c>
      <c r="M157" s="5" t="str">
        <f aca="false">IF(B157="","",IFERROR(INDEX(04_КП!$G$4:$G$203,MATCH(B157,04_КП!$A$4:$A$203,0)),""))</f>
        <v/>
      </c>
      <c r="N157" s="4"/>
      <c r="O157" s="5" t="str">
        <f aca="false">IF(A157="","",IF(AND(COUNTIF(A$4:A$203,A157)=1,COUNTIF(04_КП!$A$4:$A$203,B157)=1,IFERROR(INDEX(04_КП!$T$4:$T$203,MATCH(B157,04_КП!$A$4:$A$203,0)),"")="READY",COUNTIF(03_Пакеты!$A$4:$A$203,C157)=1,G157&lt;&gt;"",ISNUMBER(H157),H157&gt;=0,OR(AND(H157&gt;0,I157="KNOWN"),AND(H157=0,I157="ZERO_CONFIRMED")),N157&lt;&gt;""),"READY","INCOMPLETE / SOURCE"))</f>
        <v/>
      </c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  <c r="L158" s="5" t="str">
        <f aca="false">IF(B158="","",IFERROR(INDEX(04_КП!$F$4:$F$203,MATCH(B158,04_КП!$A$4:$A$203,0)),""))</f>
        <v/>
      </c>
      <c r="M158" s="5" t="str">
        <f aca="false">IF(B158="","",IFERROR(INDEX(04_КП!$G$4:$G$203,MATCH(B158,04_КП!$A$4:$A$203,0)),""))</f>
        <v/>
      </c>
      <c r="N158" s="4"/>
      <c r="O158" s="5" t="str">
        <f aca="false">IF(A158="","",IF(AND(COUNTIF(A$4:A$203,A158)=1,COUNTIF(04_КП!$A$4:$A$203,B158)=1,IFERROR(INDEX(04_КП!$T$4:$T$203,MATCH(B158,04_КП!$A$4:$A$203,0)),"")="READY",COUNTIF(03_Пакеты!$A$4:$A$203,C158)=1,G158&lt;&gt;"",ISNUMBER(H158),H158&gt;=0,OR(AND(H158&gt;0,I158="KNOWN"),AND(H158=0,I158="ZERO_CONFIRMED")),N158&lt;&gt;""),"READY","INCOMPLETE / SOURCE"))</f>
        <v/>
      </c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  <c r="L159" s="5" t="str">
        <f aca="false">IF(B159="","",IFERROR(INDEX(04_КП!$F$4:$F$203,MATCH(B159,04_КП!$A$4:$A$203,0)),""))</f>
        <v/>
      </c>
      <c r="M159" s="5" t="str">
        <f aca="false">IF(B159="","",IFERROR(INDEX(04_КП!$G$4:$G$203,MATCH(B159,04_КП!$A$4:$A$203,0)),""))</f>
        <v/>
      </c>
      <c r="N159" s="4"/>
      <c r="O159" s="5" t="str">
        <f aca="false">IF(A159="","",IF(AND(COUNTIF(A$4:A$203,A159)=1,COUNTIF(04_КП!$A$4:$A$203,B159)=1,IFERROR(INDEX(04_КП!$T$4:$T$203,MATCH(B159,04_КП!$A$4:$A$203,0)),"")="READY",COUNTIF(03_Пакеты!$A$4:$A$203,C159)=1,G159&lt;&gt;"",ISNUMBER(H159),H159&gt;=0,OR(AND(H159&gt;0,I159="KNOWN"),AND(H159=0,I159="ZERO_CONFIRMED")),N159&lt;&gt;""),"READY","INCOMPLETE / SOURCE"))</f>
        <v/>
      </c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  <c r="L160" s="5" t="str">
        <f aca="false">IF(B160="","",IFERROR(INDEX(04_КП!$F$4:$F$203,MATCH(B160,04_КП!$A$4:$A$203,0)),""))</f>
        <v/>
      </c>
      <c r="M160" s="5" t="str">
        <f aca="false">IF(B160="","",IFERROR(INDEX(04_КП!$G$4:$G$203,MATCH(B160,04_КП!$A$4:$A$203,0)),""))</f>
        <v/>
      </c>
      <c r="N160" s="4"/>
      <c r="O160" s="5" t="str">
        <f aca="false">IF(A160="","",IF(AND(COUNTIF(A$4:A$203,A160)=1,COUNTIF(04_КП!$A$4:$A$203,B160)=1,IFERROR(INDEX(04_КП!$T$4:$T$203,MATCH(B160,04_КП!$A$4:$A$203,0)),"")="READY",COUNTIF(03_Пакеты!$A$4:$A$203,C160)=1,G160&lt;&gt;"",ISNUMBER(H160),H160&gt;=0,OR(AND(H160&gt;0,I160="KNOWN"),AND(H160=0,I160="ZERO_CONFIRMED")),N160&lt;&gt;""),"READY","INCOMPLETE / SOURCE"))</f>
        <v/>
      </c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  <c r="L161" s="5" t="str">
        <f aca="false">IF(B161="","",IFERROR(INDEX(04_КП!$F$4:$F$203,MATCH(B161,04_КП!$A$4:$A$203,0)),""))</f>
        <v/>
      </c>
      <c r="M161" s="5" t="str">
        <f aca="false">IF(B161="","",IFERROR(INDEX(04_КП!$G$4:$G$203,MATCH(B161,04_КП!$A$4:$A$203,0)),""))</f>
        <v/>
      </c>
      <c r="N161" s="4"/>
      <c r="O161" s="5" t="str">
        <f aca="false">IF(A161="","",IF(AND(COUNTIF(A$4:A$203,A161)=1,COUNTIF(04_КП!$A$4:$A$203,B161)=1,IFERROR(INDEX(04_КП!$T$4:$T$203,MATCH(B161,04_КП!$A$4:$A$203,0)),"")="READY",COUNTIF(03_Пакеты!$A$4:$A$203,C161)=1,G161&lt;&gt;"",ISNUMBER(H161),H161&gt;=0,OR(AND(H161&gt;0,I161="KNOWN"),AND(H161=0,I161="ZERO_CONFIRMED")),N161&lt;&gt;""),"READY","INCOMPLETE / SOURCE"))</f>
        <v/>
      </c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  <c r="L162" s="5" t="str">
        <f aca="false">IF(B162="","",IFERROR(INDEX(04_КП!$F$4:$F$203,MATCH(B162,04_КП!$A$4:$A$203,0)),""))</f>
        <v/>
      </c>
      <c r="M162" s="5" t="str">
        <f aca="false">IF(B162="","",IFERROR(INDEX(04_КП!$G$4:$G$203,MATCH(B162,04_КП!$A$4:$A$203,0)),""))</f>
        <v/>
      </c>
      <c r="N162" s="4"/>
      <c r="O162" s="5" t="str">
        <f aca="false">IF(A162="","",IF(AND(COUNTIF(A$4:A$203,A162)=1,COUNTIF(04_КП!$A$4:$A$203,B162)=1,IFERROR(INDEX(04_КП!$T$4:$T$203,MATCH(B162,04_КП!$A$4:$A$203,0)),"")="READY",COUNTIF(03_Пакеты!$A$4:$A$203,C162)=1,G162&lt;&gt;"",ISNUMBER(H162),H162&gt;=0,OR(AND(H162&gt;0,I162="KNOWN"),AND(H162=0,I162="ZERO_CONFIRMED")),N162&lt;&gt;""),"READY","INCOMPLETE / SOURCE"))</f>
        <v/>
      </c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  <c r="L163" s="5" t="str">
        <f aca="false">IF(B163="","",IFERROR(INDEX(04_КП!$F$4:$F$203,MATCH(B163,04_КП!$A$4:$A$203,0)),""))</f>
        <v/>
      </c>
      <c r="M163" s="5" t="str">
        <f aca="false">IF(B163="","",IFERROR(INDEX(04_КП!$G$4:$G$203,MATCH(B163,04_КП!$A$4:$A$203,0)),""))</f>
        <v/>
      </c>
      <c r="N163" s="4"/>
      <c r="O163" s="5" t="str">
        <f aca="false">IF(A163="","",IF(AND(COUNTIF(A$4:A$203,A163)=1,COUNTIF(04_КП!$A$4:$A$203,B163)=1,IFERROR(INDEX(04_КП!$T$4:$T$203,MATCH(B163,04_КП!$A$4:$A$203,0)),"")="READY",COUNTIF(03_Пакеты!$A$4:$A$203,C163)=1,G163&lt;&gt;"",ISNUMBER(H163),H163&gt;=0,OR(AND(H163&gt;0,I163="KNOWN"),AND(H163=0,I163="ZERO_CONFIRMED")),N163&lt;&gt;""),"READY","INCOMPLETE / SOURCE"))</f>
        <v/>
      </c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  <c r="L164" s="5" t="str">
        <f aca="false">IF(B164="","",IFERROR(INDEX(04_КП!$F$4:$F$203,MATCH(B164,04_КП!$A$4:$A$203,0)),""))</f>
        <v/>
      </c>
      <c r="M164" s="5" t="str">
        <f aca="false">IF(B164="","",IFERROR(INDEX(04_КП!$G$4:$G$203,MATCH(B164,04_КП!$A$4:$A$203,0)),""))</f>
        <v/>
      </c>
      <c r="N164" s="4"/>
      <c r="O164" s="5" t="str">
        <f aca="false">IF(A164="","",IF(AND(COUNTIF(A$4:A$203,A164)=1,COUNTIF(04_КП!$A$4:$A$203,B164)=1,IFERROR(INDEX(04_КП!$T$4:$T$203,MATCH(B164,04_КП!$A$4:$A$203,0)),"")="READY",COUNTIF(03_Пакеты!$A$4:$A$203,C164)=1,G164&lt;&gt;"",ISNUMBER(H164),H164&gt;=0,OR(AND(H164&gt;0,I164="KNOWN"),AND(H164=0,I164="ZERO_CONFIRMED")),N164&lt;&gt;""),"READY","INCOMPLETE / SOURCE"))</f>
        <v/>
      </c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  <c r="L165" s="5" t="str">
        <f aca="false">IF(B165="","",IFERROR(INDEX(04_КП!$F$4:$F$203,MATCH(B165,04_КП!$A$4:$A$203,0)),""))</f>
        <v/>
      </c>
      <c r="M165" s="5" t="str">
        <f aca="false">IF(B165="","",IFERROR(INDEX(04_КП!$G$4:$G$203,MATCH(B165,04_КП!$A$4:$A$203,0)),""))</f>
        <v/>
      </c>
      <c r="N165" s="4"/>
      <c r="O165" s="5" t="str">
        <f aca="false">IF(A165="","",IF(AND(COUNTIF(A$4:A$203,A165)=1,COUNTIF(04_КП!$A$4:$A$203,B165)=1,IFERROR(INDEX(04_КП!$T$4:$T$203,MATCH(B165,04_КП!$A$4:$A$203,0)),"")="READY",COUNTIF(03_Пакеты!$A$4:$A$203,C165)=1,G165&lt;&gt;"",ISNUMBER(H165),H165&gt;=0,OR(AND(H165&gt;0,I165="KNOWN"),AND(H165=0,I165="ZERO_CONFIRMED")),N165&lt;&gt;""),"READY","INCOMPLETE / SOURCE"))</f>
        <v/>
      </c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  <c r="L166" s="5" t="str">
        <f aca="false">IF(B166="","",IFERROR(INDEX(04_КП!$F$4:$F$203,MATCH(B166,04_КП!$A$4:$A$203,0)),""))</f>
        <v/>
      </c>
      <c r="M166" s="5" t="str">
        <f aca="false">IF(B166="","",IFERROR(INDEX(04_КП!$G$4:$G$203,MATCH(B166,04_КП!$A$4:$A$203,0)),""))</f>
        <v/>
      </c>
      <c r="N166" s="4"/>
      <c r="O166" s="5" t="str">
        <f aca="false">IF(A166="","",IF(AND(COUNTIF(A$4:A$203,A166)=1,COUNTIF(04_КП!$A$4:$A$203,B166)=1,IFERROR(INDEX(04_КП!$T$4:$T$203,MATCH(B166,04_КП!$A$4:$A$203,0)),"")="READY",COUNTIF(03_Пакеты!$A$4:$A$203,C166)=1,G166&lt;&gt;"",ISNUMBER(H166),H166&gt;=0,OR(AND(H166&gt;0,I166="KNOWN"),AND(H166=0,I166="ZERO_CONFIRMED")),N166&lt;&gt;""),"READY","INCOMPLETE / SOURCE"))</f>
        <v/>
      </c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  <c r="L167" s="5" t="str">
        <f aca="false">IF(B167="","",IFERROR(INDEX(04_КП!$F$4:$F$203,MATCH(B167,04_КП!$A$4:$A$203,0)),""))</f>
        <v/>
      </c>
      <c r="M167" s="5" t="str">
        <f aca="false">IF(B167="","",IFERROR(INDEX(04_КП!$G$4:$G$203,MATCH(B167,04_КП!$A$4:$A$203,0)),""))</f>
        <v/>
      </c>
      <c r="N167" s="4"/>
      <c r="O167" s="5" t="str">
        <f aca="false">IF(A167="","",IF(AND(COUNTIF(A$4:A$203,A167)=1,COUNTIF(04_КП!$A$4:$A$203,B167)=1,IFERROR(INDEX(04_КП!$T$4:$T$203,MATCH(B167,04_КП!$A$4:$A$203,0)),"")="READY",COUNTIF(03_Пакеты!$A$4:$A$203,C167)=1,G167&lt;&gt;"",ISNUMBER(H167),H167&gt;=0,OR(AND(H167&gt;0,I167="KNOWN"),AND(H167=0,I167="ZERO_CONFIRMED")),N167&lt;&gt;""),"READY","INCOMPLETE / SOURCE"))</f>
        <v/>
      </c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  <c r="L168" s="5" t="str">
        <f aca="false">IF(B168="","",IFERROR(INDEX(04_КП!$F$4:$F$203,MATCH(B168,04_КП!$A$4:$A$203,0)),""))</f>
        <v/>
      </c>
      <c r="M168" s="5" t="str">
        <f aca="false">IF(B168="","",IFERROR(INDEX(04_КП!$G$4:$G$203,MATCH(B168,04_КП!$A$4:$A$203,0)),""))</f>
        <v/>
      </c>
      <c r="N168" s="4"/>
      <c r="O168" s="5" t="str">
        <f aca="false">IF(A168="","",IF(AND(COUNTIF(A$4:A$203,A168)=1,COUNTIF(04_КП!$A$4:$A$203,B168)=1,IFERROR(INDEX(04_КП!$T$4:$T$203,MATCH(B168,04_КП!$A$4:$A$203,0)),"")="READY",COUNTIF(03_Пакеты!$A$4:$A$203,C168)=1,G168&lt;&gt;"",ISNUMBER(H168),H168&gt;=0,OR(AND(H168&gt;0,I168="KNOWN"),AND(H168=0,I168="ZERO_CONFIRMED")),N168&lt;&gt;""),"READY","INCOMPLETE / SOURCE"))</f>
        <v/>
      </c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  <c r="L169" s="5" t="str">
        <f aca="false">IF(B169="","",IFERROR(INDEX(04_КП!$F$4:$F$203,MATCH(B169,04_КП!$A$4:$A$203,0)),""))</f>
        <v/>
      </c>
      <c r="M169" s="5" t="str">
        <f aca="false">IF(B169="","",IFERROR(INDEX(04_КП!$G$4:$G$203,MATCH(B169,04_КП!$A$4:$A$203,0)),""))</f>
        <v/>
      </c>
      <c r="N169" s="4"/>
      <c r="O169" s="5" t="str">
        <f aca="false">IF(A169="","",IF(AND(COUNTIF(A$4:A$203,A169)=1,COUNTIF(04_КП!$A$4:$A$203,B169)=1,IFERROR(INDEX(04_КП!$T$4:$T$203,MATCH(B169,04_КП!$A$4:$A$203,0)),"")="READY",COUNTIF(03_Пакеты!$A$4:$A$203,C169)=1,G169&lt;&gt;"",ISNUMBER(H169),H169&gt;=0,OR(AND(H169&gt;0,I169="KNOWN"),AND(H169=0,I169="ZERO_CONFIRMED")),N169&lt;&gt;""),"READY","INCOMPLETE / SOURCE"))</f>
        <v/>
      </c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  <c r="L170" s="5" t="str">
        <f aca="false">IF(B170="","",IFERROR(INDEX(04_КП!$F$4:$F$203,MATCH(B170,04_КП!$A$4:$A$203,0)),""))</f>
        <v/>
      </c>
      <c r="M170" s="5" t="str">
        <f aca="false">IF(B170="","",IFERROR(INDEX(04_КП!$G$4:$G$203,MATCH(B170,04_КП!$A$4:$A$203,0)),""))</f>
        <v/>
      </c>
      <c r="N170" s="4"/>
      <c r="O170" s="5" t="str">
        <f aca="false">IF(A170="","",IF(AND(COUNTIF(A$4:A$203,A170)=1,COUNTIF(04_КП!$A$4:$A$203,B170)=1,IFERROR(INDEX(04_КП!$T$4:$T$203,MATCH(B170,04_КП!$A$4:$A$203,0)),"")="READY",COUNTIF(03_Пакеты!$A$4:$A$203,C170)=1,G170&lt;&gt;"",ISNUMBER(H170),H170&gt;=0,OR(AND(H170&gt;0,I170="KNOWN"),AND(H170=0,I170="ZERO_CONFIRMED")),N170&lt;&gt;""),"READY","INCOMPLETE / SOURCE"))</f>
        <v/>
      </c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  <c r="L171" s="5" t="str">
        <f aca="false">IF(B171="","",IFERROR(INDEX(04_КП!$F$4:$F$203,MATCH(B171,04_КП!$A$4:$A$203,0)),""))</f>
        <v/>
      </c>
      <c r="M171" s="5" t="str">
        <f aca="false">IF(B171="","",IFERROR(INDEX(04_КП!$G$4:$G$203,MATCH(B171,04_КП!$A$4:$A$203,0)),""))</f>
        <v/>
      </c>
      <c r="N171" s="4"/>
      <c r="O171" s="5" t="str">
        <f aca="false">IF(A171="","",IF(AND(COUNTIF(A$4:A$203,A171)=1,COUNTIF(04_КП!$A$4:$A$203,B171)=1,IFERROR(INDEX(04_КП!$T$4:$T$203,MATCH(B171,04_КП!$A$4:$A$203,0)),"")="READY",COUNTIF(03_Пакеты!$A$4:$A$203,C171)=1,G171&lt;&gt;"",ISNUMBER(H171),H171&gt;=0,OR(AND(H171&gt;0,I171="KNOWN"),AND(H171=0,I171="ZERO_CONFIRMED")),N171&lt;&gt;""),"READY","INCOMPLETE / SOURCE"))</f>
        <v/>
      </c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  <c r="L172" s="5" t="str">
        <f aca="false">IF(B172="","",IFERROR(INDEX(04_КП!$F$4:$F$203,MATCH(B172,04_КП!$A$4:$A$203,0)),""))</f>
        <v/>
      </c>
      <c r="M172" s="5" t="str">
        <f aca="false">IF(B172="","",IFERROR(INDEX(04_КП!$G$4:$G$203,MATCH(B172,04_КП!$A$4:$A$203,0)),""))</f>
        <v/>
      </c>
      <c r="N172" s="4"/>
      <c r="O172" s="5" t="str">
        <f aca="false">IF(A172="","",IF(AND(COUNTIF(A$4:A$203,A172)=1,COUNTIF(04_КП!$A$4:$A$203,B172)=1,IFERROR(INDEX(04_КП!$T$4:$T$203,MATCH(B172,04_КП!$A$4:$A$203,0)),"")="READY",COUNTIF(03_Пакеты!$A$4:$A$203,C172)=1,G172&lt;&gt;"",ISNUMBER(H172),H172&gt;=0,OR(AND(H172&gt;0,I172="KNOWN"),AND(H172=0,I172="ZERO_CONFIRMED")),N172&lt;&gt;""),"READY","INCOMPLETE / SOURCE"))</f>
        <v/>
      </c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  <c r="L173" s="5" t="str">
        <f aca="false">IF(B173="","",IFERROR(INDEX(04_КП!$F$4:$F$203,MATCH(B173,04_КП!$A$4:$A$203,0)),""))</f>
        <v/>
      </c>
      <c r="M173" s="5" t="str">
        <f aca="false">IF(B173="","",IFERROR(INDEX(04_КП!$G$4:$G$203,MATCH(B173,04_КП!$A$4:$A$203,0)),""))</f>
        <v/>
      </c>
      <c r="N173" s="4"/>
      <c r="O173" s="5" t="str">
        <f aca="false">IF(A173="","",IF(AND(COUNTIF(A$4:A$203,A173)=1,COUNTIF(04_КП!$A$4:$A$203,B173)=1,IFERROR(INDEX(04_КП!$T$4:$T$203,MATCH(B173,04_КП!$A$4:$A$203,0)),"")="READY",COUNTIF(03_Пакеты!$A$4:$A$203,C173)=1,G173&lt;&gt;"",ISNUMBER(H173),H173&gt;=0,OR(AND(H173&gt;0,I173="KNOWN"),AND(H173=0,I173="ZERO_CONFIRMED")),N173&lt;&gt;""),"READY","INCOMPLETE / SOURCE"))</f>
        <v/>
      </c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  <c r="L174" s="5" t="str">
        <f aca="false">IF(B174="","",IFERROR(INDEX(04_КП!$F$4:$F$203,MATCH(B174,04_КП!$A$4:$A$203,0)),""))</f>
        <v/>
      </c>
      <c r="M174" s="5" t="str">
        <f aca="false">IF(B174="","",IFERROR(INDEX(04_КП!$G$4:$G$203,MATCH(B174,04_КП!$A$4:$A$203,0)),""))</f>
        <v/>
      </c>
      <c r="N174" s="4"/>
      <c r="O174" s="5" t="str">
        <f aca="false">IF(A174="","",IF(AND(COUNTIF(A$4:A$203,A174)=1,COUNTIF(04_КП!$A$4:$A$203,B174)=1,IFERROR(INDEX(04_КП!$T$4:$T$203,MATCH(B174,04_КП!$A$4:$A$203,0)),"")="READY",COUNTIF(03_Пакеты!$A$4:$A$203,C174)=1,G174&lt;&gt;"",ISNUMBER(H174),H174&gt;=0,OR(AND(H174&gt;0,I174="KNOWN"),AND(H174=0,I174="ZERO_CONFIRMED")),N174&lt;&gt;""),"READY","INCOMPLETE / SOURCE"))</f>
        <v/>
      </c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5" t="str">
        <f aca="false">IF(B175="","",IFERROR(INDEX(04_КП!$F$4:$F$203,MATCH(B175,04_КП!$A$4:$A$203,0)),""))</f>
        <v/>
      </c>
      <c r="M175" s="5" t="str">
        <f aca="false">IF(B175="","",IFERROR(INDEX(04_КП!$G$4:$G$203,MATCH(B175,04_КП!$A$4:$A$203,0)),""))</f>
        <v/>
      </c>
      <c r="N175" s="4"/>
      <c r="O175" s="5" t="str">
        <f aca="false">IF(A175="","",IF(AND(COUNTIF(A$4:A$203,A175)=1,COUNTIF(04_КП!$A$4:$A$203,B175)=1,IFERROR(INDEX(04_КП!$T$4:$T$203,MATCH(B175,04_КП!$A$4:$A$203,0)),"")="READY",COUNTIF(03_Пакеты!$A$4:$A$203,C175)=1,G175&lt;&gt;"",ISNUMBER(H175),H175&gt;=0,OR(AND(H175&gt;0,I175="KNOWN"),AND(H175=0,I175="ZERO_CONFIRMED")),N175&lt;&gt;""),"READY","INCOMPLETE / SOURCE"))</f>
        <v/>
      </c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5" t="str">
        <f aca="false">IF(B176="","",IFERROR(INDEX(04_КП!$F$4:$F$203,MATCH(B176,04_КП!$A$4:$A$203,0)),""))</f>
        <v/>
      </c>
      <c r="M176" s="5" t="str">
        <f aca="false">IF(B176="","",IFERROR(INDEX(04_КП!$G$4:$G$203,MATCH(B176,04_КП!$A$4:$A$203,0)),""))</f>
        <v/>
      </c>
      <c r="N176" s="4"/>
      <c r="O176" s="5" t="str">
        <f aca="false">IF(A176="","",IF(AND(COUNTIF(A$4:A$203,A176)=1,COUNTIF(04_КП!$A$4:$A$203,B176)=1,IFERROR(INDEX(04_КП!$T$4:$T$203,MATCH(B176,04_КП!$A$4:$A$203,0)),"")="READY",COUNTIF(03_Пакеты!$A$4:$A$203,C176)=1,G176&lt;&gt;"",ISNUMBER(H176),H176&gt;=0,OR(AND(H176&gt;0,I176="KNOWN"),AND(H176=0,I176="ZERO_CONFIRMED")),N176&lt;&gt;""),"READY","INCOMPLETE / SOURCE"))</f>
        <v/>
      </c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5" t="str">
        <f aca="false">IF(B177="","",IFERROR(INDEX(04_КП!$F$4:$F$203,MATCH(B177,04_КП!$A$4:$A$203,0)),""))</f>
        <v/>
      </c>
      <c r="M177" s="5" t="str">
        <f aca="false">IF(B177="","",IFERROR(INDEX(04_КП!$G$4:$G$203,MATCH(B177,04_КП!$A$4:$A$203,0)),""))</f>
        <v/>
      </c>
      <c r="N177" s="4"/>
      <c r="O177" s="5" t="str">
        <f aca="false">IF(A177="","",IF(AND(COUNTIF(A$4:A$203,A177)=1,COUNTIF(04_КП!$A$4:$A$203,B177)=1,IFERROR(INDEX(04_КП!$T$4:$T$203,MATCH(B177,04_КП!$A$4:$A$203,0)),"")="READY",COUNTIF(03_Пакеты!$A$4:$A$203,C177)=1,G177&lt;&gt;"",ISNUMBER(H177),H177&gt;=0,OR(AND(H177&gt;0,I177="KNOWN"),AND(H177=0,I177="ZERO_CONFIRMED")),N177&lt;&gt;""),"READY","INCOMPLETE / SOURCE"))</f>
        <v/>
      </c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  <c r="L178" s="5" t="str">
        <f aca="false">IF(B178="","",IFERROR(INDEX(04_КП!$F$4:$F$203,MATCH(B178,04_КП!$A$4:$A$203,0)),""))</f>
        <v/>
      </c>
      <c r="M178" s="5" t="str">
        <f aca="false">IF(B178="","",IFERROR(INDEX(04_КП!$G$4:$G$203,MATCH(B178,04_КП!$A$4:$A$203,0)),""))</f>
        <v/>
      </c>
      <c r="N178" s="4"/>
      <c r="O178" s="5" t="str">
        <f aca="false">IF(A178="","",IF(AND(COUNTIF(A$4:A$203,A178)=1,COUNTIF(04_КП!$A$4:$A$203,B178)=1,IFERROR(INDEX(04_КП!$T$4:$T$203,MATCH(B178,04_КП!$A$4:$A$203,0)),"")="READY",COUNTIF(03_Пакеты!$A$4:$A$203,C178)=1,G178&lt;&gt;"",ISNUMBER(H178),H178&gt;=0,OR(AND(H178&gt;0,I178="KNOWN"),AND(H178=0,I178="ZERO_CONFIRMED")),N178&lt;&gt;""),"READY","INCOMPLETE / SOURCE"))</f>
        <v/>
      </c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  <c r="L179" s="5" t="str">
        <f aca="false">IF(B179="","",IFERROR(INDEX(04_КП!$F$4:$F$203,MATCH(B179,04_КП!$A$4:$A$203,0)),""))</f>
        <v/>
      </c>
      <c r="M179" s="5" t="str">
        <f aca="false">IF(B179="","",IFERROR(INDEX(04_КП!$G$4:$G$203,MATCH(B179,04_КП!$A$4:$A$203,0)),""))</f>
        <v/>
      </c>
      <c r="N179" s="4"/>
      <c r="O179" s="5" t="str">
        <f aca="false">IF(A179="","",IF(AND(COUNTIF(A$4:A$203,A179)=1,COUNTIF(04_КП!$A$4:$A$203,B179)=1,IFERROR(INDEX(04_КП!$T$4:$T$203,MATCH(B179,04_КП!$A$4:$A$203,0)),"")="READY",COUNTIF(03_Пакеты!$A$4:$A$203,C179)=1,G179&lt;&gt;"",ISNUMBER(H179),H179&gt;=0,OR(AND(H179&gt;0,I179="KNOWN"),AND(H179=0,I179="ZERO_CONFIRMED")),N179&lt;&gt;""),"READY","INCOMPLETE / SOURCE"))</f>
        <v/>
      </c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  <c r="L180" s="5" t="str">
        <f aca="false">IF(B180="","",IFERROR(INDEX(04_КП!$F$4:$F$203,MATCH(B180,04_КП!$A$4:$A$203,0)),""))</f>
        <v/>
      </c>
      <c r="M180" s="5" t="str">
        <f aca="false">IF(B180="","",IFERROR(INDEX(04_КП!$G$4:$G$203,MATCH(B180,04_КП!$A$4:$A$203,0)),""))</f>
        <v/>
      </c>
      <c r="N180" s="4"/>
      <c r="O180" s="5" t="str">
        <f aca="false">IF(A180="","",IF(AND(COUNTIF(A$4:A$203,A180)=1,COUNTIF(04_КП!$A$4:$A$203,B180)=1,IFERROR(INDEX(04_КП!$T$4:$T$203,MATCH(B180,04_КП!$A$4:$A$203,0)),"")="READY",COUNTIF(03_Пакеты!$A$4:$A$203,C180)=1,G180&lt;&gt;"",ISNUMBER(H180),H180&gt;=0,OR(AND(H180&gt;0,I180="KNOWN"),AND(H180=0,I180="ZERO_CONFIRMED")),N180&lt;&gt;""),"READY","INCOMPLETE / SOURCE"))</f>
        <v/>
      </c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  <c r="L181" s="5" t="str">
        <f aca="false">IF(B181="","",IFERROR(INDEX(04_КП!$F$4:$F$203,MATCH(B181,04_КП!$A$4:$A$203,0)),""))</f>
        <v/>
      </c>
      <c r="M181" s="5" t="str">
        <f aca="false">IF(B181="","",IFERROR(INDEX(04_КП!$G$4:$G$203,MATCH(B181,04_КП!$A$4:$A$203,0)),""))</f>
        <v/>
      </c>
      <c r="N181" s="4"/>
      <c r="O181" s="5" t="str">
        <f aca="false">IF(A181="","",IF(AND(COUNTIF(A$4:A$203,A181)=1,COUNTIF(04_КП!$A$4:$A$203,B181)=1,IFERROR(INDEX(04_КП!$T$4:$T$203,MATCH(B181,04_КП!$A$4:$A$203,0)),"")="READY",COUNTIF(03_Пакеты!$A$4:$A$203,C181)=1,G181&lt;&gt;"",ISNUMBER(H181),H181&gt;=0,OR(AND(H181&gt;0,I181="KNOWN"),AND(H181=0,I181="ZERO_CONFIRMED")),N181&lt;&gt;""),"READY","INCOMPLETE / SOURCE"))</f>
        <v/>
      </c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  <c r="L182" s="5" t="str">
        <f aca="false">IF(B182="","",IFERROR(INDEX(04_КП!$F$4:$F$203,MATCH(B182,04_КП!$A$4:$A$203,0)),""))</f>
        <v/>
      </c>
      <c r="M182" s="5" t="str">
        <f aca="false">IF(B182="","",IFERROR(INDEX(04_КП!$G$4:$G$203,MATCH(B182,04_КП!$A$4:$A$203,0)),""))</f>
        <v/>
      </c>
      <c r="N182" s="4"/>
      <c r="O182" s="5" t="str">
        <f aca="false">IF(A182="","",IF(AND(COUNTIF(A$4:A$203,A182)=1,COUNTIF(04_КП!$A$4:$A$203,B182)=1,IFERROR(INDEX(04_КП!$T$4:$T$203,MATCH(B182,04_КП!$A$4:$A$203,0)),"")="READY",COUNTIF(03_Пакеты!$A$4:$A$203,C182)=1,G182&lt;&gt;"",ISNUMBER(H182),H182&gt;=0,OR(AND(H182&gt;0,I182="KNOWN"),AND(H182=0,I182="ZERO_CONFIRMED")),N182&lt;&gt;""),"READY","INCOMPLETE / SOURCE"))</f>
        <v/>
      </c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5" t="str">
        <f aca="false">IF(B183="","",IFERROR(INDEX(04_КП!$F$4:$F$203,MATCH(B183,04_КП!$A$4:$A$203,0)),""))</f>
        <v/>
      </c>
      <c r="M183" s="5" t="str">
        <f aca="false">IF(B183="","",IFERROR(INDEX(04_КП!$G$4:$G$203,MATCH(B183,04_КП!$A$4:$A$203,0)),""))</f>
        <v/>
      </c>
      <c r="N183" s="4"/>
      <c r="O183" s="5" t="str">
        <f aca="false">IF(A183="","",IF(AND(COUNTIF(A$4:A$203,A183)=1,COUNTIF(04_КП!$A$4:$A$203,B183)=1,IFERROR(INDEX(04_КП!$T$4:$T$203,MATCH(B183,04_КП!$A$4:$A$203,0)),"")="READY",COUNTIF(03_Пакеты!$A$4:$A$203,C183)=1,G183&lt;&gt;"",ISNUMBER(H183),H183&gt;=0,OR(AND(H183&gt;0,I183="KNOWN"),AND(H183=0,I183="ZERO_CONFIRMED")),N183&lt;&gt;""),"READY","INCOMPLETE / SOURCE"))</f>
        <v/>
      </c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5" t="str">
        <f aca="false">IF(B184="","",IFERROR(INDEX(04_КП!$F$4:$F$203,MATCH(B184,04_КП!$A$4:$A$203,0)),""))</f>
        <v/>
      </c>
      <c r="M184" s="5" t="str">
        <f aca="false">IF(B184="","",IFERROR(INDEX(04_КП!$G$4:$G$203,MATCH(B184,04_КП!$A$4:$A$203,0)),""))</f>
        <v/>
      </c>
      <c r="N184" s="4"/>
      <c r="O184" s="5" t="str">
        <f aca="false">IF(A184="","",IF(AND(COUNTIF(A$4:A$203,A184)=1,COUNTIF(04_КП!$A$4:$A$203,B184)=1,IFERROR(INDEX(04_КП!$T$4:$T$203,MATCH(B184,04_КП!$A$4:$A$203,0)),"")="READY",COUNTIF(03_Пакеты!$A$4:$A$203,C184)=1,G184&lt;&gt;"",ISNUMBER(H184),H184&gt;=0,OR(AND(H184&gt;0,I184="KNOWN"),AND(H184=0,I184="ZERO_CONFIRMED")),N184&lt;&gt;""),"READY","INCOMPLETE / SOURCE"))</f>
        <v/>
      </c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5" t="str">
        <f aca="false">IF(B185="","",IFERROR(INDEX(04_КП!$F$4:$F$203,MATCH(B185,04_КП!$A$4:$A$203,0)),""))</f>
        <v/>
      </c>
      <c r="M185" s="5" t="str">
        <f aca="false">IF(B185="","",IFERROR(INDEX(04_КП!$G$4:$G$203,MATCH(B185,04_КП!$A$4:$A$203,0)),""))</f>
        <v/>
      </c>
      <c r="N185" s="4"/>
      <c r="O185" s="5" t="str">
        <f aca="false">IF(A185="","",IF(AND(COUNTIF(A$4:A$203,A185)=1,COUNTIF(04_КП!$A$4:$A$203,B185)=1,IFERROR(INDEX(04_КП!$T$4:$T$203,MATCH(B185,04_КП!$A$4:$A$203,0)),"")="READY",COUNTIF(03_Пакеты!$A$4:$A$203,C185)=1,G185&lt;&gt;"",ISNUMBER(H185),H185&gt;=0,OR(AND(H185&gt;0,I185="KNOWN"),AND(H185=0,I185="ZERO_CONFIRMED")),N185&lt;&gt;""),"READY","INCOMPLETE / SOURCE"))</f>
        <v/>
      </c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  <c r="L186" s="5" t="str">
        <f aca="false">IF(B186="","",IFERROR(INDEX(04_КП!$F$4:$F$203,MATCH(B186,04_КП!$A$4:$A$203,0)),""))</f>
        <v/>
      </c>
      <c r="M186" s="5" t="str">
        <f aca="false">IF(B186="","",IFERROR(INDEX(04_КП!$G$4:$G$203,MATCH(B186,04_КП!$A$4:$A$203,0)),""))</f>
        <v/>
      </c>
      <c r="N186" s="4"/>
      <c r="O186" s="5" t="str">
        <f aca="false">IF(A186="","",IF(AND(COUNTIF(A$4:A$203,A186)=1,COUNTIF(04_КП!$A$4:$A$203,B186)=1,IFERROR(INDEX(04_КП!$T$4:$T$203,MATCH(B186,04_КП!$A$4:$A$203,0)),"")="READY",COUNTIF(03_Пакеты!$A$4:$A$203,C186)=1,G186&lt;&gt;"",ISNUMBER(H186),H186&gt;=0,OR(AND(H186&gt;0,I186="KNOWN"),AND(H186=0,I186="ZERO_CONFIRMED")),N186&lt;&gt;""),"READY","INCOMPLETE / SOURCE"))</f>
        <v/>
      </c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  <c r="L187" s="5" t="str">
        <f aca="false">IF(B187="","",IFERROR(INDEX(04_КП!$F$4:$F$203,MATCH(B187,04_КП!$A$4:$A$203,0)),""))</f>
        <v/>
      </c>
      <c r="M187" s="5" t="str">
        <f aca="false">IF(B187="","",IFERROR(INDEX(04_КП!$G$4:$G$203,MATCH(B187,04_КП!$A$4:$A$203,0)),""))</f>
        <v/>
      </c>
      <c r="N187" s="4"/>
      <c r="O187" s="5" t="str">
        <f aca="false">IF(A187="","",IF(AND(COUNTIF(A$4:A$203,A187)=1,COUNTIF(04_КП!$A$4:$A$203,B187)=1,IFERROR(INDEX(04_КП!$T$4:$T$203,MATCH(B187,04_КП!$A$4:$A$203,0)),"")="READY",COUNTIF(03_Пакеты!$A$4:$A$203,C187)=1,G187&lt;&gt;"",ISNUMBER(H187),H187&gt;=0,OR(AND(H187&gt;0,I187="KNOWN"),AND(H187=0,I187="ZERO_CONFIRMED")),N187&lt;&gt;""),"READY","INCOMPLETE / SOURCE"))</f>
        <v/>
      </c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  <c r="L188" s="5" t="str">
        <f aca="false">IF(B188="","",IFERROR(INDEX(04_КП!$F$4:$F$203,MATCH(B188,04_КП!$A$4:$A$203,0)),""))</f>
        <v/>
      </c>
      <c r="M188" s="5" t="str">
        <f aca="false">IF(B188="","",IFERROR(INDEX(04_КП!$G$4:$G$203,MATCH(B188,04_КП!$A$4:$A$203,0)),""))</f>
        <v/>
      </c>
      <c r="N188" s="4"/>
      <c r="O188" s="5" t="str">
        <f aca="false">IF(A188="","",IF(AND(COUNTIF(A$4:A$203,A188)=1,COUNTIF(04_КП!$A$4:$A$203,B188)=1,IFERROR(INDEX(04_КП!$T$4:$T$203,MATCH(B188,04_КП!$A$4:$A$203,0)),"")="READY",COUNTIF(03_Пакеты!$A$4:$A$203,C188)=1,G188&lt;&gt;"",ISNUMBER(H188),H188&gt;=0,OR(AND(H188&gt;0,I188="KNOWN"),AND(H188=0,I188="ZERO_CONFIRMED")),N188&lt;&gt;""),"READY","INCOMPLETE / SOURCE"))</f>
        <v/>
      </c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  <c r="L189" s="5" t="str">
        <f aca="false">IF(B189="","",IFERROR(INDEX(04_КП!$F$4:$F$203,MATCH(B189,04_КП!$A$4:$A$203,0)),""))</f>
        <v/>
      </c>
      <c r="M189" s="5" t="str">
        <f aca="false">IF(B189="","",IFERROR(INDEX(04_КП!$G$4:$G$203,MATCH(B189,04_КП!$A$4:$A$203,0)),""))</f>
        <v/>
      </c>
      <c r="N189" s="4"/>
      <c r="O189" s="5" t="str">
        <f aca="false">IF(A189="","",IF(AND(COUNTIF(A$4:A$203,A189)=1,COUNTIF(04_КП!$A$4:$A$203,B189)=1,IFERROR(INDEX(04_КП!$T$4:$T$203,MATCH(B189,04_КП!$A$4:$A$203,0)),"")="READY",COUNTIF(03_Пакеты!$A$4:$A$203,C189)=1,G189&lt;&gt;"",ISNUMBER(H189),H189&gt;=0,OR(AND(H189&gt;0,I189="KNOWN"),AND(H189=0,I189="ZERO_CONFIRMED")),N189&lt;&gt;""),"READY","INCOMPLETE / SOURCE"))</f>
        <v/>
      </c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  <c r="L190" s="5" t="str">
        <f aca="false">IF(B190="","",IFERROR(INDEX(04_КП!$F$4:$F$203,MATCH(B190,04_КП!$A$4:$A$203,0)),""))</f>
        <v/>
      </c>
      <c r="M190" s="5" t="str">
        <f aca="false">IF(B190="","",IFERROR(INDEX(04_КП!$G$4:$G$203,MATCH(B190,04_КП!$A$4:$A$203,0)),""))</f>
        <v/>
      </c>
      <c r="N190" s="4"/>
      <c r="O190" s="5" t="str">
        <f aca="false">IF(A190="","",IF(AND(COUNTIF(A$4:A$203,A190)=1,COUNTIF(04_КП!$A$4:$A$203,B190)=1,IFERROR(INDEX(04_КП!$T$4:$T$203,MATCH(B190,04_КП!$A$4:$A$203,0)),"")="READY",COUNTIF(03_Пакеты!$A$4:$A$203,C190)=1,G190&lt;&gt;"",ISNUMBER(H190),H190&gt;=0,OR(AND(H190&gt;0,I190="KNOWN"),AND(H190=0,I190="ZERO_CONFIRMED")),N190&lt;&gt;""),"READY","INCOMPLETE / SOURCE"))</f>
        <v/>
      </c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5" t="str">
        <f aca="false">IF(B191="","",IFERROR(INDEX(04_КП!$F$4:$F$203,MATCH(B191,04_КП!$A$4:$A$203,0)),""))</f>
        <v/>
      </c>
      <c r="M191" s="5" t="str">
        <f aca="false">IF(B191="","",IFERROR(INDEX(04_КП!$G$4:$G$203,MATCH(B191,04_КП!$A$4:$A$203,0)),""))</f>
        <v/>
      </c>
      <c r="N191" s="4"/>
      <c r="O191" s="5" t="str">
        <f aca="false">IF(A191="","",IF(AND(COUNTIF(A$4:A$203,A191)=1,COUNTIF(04_КП!$A$4:$A$203,B191)=1,IFERROR(INDEX(04_КП!$T$4:$T$203,MATCH(B191,04_КП!$A$4:$A$203,0)),"")="READY",COUNTIF(03_Пакеты!$A$4:$A$203,C191)=1,G191&lt;&gt;"",ISNUMBER(H191),H191&gt;=0,OR(AND(H191&gt;0,I191="KNOWN"),AND(H191=0,I191="ZERO_CONFIRMED")),N191&lt;&gt;""),"READY","INCOMPLETE / SOURCE"))</f>
        <v/>
      </c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5" t="str">
        <f aca="false">IF(B192="","",IFERROR(INDEX(04_КП!$F$4:$F$203,MATCH(B192,04_КП!$A$4:$A$203,0)),""))</f>
        <v/>
      </c>
      <c r="M192" s="5" t="str">
        <f aca="false">IF(B192="","",IFERROR(INDEX(04_КП!$G$4:$G$203,MATCH(B192,04_КП!$A$4:$A$203,0)),""))</f>
        <v/>
      </c>
      <c r="N192" s="4"/>
      <c r="O192" s="5" t="str">
        <f aca="false">IF(A192="","",IF(AND(COUNTIF(A$4:A$203,A192)=1,COUNTIF(04_КП!$A$4:$A$203,B192)=1,IFERROR(INDEX(04_КП!$T$4:$T$203,MATCH(B192,04_КП!$A$4:$A$203,0)),"")="READY",COUNTIF(03_Пакеты!$A$4:$A$203,C192)=1,G192&lt;&gt;"",ISNUMBER(H192),H192&gt;=0,OR(AND(H192&gt;0,I192="KNOWN"),AND(H192=0,I192="ZERO_CONFIRMED")),N192&lt;&gt;""),"READY","INCOMPLETE / SOURCE"))</f>
        <v/>
      </c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5" t="str">
        <f aca="false">IF(B193="","",IFERROR(INDEX(04_КП!$F$4:$F$203,MATCH(B193,04_КП!$A$4:$A$203,0)),""))</f>
        <v/>
      </c>
      <c r="M193" s="5" t="str">
        <f aca="false">IF(B193="","",IFERROR(INDEX(04_КП!$G$4:$G$203,MATCH(B193,04_КП!$A$4:$A$203,0)),""))</f>
        <v/>
      </c>
      <c r="N193" s="4"/>
      <c r="O193" s="5" t="str">
        <f aca="false">IF(A193="","",IF(AND(COUNTIF(A$4:A$203,A193)=1,COUNTIF(04_КП!$A$4:$A$203,B193)=1,IFERROR(INDEX(04_КП!$T$4:$T$203,MATCH(B193,04_КП!$A$4:$A$203,0)),"")="READY",COUNTIF(03_Пакеты!$A$4:$A$203,C193)=1,G193&lt;&gt;"",ISNUMBER(H193),H193&gt;=0,OR(AND(H193&gt;0,I193="KNOWN"),AND(H193=0,I193="ZERO_CONFIRMED")),N193&lt;&gt;""),"READY","INCOMPLETE / SOURCE"))</f>
        <v/>
      </c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  <c r="L194" s="5" t="str">
        <f aca="false">IF(B194="","",IFERROR(INDEX(04_КП!$F$4:$F$203,MATCH(B194,04_КП!$A$4:$A$203,0)),""))</f>
        <v/>
      </c>
      <c r="M194" s="5" t="str">
        <f aca="false">IF(B194="","",IFERROR(INDEX(04_КП!$G$4:$G$203,MATCH(B194,04_КП!$A$4:$A$203,0)),""))</f>
        <v/>
      </c>
      <c r="N194" s="4"/>
      <c r="O194" s="5" t="str">
        <f aca="false">IF(A194="","",IF(AND(COUNTIF(A$4:A$203,A194)=1,COUNTIF(04_КП!$A$4:$A$203,B194)=1,IFERROR(INDEX(04_КП!$T$4:$T$203,MATCH(B194,04_КП!$A$4:$A$203,0)),"")="READY",COUNTIF(03_Пакеты!$A$4:$A$203,C194)=1,G194&lt;&gt;"",ISNUMBER(H194),H194&gt;=0,OR(AND(H194&gt;0,I194="KNOWN"),AND(H194=0,I194="ZERO_CONFIRMED")),N194&lt;&gt;""),"READY","INCOMPLETE / SOURCE"))</f>
        <v/>
      </c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  <c r="L195" s="5" t="str">
        <f aca="false">IF(B195="","",IFERROR(INDEX(04_КП!$F$4:$F$203,MATCH(B195,04_КП!$A$4:$A$203,0)),""))</f>
        <v/>
      </c>
      <c r="M195" s="5" t="str">
        <f aca="false">IF(B195="","",IFERROR(INDEX(04_КП!$G$4:$G$203,MATCH(B195,04_КП!$A$4:$A$203,0)),""))</f>
        <v/>
      </c>
      <c r="N195" s="4"/>
      <c r="O195" s="5" t="str">
        <f aca="false">IF(A195="","",IF(AND(COUNTIF(A$4:A$203,A195)=1,COUNTIF(04_КП!$A$4:$A$203,B195)=1,IFERROR(INDEX(04_КП!$T$4:$T$203,MATCH(B195,04_КП!$A$4:$A$203,0)),"")="READY",COUNTIF(03_Пакеты!$A$4:$A$203,C195)=1,G195&lt;&gt;"",ISNUMBER(H195),H195&gt;=0,OR(AND(H195&gt;0,I195="KNOWN"),AND(H195=0,I195="ZERO_CONFIRMED")),N195&lt;&gt;""),"READY","INCOMPLETE / SOURCE"))</f>
        <v/>
      </c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  <c r="L196" s="5" t="str">
        <f aca="false">IF(B196="","",IFERROR(INDEX(04_КП!$F$4:$F$203,MATCH(B196,04_КП!$A$4:$A$203,0)),""))</f>
        <v/>
      </c>
      <c r="M196" s="5" t="str">
        <f aca="false">IF(B196="","",IFERROR(INDEX(04_КП!$G$4:$G$203,MATCH(B196,04_КП!$A$4:$A$203,0)),""))</f>
        <v/>
      </c>
      <c r="N196" s="4"/>
      <c r="O196" s="5" t="str">
        <f aca="false">IF(A196="","",IF(AND(COUNTIF(A$4:A$203,A196)=1,COUNTIF(04_КП!$A$4:$A$203,B196)=1,IFERROR(INDEX(04_КП!$T$4:$T$203,MATCH(B196,04_КП!$A$4:$A$203,0)),"")="READY",COUNTIF(03_Пакеты!$A$4:$A$203,C196)=1,G196&lt;&gt;"",ISNUMBER(H196),H196&gt;=0,OR(AND(H196&gt;0,I196="KNOWN"),AND(H196=0,I196="ZERO_CONFIRMED")),N196&lt;&gt;""),"READY","INCOMPLETE / SOURCE"))</f>
        <v/>
      </c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  <c r="L197" s="5" t="str">
        <f aca="false">IF(B197="","",IFERROR(INDEX(04_КП!$F$4:$F$203,MATCH(B197,04_КП!$A$4:$A$203,0)),""))</f>
        <v/>
      </c>
      <c r="M197" s="5" t="str">
        <f aca="false">IF(B197="","",IFERROR(INDEX(04_КП!$G$4:$G$203,MATCH(B197,04_КП!$A$4:$A$203,0)),""))</f>
        <v/>
      </c>
      <c r="N197" s="4"/>
      <c r="O197" s="5" t="str">
        <f aca="false">IF(A197="","",IF(AND(COUNTIF(A$4:A$203,A197)=1,COUNTIF(04_КП!$A$4:$A$203,B197)=1,IFERROR(INDEX(04_КП!$T$4:$T$203,MATCH(B197,04_КП!$A$4:$A$203,0)),"")="READY",COUNTIF(03_Пакеты!$A$4:$A$203,C197)=1,G197&lt;&gt;"",ISNUMBER(H197),H197&gt;=0,OR(AND(H197&gt;0,I197="KNOWN"),AND(H197=0,I197="ZERO_CONFIRMED")),N197&lt;&gt;""),"READY","INCOMPLETE / SOURCE"))</f>
        <v/>
      </c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  <c r="L198" s="5" t="str">
        <f aca="false">IF(B198="","",IFERROR(INDEX(04_КП!$F$4:$F$203,MATCH(B198,04_КП!$A$4:$A$203,0)),""))</f>
        <v/>
      </c>
      <c r="M198" s="5" t="str">
        <f aca="false">IF(B198="","",IFERROR(INDEX(04_КП!$G$4:$G$203,MATCH(B198,04_КП!$A$4:$A$203,0)),""))</f>
        <v/>
      </c>
      <c r="N198" s="4"/>
      <c r="O198" s="5" t="str">
        <f aca="false">IF(A198="","",IF(AND(COUNTIF(A$4:A$203,A198)=1,COUNTIF(04_КП!$A$4:$A$203,B198)=1,IFERROR(INDEX(04_КП!$T$4:$T$203,MATCH(B198,04_КП!$A$4:$A$203,0)),"")="READY",COUNTIF(03_Пакеты!$A$4:$A$203,C198)=1,G198&lt;&gt;"",ISNUMBER(H198),H198&gt;=0,OR(AND(H198&gt;0,I198="KNOWN"),AND(H198=0,I198="ZERO_CONFIRMED")),N198&lt;&gt;""),"READY","INCOMPLETE / SOURCE"))</f>
        <v/>
      </c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5" t="str">
        <f aca="false">IF(B199="","",IFERROR(INDEX(04_КП!$F$4:$F$203,MATCH(B199,04_КП!$A$4:$A$203,0)),""))</f>
        <v/>
      </c>
      <c r="M199" s="5" t="str">
        <f aca="false">IF(B199="","",IFERROR(INDEX(04_КП!$G$4:$G$203,MATCH(B199,04_КП!$A$4:$A$203,0)),""))</f>
        <v/>
      </c>
      <c r="N199" s="4"/>
      <c r="O199" s="5" t="str">
        <f aca="false">IF(A199="","",IF(AND(COUNTIF(A$4:A$203,A199)=1,COUNTIF(04_КП!$A$4:$A$203,B199)=1,IFERROR(INDEX(04_КП!$T$4:$T$203,MATCH(B199,04_КП!$A$4:$A$203,0)),"")="READY",COUNTIF(03_Пакеты!$A$4:$A$203,C199)=1,G199&lt;&gt;"",ISNUMBER(H199),H199&gt;=0,OR(AND(H199&gt;0,I199="KNOWN"),AND(H199=0,I199="ZERO_CONFIRMED")),N199&lt;&gt;""),"READY","INCOMPLETE / SOURCE"))</f>
        <v/>
      </c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5" t="str">
        <f aca="false">IF(B200="","",IFERROR(INDEX(04_КП!$F$4:$F$203,MATCH(B200,04_КП!$A$4:$A$203,0)),""))</f>
        <v/>
      </c>
      <c r="M200" s="5" t="str">
        <f aca="false">IF(B200="","",IFERROR(INDEX(04_КП!$G$4:$G$203,MATCH(B200,04_КП!$A$4:$A$203,0)),""))</f>
        <v/>
      </c>
      <c r="N200" s="4"/>
      <c r="O200" s="5" t="str">
        <f aca="false">IF(A200="","",IF(AND(COUNTIF(A$4:A$203,A200)=1,COUNTIF(04_КП!$A$4:$A$203,B200)=1,IFERROR(INDEX(04_КП!$T$4:$T$203,MATCH(B200,04_КП!$A$4:$A$203,0)),"")="READY",COUNTIF(03_Пакеты!$A$4:$A$203,C200)=1,G200&lt;&gt;"",ISNUMBER(H200),H200&gt;=0,OR(AND(H200&gt;0,I200="KNOWN"),AND(H200=0,I200="ZERO_CONFIRMED")),N200&lt;&gt;""),"READY","INCOMPLETE / SOURCE"))</f>
        <v/>
      </c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5" t="str">
        <f aca="false">IF(B201="","",IFERROR(INDEX(04_КП!$F$4:$F$203,MATCH(B201,04_КП!$A$4:$A$203,0)),""))</f>
        <v/>
      </c>
      <c r="M201" s="5" t="str">
        <f aca="false">IF(B201="","",IFERROR(INDEX(04_КП!$G$4:$G$203,MATCH(B201,04_КП!$A$4:$A$203,0)),""))</f>
        <v/>
      </c>
      <c r="N201" s="4"/>
      <c r="O201" s="5" t="str">
        <f aca="false">IF(A201="","",IF(AND(COUNTIF(A$4:A$203,A201)=1,COUNTIF(04_КП!$A$4:$A$203,B201)=1,IFERROR(INDEX(04_КП!$T$4:$T$203,MATCH(B201,04_КП!$A$4:$A$203,0)),"")="READY",COUNTIF(03_Пакеты!$A$4:$A$203,C201)=1,G201&lt;&gt;"",ISNUMBER(H201),H201&gt;=0,OR(AND(H201&gt;0,I201="KNOWN"),AND(H201=0,I201="ZERO_CONFIRMED")),N201&lt;&gt;""),"READY","INCOMPLETE / SOURCE"))</f>
        <v/>
      </c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  <c r="L202" s="5" t="str">
        <f aca="false">IF(B202="","",IFERROR(INDEX(04_КП!$F$4:$F$203,MATCH(B202,04_КП!$A$4:$A$203,0)),""))</f>
        <v/>
      </c>
      <c r="M202" s="5" t="str">
        <f aca="false">IF(B202="","",IFERROR(INDEX(04_КП!$G$4:$G$203,MATCH(B202,04_КП!$A$4:$A$203,0)),""))</f>
        <v/>
      </c>
      <c r="N202" s="4"/>
      <c r="O202" s="5" t="str">
        <f aca="false">IF(A202="","",IF(AND(COUNTIF(A$4:A$203,A202)=1,COUNTIF(04_КП!$A$4:$A$203,B202)=1,IFERROR(INDEX(04_КП!$T$4:$T$203,MATCH(B202,04_КП!$A$4:$A$203,0)),"")="READY",COUNTIF(03_Пакеты!$A$4:$A$203,C202)=1,G202&lt;&gt;"",ISNUMBER(H202),H202&gt;=0,OR(AND(H202&gt;0,I202="KNOWN"),AND(H202=0,I202="ZERO_CONFIRMED")),N202&lt;&gt;""),"READY","INCOMPLETE / SOURCE"))</f>
        <v/>
      </c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  <c r="L203" s="5" t="str">
        <f aca="false">IF(B203="","",IFERROR(INDEX(04_КП!$F$4:$F$203,MATCH(B203,04_КП!$A$4:$A$203,0)),""))</f>
        <v/>
      </c>
      <c r="M203" s="5" t="str">
        <f aca="false">IF(B203="","",IFERROR(INDEX(04_КП!$G$4:$G$203,MATCH(B203,04_КП!$A$4:$A$203,0)),""))</f>
        <v/>
      </c>
      <c r="N203" s="4"/>
      <c r="O203" s="5" t="str">
        <f aca="false">IF(A203="","",IF(AND(COUNTIF(A$4:A$203,A203)=1,COUNTIF(04_КП!$A$4:$A$203,B203)=1,IFERROR(INDEX(04_КП!$T$4:$T$203,MATCH(B203,04_КП!$A$4:$A$203,0)),"")="READY",COUNTIF(03_Пакеты!$A$4:$A$203,C203)=1,G203&lt;&gt;"",ISNUMBER(H203),H203&gt;=0,OR(AND(H203&gt;0,I203="KNOWN"),AND(H203=0,I203="ZERO_CONFIRMED")),N203&lt;&gt;""),"READY","INCOMPLETE / SOURCE"))</f>
        <v/>
      </c>
    </row>
  </sheetData>
  <autoFilter ref="A3:O203"/>
  <mergeCells count="2">
    <mergeCell ref="A1:O1"/>
    <mergeCell ref="A2:O2"/>
  </mergeCells>
  <dataValidations count="2">
    <dataValidation allowBlank="true" error="Требуется допустимое число." errorStyle="stop" operator="greaterThanOrEqual" showDropDown="false" showErrorMessage="true" showInputMessage="false" sqref="F4:F203 H4:H203" type="decimal">
      <formula1>0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I4:I203" type="list">
      <formula1>"UNKNOWN,KNOWN,ZERO_CONFIRMED,NOT_APPLICABLE"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23" min="4" style="0" width="28"/>
  </cols>
  <sheetData>
    <row r="1" customFormat="false" ht="33.75" hidden="false" customHeight="true" outlineLevel="0" collapsed="false">
      <c r="A1" s="1" t="s">
        <v>527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48" hidden="false" customHeight="true" outlineLevel="0" collapsed="false">
      <c r="A3" s="3" t="s">
        <v>528</v>
      </c>
      <c r="B3" s="3" t="s">
        <v>529</v>
      </c>
      <c r="C3" s="3" t="s">
        <v>516</v>
      </c>
      <c r="D3" s="3" t="s">
        <v>481</v>
      </c>
      <c r="E3" s="3" t="s">
        <v>530</v>
      </c>
      <c r="F3" s="3" t="s">
        <v>531</v>
      </c>
      <c r="G3" s="3" t="s">
        <v>532</v>
      </c>
      <c r="H3" s="3" t="s">
        <v>533</v>
      </c>
      <c r="I3" s="3" t="s">
        <v>534</v>
      </c>
      <c r="J3" s="3" t="s">
        <v>535</v>
      </c>
      <c r="K3" s="3" t="s">
        <v>536</v>
      </c>
      <c r="L3" s="3" t="s">
        <v>537</v>
      </c>
      <c r="M3" s="3" t="s">
        <v>538</v>
      </c>
      <c r="N3" s="3" t="s">
        <v>539</v>
      </c>
      <c r="O3" s="3" t="s">
        <v>540</v>
      </c>
      <c r="P3" s="3" t="s">
        <v>501</v>
      </c>
      <c r="Q3" s="3" t="s">
        <v>541</v>
      </c>
      <c r="R3" s="3" t="s">
        <v>542</v>
      </c>
      <c r="S3" s="3" t="s">
        <v>543</v>
      </c>
      <c r="T3" s="3" t="s">
        <v>544</v>
      </c>
      <c r="U3" s="3" t="s">
        <v>545</v>
      </c>
      <c r="V3" s="3" t="s">
        <v>514</v>
      </c>
      <c r="W3" s="3" t="s">
        <v>546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6"/>
      <c r="I4" s="4"/>
      <c r="J4" s="4"/>
      <c r="K4" s="6"/>
      <c r="L4" s="6"/>
      <c r="M4" s="6"/>
      <c r="N4" s="6"/>
      <c r="O4" s="7" t="str">
        <f aca="false">IF(C4="","",IF(IFERROR(INDEX(05_Строки_КП!$O$4:$O$203,MATCH(C4,05_Строки_КП!$A$4:$A$203,0)),"")="READY",IFERROR(INDEX(05_Строки_КП!$H$4:$H$203,MATCH(C4,05_Строки_КП!$A$4:$A$203,0)),""),""))</f>
        <v/>
      </c>
      <c r="P4" s="5" t="str">
        <f aca="false">IF(C4="","",IF(IFERROR(INDEX(05_Строки_КП!$O$4:$O$203,MATCH(C4,05_Строки_КП!$A$4:$A$203,0)),"")="READY",IFERROR(INDEX(05_Строки_КП!$L$4:$L$203,MATCH(C4,05_Строки_КП!$A$4:$A$203,0)),""),""))</f>
        <v/>
      </c>
      <c r="Q4" s="5" t="str">
        <f aca="false">IF(C4="","",IF(IFERROR(INDEX(05_Строки_КП!$O$4:$O$203,MATCH(C4,05_Строки_КП!$A$4:$A$203,0)),"")="READY",IFERROR(INDEX(05_Строки_КП!$M$4:$M$203,MATCH(C4,05_Строки_КП!$A$4:$A$203,0)),""),""))</f>
        <v/>
      </c>
      <c r="R4" s="7" t="str">
        <f aca="false">IF(OR(V4="SELECTED_READY",V4="COMPARABLE_READY"),O4*G4*H4+SUM(K4:N4),"")</f>
        <v/>
      </c>
      <c r="S4" s="4"/>
      <c r="T4" s="4"/>
      <c r="U4" s="6"/>
      <c r="V4" s="5" t="str">
        <f aca="false">IF(A4="","",IF(AND(COUNTIF(A$4:A$203,A4)=1,B4&lt;&gt;"",C4&lt;&gt;"",D4&lt;&gt;"",COUNTIF(05_Строки_КП!$A$4:$A$203,C4)=1,IFERROR(INDEX(05_Строки_КП!$C$4:$C$203,MATCH(C4,05_Строки_КП!$A$4:$A$203,0)),"")=D4,IFERROR(INDEX(05_Строки_КП!$O$4:$O$203,MATCH(C4,05_Строки_КП!$A$4:$A$203,0)),"")="READY",E4="COMPARABLE",F4&lt;&gt;"",COUNT(G4:H4)=2,G4&gt;0,H4&gt;0,I4&lt;&gt;"",J4&lt;&gt;"",COUNTIF(13_Источники!$A$4:$A$203,J4)=1,W4&lt;&gt;"",COUNTIF(13_Источники!$A$4:$A$203,W4)=1,COUNT(K4:N4)=4,ISNUMBER(O4),U4&lt;&gt;"",01_Основания!$B$8&lt;&gt;"",OR(01_Основания!$B$9="NET",01_Основания!$B$9="GROSS"),01_Основания!$B$10&lt;&gt;"",IF(AND(ISNUMBER(O4),ISNUMBER(G4),ISNUMBER(H4)),O4*G4*H4+SUM(K4:N4)&gt;=0,FALSE())),IF(S4="SELECTED",IF(AND(COUNTIFS(B$4:B$203,B4,S$4:S$203,"SELECTED")=1,T4&lt;&gt;""),"SELECTED_READY","SELECTION_ERROR"),"COMPARABLE_READY"),"INCOMPLETE / NOT_COMPARABLE"))</f>
        <v/>
      </c>
      <c r="W4" s="6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6"/>
      <c r="I5" s="4"/>
      <c r="J5" s="4"/>
      <c r="K5" s="6"/>
      <c r="L5" s="6"/>
      <c r="M5" s="6"/>
      <c r="N5" s="6"/>
      <c r="O5" s="7" t="str">
        <f aca="false">IF(C5="","",IF(IFERROR(INDEX(05_Строки_КП!$O$4:$O$203,MATCH(C5,05_Строки_КП!$A$4:$A$203,0)),"")="READY",IFERROR(INDEX(05_Строки_КП!$H$4:$H$203,MATCH(C5,05_Строки_КП!$A$4:$A$203,0)),""),""))</f>
        <v/>
      </c>
      <c r="P5" s="5" t="str">
        <f aca="false">IF(C5="","",IF(IFERROR(INDEX(05_Строки_КП!$O$4:$O$203,MATCH(C5,05_Строки_КП!$A$4:$A$203,0)),"")="READY",IFERROR(INDEX(05_Строки_КП!$L$4:$L$203,MATCH(C5,05_Строки_КП!$A$4:$A$203,0)),""),""))</f>
        <v/>
      </c>
      <c r="Q5" s="5" t="str">
        <f aca="false">IF(C5="","",IF(IFERROR(INDEX(05_Строки_КП!$O$4:$O$203,MATCH(C5,05_Строки_КП!$A$4:$A$203,0)),"")="READY",IFERROR(INDEX(05_Строки_КП!$M$4:$M$203,MATCH(C5,05_Строки_КП!$A$4:$A$203,0)),""),""))</f>
        <v/>
      </c>
      <c r="R5" s="7" t="str">
        <f aca="false">IF(OR(V5="SELECTED_READY",V5="COMPARABLE_READY"),O5*G5*H5+SUM(K5:N5),"")</f>
        <v/>
      </c>
      <c r="S5" s="4"/>
      <c r="T5" s="4"/>
      <c r="U5" s="6"/>
      <c r="V5" s="5" t="str">
        <f aca="false">IF(A5="","",IF(AND(COUNTIF(A$4:A$203,A5)=1,B5&lt;&gt;"",C5&lt;&gt;"",D5&lt;&gt;"",COUNTIF(05_Строки_КП!$A$4:$A$203,C5)=1,IFERROR(INDEX(05_Строки_КП!$C$4:$C$203,MATCH(C5,05_Строки_КП!$A$4:$A$203,0)),"")=D5,IFERROR(INDEX(05_Строки_КП!$O$4:$O$203,MATCH(C5,05_Строки_КП!$A$4:$A$203,0)),"")="READY",E5="COMPARABLE",F5&lt;&gt;"",COUNT(G5:H5)=2,G5&gt;0,H5&gt;0,I5&lt;&gt;"",J5&lt;&gt;"",COUNTIF(13_Источники!$A$4:$A$203,J5)=1,W5&lt;&gt;"",COUNTIF(13_Источники!$A$4:$A$203,W5)=1,COUNT(K5:N5)=4,ISNUMBER(O5),U5&lt;&gt;"",01_Основания!$B$8&lt;&gt;"",OR(01_Основания!$B$9="NET",01_Основания!$B$9="GROSS"),01_Основания!$B$10&lt;&gt;"",IF(AND(ISNUMBER(O5),ISNUMBER(G5),ISNUMBER(H5)),O5*G5*H5+SUM(K5:N5)&gt;=0,FALSE())),IF(S5="SELECTED",IF(AND(COUNTIFS(B$4:B$203,B5,S$4:S$203,"SELECTED")=1,T5&lt;&gt;""),"SELECTED_READY","SELECTION_ERROR"),"COMPARABLE_READY"),"INCOMPLETE / NOT_COMPARABLE"))</f>
        <v/>
      </c>
      <c r="W5" s="6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6"/>
      <c r="I6" s="4"/>
      <c r="J6" s="4"/>
      <c r="K6" s="6"/>
      <c r="L6" s="6"/>
      <c r="M6" s="6"/>
      <c r="N6" s="6"/>
      <c r="O6" s="7" t="str">
        <f aca="false">IF(C6="","",IF(IFERROR(INDEX(05_Строки_КП!$O$4:$O$203,MATCH(C6,05_Строки_КП!$A$4:$A$203,0)),"")="READY",IFERROR(INDEX(05_Строки_КП!$H$4:$H$203,MATCH(C6,05_Строки_КП!$A$4:$A$203,0)),""),""))</f>
        <v/>
      </c>
      <c r="P6" s="5" t="str">
        <f aca="false">IF(C6="","",IF(IFERROR(INDEX(05_Строки_КП!$O$4:$O$203,MATCH(C6,05_Строки_КП!$A$4:$A$203,0)),"")="READY",IFERROR(INDEX(05_Строки_КП!$L$4:$L$203,MATCH(C6,05_Строки_КП!$A$4:$A$203,0)),""),""))</f>
        <v/>
      </c>
      <c r="Q6" s="5" t="str">
        <f aca="false">IF(C6="","",IF(IFERROR(INDEX(05_Строки_КП!$O$4:$O$203,MATCH(C6,05_Строки_КП!$A$4:$A$203,0)),"")="READY",IFERROR(INDEX(05_Строки_КП!$M$4:$M$203,MATCH(C6,05_Строки_КП!$A$4:$A$203,0)),""),""))</f>
        <v/>
      </c>
      <c r="R6" s="7" t="str">
        <f aca="false">IF(OR(V6="SELECTED_READY",V6="COMPARABLE_READY"),O6*G6*H6+SUM(K6:N6),"")</f>
        <v/>
      </c>
      <c r="S6" s="4"/>
      <c r="T6" s="4"/>
      <c r="U6" s="6"/>
      <c r="V6" s="5" t="str">
        <f aca="false">IF(A6="","",IF(AND(COUNTIF(A$4:A$203,A6)=1,B6&lt;&gt;"",C6&lt;&gt;"",D6&lt;&gt;"",COUNTIF(05_Строки_КП!$A$4:$A$203,C6)=1,IFERROR(INDEX(05_Строки_КП!$C$4:$C$203,MATCH(C6,05_Строки_КП!$A$4:$A$203,0)),"")=D6,IFERROR(INDEX(05_Строки_КП!$O$4:$O$203,MATCH(C6,05_Строки_КП!$A$4:$A$203,0)),"")="READY",E6="COMPARABLE",F6&lt;&gt;"",COUNT(G6:H6)=2,G6&gt;0,H6&gt;0,I6&lt;&gt;"",J6&lt;&gt;"",COUNTIF(13_Источники!$A$4:$A$203,J6)=1,W6&lt;&gt;"",COUNTIF(13_Источники!$A$4:$A$203,W6)=1,COUNT(K6:N6)=4,ISNUMBER(O6),U6&lt;&gt;"",01_Основания!$B$8&lt;&gt;"",OR(01_Основания!$B$9="NET",01_Основания!$B$9="GROSS"),01_Основания!$B$10&lt;&gt;"",IF(AND(ISNUMBER(O6),ISNUMBER(G6),ISNUMBER(H6)),O6*G6*H6+SUM(K6:N6)&gt;=0,FALSE())),IF(S6="SELECTED",IF(AND(COUNTIFS(B$4:B$203,B6,S$4:S$203,"SELECTED")=1,T6&lt;&gt;""),"SELECTED_READY","SELECTION_ERROR"),"COMPARABLE_READY"),"INCOMPLETE / NOT_COMPARABLE"))</f>
        <v/>
      </c>
      <c r="W6" s="6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6"/>
      <c r="I7" s="4"/>
      <c r="J7" s="4"/>
      <c r="K7" s="6"/>
      <c r="L7" s="6"/>
      <c r="M7" s="6"/>
      <c r="N7" s="6"/>
      <c r="O7" s="7" t="str">
        <f aca="false">IF(C7="","",IF(IFERROR(INDEX(05_Строки_КП!$O$4:$O$203,MATCH(C7,05_Строки_КП!$A$4:$A$203,0)),"")="READY",IFERROR(INDEX(05_Строки_КП!$H$4:$H$203,MATCH(C7,05_Строки_КП!$A$4:$A$203,0)),""),""))</f>
        <v/>
      </c>
      <c r="P7" s="5" t="str">
        <f aca="false">IF(C7="","",IF(IFERROR(INDEX(05_Строки_КП!$O$4:$O$203,MATCH(C7,05_Строки_КП!$A$4:$A$203,0)),"")="READY",IFERROR(INDEX(05_Строки_КП!$L$4:$L$203,MATCH(C7,05_Строки_КП!$A$4:$A$203,0)),""),""))</f>
        <v/>
      </c>
      <c r="Q7" s="5" t="str">
        <f aca="false">IF(C7="","",IF(IFERROR(INDEX(05_Строки_КП!$O$4:$O$203,MATCH(C7,05_Строки_КП!$A$4:$A$203,0)),"")="READY",IFERROR(INDEX(05_Строки_КП!$M$4:$M$203,MATCH(C7,05_Строки_КП!$A$4:$A$203,0)),""),""))</f>
        <v/>
      </c>
      <c r="R7" s="7" t="str">
        <f aca="false">IF(OR(V7="SELECTED_READY",V7="COMPARABLE_READY"),O7*G7*H7+SUM(K7:N7),"")</f>
        <v/>
      </c>
      <c r="S7" s="4"/>
      <c r="T7" s="4"/>
      <c r="U7" s="6"/>
      <c r="V7" s="5" t="str">
        <f aca="false">IF(A7="","",IF(AND(COUNTIF(A$4:A$203,A7)=1,B7&lt;&gt;"",C7&lt;&gt;"",D7&lt;&gt;"",COUNTIF(05_Строки_КП!$A$4:$A$203,C7)=1,IFERROR(INDEX(05_Строки_КП!$C$4:$C$203,MATCH(C7,05_Строки_КП!$A$4:$A$203,0)),"")=D7,IFERROR(INDEX(05_Строки_КП!$O$4:$O$203,MATCH(C7,05_Строки_КП!$A$4:$A$203,0)),"")="READY",E7="COMPARABLE",F7&lt;&gt;"",COUNT(G7:H7)=2,G7&gt;0,H7&gt;0,I7&lt;&gt;"",J7&lt;&gt;"",COUNTIF(13_Источники!$A$4:$A$203,J7)=1,W7&lt;&gt;"",COUNTIF(13_Источники!$A$4:$A$203,W7)=1,COUNT(K7:N7)=4,ISNUMBER(O7),U7&lt;&gt;"",01_Основания!$B$8&lt;&gt;"",OR(01_Основания!$B$9="NET",01_Основания!$B$9="GROSS"),01_Основания!$B$10&lt;&gt;"",IF(AND(ISNUMBER(O7),ISNUMBER(G7),ISNUMBER(H7)),O7*G7*H7+SUM(K7:N7)&gt;=0,FALSE())),IF(S7="SELECTED",IF(AND(COUNTIFS(B$4:B$203,B7,S$4:S$203,"SELECTED")=1,T7&lt;&gt;""),"SELECTED_READY","SELECTION_ERROR"),"COMPARABLE_READY"),"INCOMPLETE / NOT_COMPARABLE"))</f>
        <v/>
      </c>
      <c r="W7" s="6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6"/>
      <c r="I8" s="4"/>
      <c r="J8" s="4"/>
      <c r="K8" s="6"/>
      <c r="L8" s="6"/>
      <c r="M8" s="6"/>
      <c r="N8" s="6"/>
      <c r="O8" s="7" t="str">
        <f aca="false">IF(C8="","",IF(IFERROR(INDEX(05_Строки_КП!$O$4:$O$203,MATCH(C8,05_Строки_КП!$A$4:$A$203,0)),"")="READY",IFERROR(INDEX(05_Строки_КП!$H$4:$H$203,MATCH(C8,05_Строки_КП!$A$4:$A$203,0)),""),""))</f>
        <v/>
      </c>
      <c r="P8" s="5" t="str">
        <f aca="false">IF(C8="","",IF(IFERROR(INDEX(05_Строки_КП!$O$4:$O$203,MATCH(C8,05_Строки_КП!$A$4:$A$203,0)),"")="READY",IFERROR(INDEX(05_Строки_КП!$L$4:$L$203,MATCH(C8,05_Строки_КП!$A$4:$A$203,0)),""),""))</f>
        <v/>
      </c>
      <c r="Q8" s="5" t="str">
        <f aca="false">IF(C8="","",IF(IFERROR(INDEX(05_Строки_КП!$O$4:$O$203,MATCH(C8,05_Строки_КП!$A$4:$A$203,0)),"")="READY",IFERROR(INDEX(05_Строки_КП!$M$4:$M$203,MATCH(C8,05_Строки_КП!$A$4:$A$203,0)),""),""))</f>
        <v/>
      </c>
      <c r="R8" s="7" t="str">
        <f aca="false">IF(OR(V8="SELECTED_READY",V8="COMPARABLE_READY"),O8*G8*H8+SUM(K8:N8),"")</f>
        <v/>
      </c>
      <c r="S8" s="4"/>
      <c r="T8" s="4"/>
      <c r="U8" s="6"/>
      <c r="V8" s="5" t="str">
        <f aca="false">IF(A8="","",IF(AND(COUNTIF(A$4:A$203,A8)=1,B8&lt;&gt;"",C8&lt;&gt;"",D8&lt;&gt;"",COUNTIF(05_Строки_КП!$A$4:$A$203,C8)=1,IFERROR(INDEX(05_Строки_КП!$C$4:$C$203,MATCH(C8,05_Строки_КП!$A$4:$A$203,0)),"")=D8,IFERROR(INDEX(05_Строки_КП!$O$4:$O$203,MATCH(C8,05_Строки_КП!$A$4:$A$203,0)),"")="READY",E8="COMPARABLE",F8&lt;&gt;"",COUNT(G8:H8)=2,G8&gt;0,H8&gt;0,I8&lt;&gt;"",J8&lt;&gt;"",COUNTIF(13_Источники!$A$4:$A$203,J8)=1,W8&lt;&gt;"",COUNTIF(13_Источники!$A$4:$A$203,W8)=1,COUNT(K8:N8)=4,ISNUMBER(O8),U8&lt;&gt;"",01_Основания!$B$8&lt;&gt;"",OR(01_Основания!$B$9="NET",01_Основания!$B$9="GROSS"),01_Основания!$B$10&lt;&gt;"",IF(AND(ISNUMBER(O8),ISNUMBER(G8),ISNUMBER(H8)),O8*G8*H8+SUM(K8:N8)&gt;=0,FALSE())),IF(S8="SELECTED",IF(AND(COUNTIFS(B$4:B$203,B8,S$4:S$203,"SELECTED")=1,T8&lt;&gt;""),"SELECTED_READY","SELECTION_ERROR"),"COMPARABLE_READY"),"INCOMPLETE / NOT_COMPARABLE"))</f>
        <v/>
      </c>
      <c r="W8" s="6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6"/>
      <c r="I9" s="4"/>
      <c r="J9" s="4"/>
      <c r="K9" s="6"/>
      <c r="L9" s="6"/>
      <c r="M9" s="6"/>
      <c r="N9" s="6"/>
      <c r="O9" s="7" t="str">
        <f aca="false">IF(C9="","",IF(IFERROR(INDEX(05_Строки_КП!$O$4:$O$203,MATCH(C9,05_Строки_КП!$A$4:$A$203,0)),"")="READY",IFERROR(INDEX(05_Строки_КП!$H$4:$H$203,MATCH(C9,05_Строки_КП!$A$4:$A$203,0)),""),""))</f>
        <v/>
      </c>
      <c r="P9" s="5" t="str">
        <f aca="false">IF(C9="","",IF(IFERROR(INDEX(05_Строки_КП!$O$4:$O$203,MATCH(C9,05_Строки_КП!$A$4:$A$203,0)),"")="READY",IFERROR(INDEX(05_Строки_КП!$L$4:$L$203,MATCH(C9,05_Строки_КП!$A$4:$A$203,0)),""),""))</f>
        <v/>
      </c>
      <c r="Q9" s="5" t="str">
        <f aca="false">IF(C9="","",IF(IFERROR(INDEX(05_Строки_КП!$O$4:$O$203,MATCH(C9,05_Строки_КП!$A$4:$A$203,0)),"")="READY",IFERROR(INDEX(05_Строки_КП!$M$4:$M$203,MATCH(C9,05_Строки_КП!$A$4:$A$203,0)),""),""))</f>
        <v/>
      </c>
      <c r="R9" s="7" t="str">
        <f aca="false">IF(OR(V9="SELECTED_READY",V9="COMPARABLE_READY"),O9*G9*H9+SUM(K9:N9),"")</f>
        <v/>
      </c>
      <c r="S9" s="4"/>
      <c r="T9" s="4"/>
      <c r="U9" s="6"/>
      <c r="V9" s="5" t="str">
        <f aca="false">IF(A9="","",IF(AND(COUNTIF(A$4:A$203,A9)=1,B9&lt;&gt;"",C9&lt;&gt;"",D9&lt;&gt;"",COUNTIF(05_Строки_КП!$A$4:$A$203,C9)=1,IFERROR(INDEX(05_Строки_КП!$C$4:$C$203,MATCH(C9,05_Строки_КП!$A$4:$A$203,0)),"")=D9,IFERROR(INDEX(05_Строки_КП!$O$4:$O$203,MATCH(C9,05_Строки_КП!$A$4:$A$203,0)),"")="READY",E9="COMPARABLE",F9&lt;&gt;"",COUNT(G9:H9)=2,G9&gt;0,H9&gt;0,I9&lt;&gt;"",J9&lt;&gt;"",COUNTIF(13_Источники!$A$4:$A$203,J9)=1,W9&lt;&gt;"",COUNTIF(13_Источники!$A$4:$A$203,W9)=1,COUNT(K9:N9)=4,ISNUMBER(O9),U9&lt;&gt;"",01_Основания!$B$8&lt;&gt;"",OR(01_Основания!$B$9="NET",01_Основания!$B$9="GROSS"),01_Основания!$B$10&lt;&gt;"",IF(AND(ISNUMBER(O9),ISNUMBER(G9),ISNUMBER(H9)),O9*G9*H9+SUM(K9:N9)&gt;=0,FALSE())),IF(S9="SELECTED",IF(AND(COUNTIFS(B$4:B$203,B9,S$4:S$203,"SELECTED")=1,T9&lt;&gt;""),"SELECTED_READY","SELECTION_ERROR"),"COMPARABLE_READY"),"INCOMPLETE / NOT_COMPARABLE"))</f>
        <v/>
      </c>
      <c r="W9" s="6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6"/>
      <c r="I10" s="4"/>
      <c r="J10" s="4"/>
      <c r="K10" s="6"/>
      <c r="L10" s="6"/>
      <c r="M10" s="6"/>
      <c r="N10" s="6"/>
      <c r="O10" s="7" t="str">
        <f aca="false">IF(C10="","",IF(IFERROR(INDEX(05_Строки_КП!$O$4:$O$203,MATCH(C10,05_Строки_КП!$A$4:$A$203,0)),"")="READY",IFERROR(INDEX(05_Строки_КП!$H$4:$H$203,MATCH(C10,05_Строки_КП!$A$4:$A$203,0)),""),""))</f>
        <v/>
      </c>
      <c r="P10" s="5" t="str">
        <f aca="false">IF(C10="","",IF(IFERROR(INDEX(05_Строки_КП!$O$4:$O$203,MATCH(C10,05_Строки_КП!$A$4:$A$203,0)),"")="READY",IFERROR(INDEX(05_Строки_КП!$L$4:$L$203,MATCH(C10,05_Строки_КП!$A$4:$A$203,0)),""),""))</f>
        <v/>
      </c>
      <c r="Q10" s="5" t="str">
        <f aca="false">IF(C10="","",IF(IFERROR(INDEX(05_Строки_КП!$O$4:$O$203,MATCH(C10,05_Строки_КП!$A$4:$A$203,0)),"")="READY",IFERROR(INDEX(05_Строки_КП!$M$4:$M$203,MATCH(C10,05_Строки_КП!$A$4:$A$203,0)),""),""))</f>
        <v/>
      </c>
      <c r="R10" s="7" t="str">
        <f aca="false">IF(OR(V10="SELECTED_READY",V10="COMPARABLE_READY"),O10*G10*H10+SUM(K10:N10),"")</f>
        <v/>
      </c>
      <c r="S10" s="4"/>
      <c r="T10" s="4"/>
      <c r="U10" s="6"/>
      <c r="V10" s="5" t="str">
        <f aca="false">IF(A10="","",IF(AND(COUNTIF(A$4:A$203,A10)=1,B10&lt;&gt;"",C10&lt;&gt;"",D10&lt;&gt;"",COUNTIF(05_Строки_КП!$A$4:$A$203,C10)=1,IFERROR(INDEX(05_Строки_КП!$C$4:$C$203,MATCH(C10,05_Строки_КП!$A$4:$A$203,0)),"")=D10,IFERROR(INDEX(05_Строки_КП!$O$4:$O$203,MATCH(C10,05_Строки_КП!$A$4:$A$203,0)),"")="READY",E10="COMPARABLE",F10&lt;&gt;"",COUNT(G10:H10)=2,G10&gt;0,H10&gt;0,I10&lt;&gt;"",J10&lt;&gt;"",COUNTIF(13_Источники!$A$4:$A$203,J10)=1,W10&lt;&gt;"",COUNTIF(13_Источники!$A$4:$A$203,W10)=1,COUNT(K10:N10)=4,ISNUMBER(O10),U10&lt;&gt;"",01_Основания!$B$8&lt;&gt;"",OR(01_Основания!$B$9="NET",01_Основания!$B$9="GROSS"),01_Основания!$B$10&lt;&gt;"",IF(AND(ISNUMBER(O10),ISNUMBER(G10),ISNUMBER(H10)),O10*G10*H10+SUM(K10:N10)&gt;=0,FALSE())),IF(S10="SELECTED",IF(AND(COUNTIFS(B$4:B$203,B10,S$4:S$203,"SELECTED")=1,T10&lt;&gt;""),"SELECTED_READY","SELECTION_ERROR"),"COMPARABLE_READY"),"INCOMPLETE / NOT_COMPARABLE"))</f>
        <v/>
      </c>
      <c r="W10" s="6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6"/>
      <c r="I11" s="4"/>
      <c r="J11" s="4"/>
      <c r="K11" s="6"/>
      <c r="L11" s="6"/>
      <c r="M11" s="6"/>
      <c r="N11" s="6"/>
      <c r="O11" s="7" t="str">
        <f aca="false">IF(C11="","",IF(IFERROR(INDEX(05_Строки_КП!$O$4:$O$203,MATCH(C11,05_Строки_КП!$A$4:$A$203,0)),"")="READY",IFERROR(INDEX(05_Строки_КП!$H$4:$H$203,MATCH(C11,05_Строки_КП!$A$4:$A$203,0)),""),""))</f>
        <v/>
      </c>
      <c r="P11" s="5" t="str">
        <f aca="false">IF(C11="","",IF(IFERROR(INDEX(05_Строки_КП!$O$4:$O$203,MATCH(C11,05_Строки_КП!$A$4:$A$203,0)),"")="READY",IFERROR(INDEX(05_Строки_КП!$L$4:$L$203,MATCH(C11,05_Строки_КП!$A$4:$A$203,0)),""),""))</f>
        <v/>
      </c>
      <c r="Q11" s="5" t="str">
        <f aca="false">IF(C11="","",IF(IFERROR(INDEX(05_Строки_КП!$O$4:$O$203,MATCH(C11,05_Строки_КП!$A$4:$A$203,0)),"")="READY",IFERROR(INDEX(05_Строки_КП!$M$4:$M$203,MATCH(C11,05_Строки_КП!$A$4:$A$203,0)),""),""))</f>
        <v/>
      </c>
      <c r="R11" s="7" t="str">
        <f aca="false">IF(OR(V11="SELECTED_READY",V11="COMPARABLE_READY"),O11*G11*H11+SUM(K11:N11),"")</f>
        <v/>
      </c>
      <c r="S11" s="4"/>
      <c r="T11" s="4"/>
      <c r="U11" s="6"/>
      <c r="V11" s="5" t="str">
        <f aca="false">IF(A11="","",IF(AND(COUNTIF(A$4:A$203,A11)=1,B11&lt;&gt;"",C11&lt;&gt;"",D11&lt;&gt;"",COUNTIF(05_Строки_КП!$A$4:$A$203,C11)=1,IFERROR(INDEX(05_Строки_КП!$C$4:$C$203,MATCH(C11,05_Строки_КП!$A$4:$A$203,0)),"")=D11,IFERROR(INDEX(05_Строки_КП!$O$4:$O$203,MATCH(C11,05_Строки_КП!$A$4:$A$203,0)),"")="READY",E11="COMPARABLE",F11&lt;&gt;"",COUNT(G11:H11)=2,G11&gt;0,H11&gt;0,I11&lt;&gt;"",J11&lt;&gt;"",COUNTIF(13_Источники!$A$4:$A$203,J11)=1,W11&lt;&gt;"",COUNTIF(13_Источники!$A$4:$A$203,W11)=1,COUNT(K11:N11)=4,ISNUMBER(O11),U11&lt;&gt;"",01_Основания!$B$8&lt;&gt;"",OR(01_Основания!$B$9="NET",01_Основания!$B$9="GROSS"),01_Основания!$B$10&lt;&gt;"",IF(AND(ISNUMBER(O11),ISNUMBER(G11),ISNUMBER(H11)),O11*G11*H11+SUM(K11:N11)&gt;=0,FALSE())),IF(S11="SELECTED",IF(AND(COUNTIFS(B$4:B$203,B11,S$4:S$203,"SELECTED")=1,T11&lt;&gt;""),"SELECTED_READY","SELECTION_ERROR"),"COMPARABLE_READY"),"INCOMPLETE / NOT_COMPARABLE"))</f>
        <v/>
      </c>
      <c r="W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6"/>
      <c r="I12" s="4"/>
      <c r="J12" s="4"/>
      <c r="K12" s="6"/>
      <c r="L12" s="6"/>
      <c r="M12" s="6"/>
      <c r="N12" s="6"/>
      <c r="O12" s="7" t="str">
        <f aca="false">IF(C12="","",IF(IFERROR(INDEX(05_Строки_КП!$O$4:$O$203,MATCH(C12,05_Строки_КП!$A$4:$A$203,0)),"")="READY",IFERROR(INDEX(05_Строки_КП!$H$4:$H$203,MATCH(C12,05_Строки_КП!$A$4:$A$203,0)),""),""))</f>
        <v/>
      </c>
      <c r="P12" s="5" t="str">
        <f aca="false">IF(C12="","",IF(IFERROR(INDEX(05_Строки_КП!$O$4:$O$203,MATCH(C12,05_Строки_КП!$A$4:$A$203,0)),"")="READY",IFERROR(INDEX(05_Строки_КП!$L$4:$L$203,MATCH(C12,05_Строки_КП!$A$4:$A$203,0)),""),""))</f>
        <v/>
      </c>
      <c r="Q12" s="5" t="str">
        <f aca="false">IF(C12="","",IF(IFERROR(INDEX(05_Строки_КП!$O$4:$O$203,MATCH(C12,05_Строки_КП!$A$4:$A$203,0)),"")="READY",IFERROR(INDEX(05_Строки_КП!$M$4:$M$203,MATCH(C12,05_Строки_КП!$A$4:$A$203,0)),""),""))</f>
        <v/>
      </c>
      <c r="R12" s="7" t="str">
        <f aca="false">IF(OR(V12="SELECTED_READY",V12="COMPARABLE_READY"),O12*G12*H12+SUM(K12:N12),"")</f>
        <v/>
      </c>
      <c r="S12" s="4"/>
      <c r="T12" s="4"/>
      <c r="U12" s="6"/>
      <c r="V12" s="5" t="str">
        <f aca="false">IF(A12="","",IF(AND(COUNTIF(A$4:A$203,A12)=1,B12&lt;&gt;"",C12&lt;&gt;"",D12&lt;&gt;"",COUNTIF(05_Строки_КП!$A$4:$A$203,C12)=1,IFERROR(INDEX(05_Строки_КП!$C$4:$C$203,MATCH(C12,05_Строки_КП!$A$4:$A$203,0)),"")=D12,IFERROR(INDEX(05_Строки_КП!$O$4:$O$203,MATCH(C12,05_Строки_КП!$A$4:$A$203,0)),"")="READY",E12="COMPARABLE",F12&lt;&gt;"",COUNT(G12:H12)=2,G12&gt;0,H12&gt;0,I12&lt;&gt;"",J12&lt;&gt;"",COUNTIF(13_Источники!$A$4:$A$203,J12)=1,W12&lt;&gt;"",COUNTIF(13_Источники!$A$4:$A$203,W12)=1,COUNT(K12:N12)=4,ISNUMBER(O12),U12&lt;&gt;"",01_Основания!$B$8&lt;&gt;"",OR(01_Основания!$B$9="NET",01_Основания!$B$9="GROSS"),01_Основания!$B$10&lt;&gt;"",IF(AND(ISNUMBER(O12),ISNUMBER(G12),ISNUMBER(H12)),O12*G12*H12+SUM(K12:N12)&gt;=0,FALSE())),IF(S12="SELECTED",IF(AND(COUNTIFS(B$4:B$203,B12,S$4:S$203,"SELECTED")=1,T12&lt;&gt;""),"SELECTED_READY","SELECTION_ERROR"),"COMPARABLE_READY"),"INCOMPLETE / NOT_COMPARABLE"))</f>
        <v/>
      </c>
      <c r="W12" s="6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6"/>
      <c r="I13" s="4"/>
      <c r="J13" s="4"/>
      <c r="K13" s="6"/>
      <c r="L13" s="6"/>
      <c r="M13" s="6"/>
      <c r="N13" s="6"/>
      <c r="O13" s="7" t="str">
        <f aca="false">IF(C13="","",IF(IFERROR(INDEX(05_Строки_КП!$O$4:$O$203,MATCH(C13,05_Строки_КП!$A$4:$A$203,0)),"")="READY",IFERROR(INDEX(05_Строки_КП!$H$4:$H$203,MATCH(C13,05_Строки_КП!$A$4:$A$203,0)),""),""))</f>
        <v/>
      </c>
      <c r="P13" s="5" t="str">
        <f aca="false">IF(C13="","",IF(IFERROR(INDEX(05_Строки_КП!$O$4:$O$203,MATCH(C13,05_Строки_КП!$A$4:$A$203,0)),"")="READY",IFERROR(INDEX(05_Строки_КП!$L$4:$L$203,MATCH(C13,05_Строки_КП!$A$4:$A$203,0)),""),""))</f>
        <v/>
      </c>
      <c r="Q13" s="5" t="str">
        <f aca="false">IF(C13="","",IF(IFERROR(INDEX(05_Строки_КП!$O$4:$O$203,MATCH(C13,05_Строки_КП!$A$4:$A$203,0)),"")="READY",IFERROR(INDEX(05_Строки_КП!$M$4:$M$203,MATCH(C13,05_Строки_КП!$A$4:$A$203,0)),""),""))</f>
        <v/>
      </c>
      <c r="R13" s="7" t="str">
        <f aca="false">IF(OR(V13="SELECTED_READY",V13="COMPARABLE_READY"),O13*G13*H13+SUM(K13:N13),"")</f>
        <v/>
      </c>
      <c r="S13" s="4"/>
      <c r="T13" s="4"/>
      <c r="U13" s="6"/>
      <c r="V13" s="5" t="str">
        <f aca="false">IF(A13="","",IF(AND(COUNTIF(A$4:A$203,A13)=1,B13&lt;&gt;"",C13&lt;&gt;"",D13&lt;&gt;"",COUNTIF(05_Строки_КП!$A$4:$A$203,C13)=1,IFERROR(INDEX(05_Строки_КП!$C$4:$C$203,MATCH(C13,05_Строки_КП!$A$4:$A$203,0)),"")=D13,IFERROR(INDEX(05_Строки_КП!$O$4:$O$203,MATCH(C13,05_Строки_КП!$A$4:$A$203,0)),"")="READY",E13="COMPARABLE",F13&lt;&gt;"",COUNT(G13:H13)=2,G13&gt;0,H13&gt;0,I13&lt;&gt;"",J13&lt;&gt;"",COUNTIF(13_Источники!$A$4:$A$203,J13)=1,W13&lt;&gt;"",COUNTIF(13_Источники!$A$4:$A$203,W13)=1,COUNT(K13:N13)=4,ISNUMBER(O13),U13&lt;&gt;"",01_Основания!$B$8&lt;&gt;"",OR(01_Основания!$B$9="NET",01_Основания!$B$9="GROSS"),01_Основания!$B$10&lt;&gt;"",IF(AND(ISNUMBER(O13),ISNUMBER(G13),ISNUMBER(H13)),O13*G13*H13+SUM(K13:N13)&gt;=0,FALSE())),IF(S13="SELECTED",IF(AND(COUNTIFS(B$4:B$203,B13,S$4:S$203,"SELECTED")=1,T13&lt;&gt;""),"SELECTED_READY","SELECTION_ERROR"),"COMPARABLE_READY"),"INCOMPLETE / NOT_COMPARABLE"))</f>
        <v/>
      </c>
      <c r="W13" s="6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6"/>
      <c r="I14" s="4"/>
      <c r="J14" s="4"/>
      <c r="K14" s="6"/>
      <c r="L14" s="6"/>
      <c r="M14" s="6"/>
      <c r="N14" s="6"/>
      <c r="O14" s="7" t="str">
        <f aca="false">IF(C14="","",IF(IFERROR(INDEX(05_Строки_КП!$O$4:$O$203,MATCH(C14,05_Строки_КП!$A$4:$A$203,0)),"")="READY",IFERROR(INDEX(05_Строки_КП!$H$4:$H$203,MATCH(C14,05_Строки_КП!$A$4:$A$203,0)),""),""))</f>
        <v/>
      </c>
      <c r="P14" s="5" t="str">
        <f aca="false">IF(C14="","",IF(IFERROR(INDEX(05_Строки_КП!$O$4:$O$203,MATCH(C14,05_Строки_КП!$A$4:$A$203,0)),"")="READY",IFERROR(INDEX(05_Строки_КП!$L$4:$L$203,MATCH(C14,05_Строки_КП!$A$4:$A$203,0)),""),""))</f>
        <v/>
      </c>
      <c r="Q14" s="5" t="str">
        <f aca="false">IF(C14="","",IF(IFERROR(INDEX(05_Строки_КП!$O$4:$O$203,MATCH(C14,05_Строки_КП!$A$4:$A$203,0)),"")="READY",IFERROR(INDEX(05_Строки_КП!$M$4:$M$203,MATCH(C14,05_Строки_КП!$A$4:$A$203,0)),""),""))</f>
        <v/>
      </c>
      <c r="R14" s="7" t="str">
        <f aca="false">IF(OR(V14="SELECTED_READY",V14="COMPARABLE_READY"),O14*G14*H14+SUM(K14:N14),"")</f>
        <v/>
      </c>
      <c r="S14" s="4"/>
      <c r="T14" s="4"/>
      <c r="U14" s="6"/>
      <c r="V14" s="5" t="str">
        <f aca="false">IF(A14="","",IF(AND(COUNTIF(A$4:A$203,A14)=1,B14&lt;&gt;"",C14&lt;&gt;"",D14&lt;&gt;"",COUNTIF(05_Строки_КП!$A$4:$A$203,C14)=1,IFERROR(INDEX(05_Строки_КП!$C$4:$C$203,MATCH(C14,05_Строки_КП!$A$4:$A$203,0)),"")=D14,IFERROR(INDEX(05_Строки_КП!$O$4:$O$203,MATCH(C14,05_Строки_КП!$A$4:$A$203,0)),"")="READY",E14="COMPARABLE",F14&lt;&gt;"",COUNT(G14:H14)=2,G14&gt;0,H14&gt;0,I14&lt;&gt;"",J14&lt;&gt;"",COUNTIF(13_Источники!$A$4:$A$203,J14)=1,W14&lt;&gt;"",COUNTIF(13_Источники!$A$4:$A$203,W14)=1,COUNT(K14:N14)=4,ISNUMBER(O14),U14&lt;&gt;"",01_Основания!$B$8&lt;&gt;"",OR(01_Основания!$B$9="NET",01_Основания!$B$9="GROSS"),01_Основания!$B$10&lt;&gt;"",IF(AND(ISNUMBER(O14),ISNUMBER(G14),ISNUMBER(H14)),O14*G14*H14+SUM(K14:N14)&gt;=0,FALSE())),IF(S14="SELECTED",IF(AND(COUNTIFS(B$4:B$203,B14,S$4:S$203,"SELECTED")=1,T14&lt;&gt;""),"SELECTED_READY","SELECTION_ERROR"),"COMPARABLE_READY"),"INCOMPLETE / NOT_COMPARABLE"))</f>
        <v/>
      </c>
      <c r="W14" s="6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6"/>
      <c r="I15" s="4"/>
      <c r="J15" s="4"/>
      <c r="K15" s="6"/>
      <c r="L15" s="6"/>
      <c r="M15" s="6"/>
      <c r="N15" s="6"/>
      <c r="O15" s="7" t="str">
        <f aca="false">IF(C15="","",IF(IFERROR(INDEX(05_Строки_КП!$O$4:$O$203,MATCH(C15,05_Строки_КП!$A$4:$A$203,0)),"")="READY",IFERROR(INDEX(05_Строки_КП!$H$4:$H$203,MATCH(C15,05_Строки_КП!$A$4:$A$203,0)),""),""))</f>
        <v/>
      </c>
      <c r="P15" s="5" t="str">
        <f aca="false">IF(C15="","",IF(IFERROR(INDEX(05_Строки_КП!$O$4:$O$203,MATCH(C15,05_Строки_КП!$A$4:$A$203,0)),"")="READY",IFERROR(INDEX(05_Строки_КП!$L$4:$L$203,MATCH(C15,05_Строки_КП!$A$4:$A$203,0)),""),""))</f>
        <v/>
      </c>
      <c r="Q15" s="5" t="str">
        <f aca="false">IF(C15="","",IF(IFERROR(INDEX(05_Строки_КП!$O$4:$O$203,MATCH(C15,05_Строки_КП!$A$4:$A$203,0)),"")="READY",IFERROR(INDEX(05_Строки_КП!$M$4:$M$203,MATCH(C15,05_Строки_КП!$A$4:$A$203,0)),""),""))</f>
        <v/>
      </c>
      <c r="R15" s="7" t="str">
        <f aca="false">IF(OR(V15="SELECTED_READY",V15="COMPARABLE_READY"),O15*G15*H15+SUM(K15:N15),"")</f>
        <v/>
      </c>
      <c r="S15" s="4"/>
      <c r="T15" s="4"/>
      <c r="U15" s="6"/>
      <c r="V15" s="5" t="str">
        <f aca="false">IF(A15="","",IF(AND(COUNTIF(A$4:A$203,A15)=1,B15&lt;&gt;"",C15&lt;&gt;"",D15&lt;&gt;"",COUNTIF(05_Строки_КП!$A$4:$A$203,C15)=1,IFERROR(INDEX(05_Строки_КП!$C$4:$C$203,MATCH(C15,05_Строки_КП!$A$4:$A$203,0)),"")=D15,IFERROR(INDEX(05_Строки_КП!$O$4:$O$203,MATCH(C15,05_Строки_КП!$A$4:$A$203,0)),"")="READY",E15="COMPARABLE",F15&lt;&gt;"",COUNT(G15:H15)=2,G15&gt;0,H15&gt;0,I15&lt;&gt;"",J15&lt;&gt;"",COUNTIF(13_Источники!$A$4:$A$203,J15)=1,W15&lt;&gt;"",COUNTIF(13_Источники!$A$4:$A$203,W15)=1,COUNT(K15:N15)=4,ISNUMBER(O15),U15&lt;&gt;"",01_Основания!$B$8&lt;&gt;"",OR(01_Основания!$B$9="NET",01_Основания!$B$9="GROSS"),01_Основания!$B$10&lt;&gt;"",IF(AND(ISNUMBER(O15),ISNUMBER(G15),ISNUMBER(H15)),O15*G15*H15+SUM(K15:N15)&gt;=0,FALSE())),IF(S15="SELECTED",IF(AND(COUNTIFS(B$4:B$203,B15,S$4:S$203,"SELECTED")=1,T15&lt;&gt;""),"SELECTED_READY","SELECTION_ERROR"),"COMPARABLE_READY"),"INCOMPLETE / NOT_COMPARABLE"))</f>
        <v/>
      </c>
      <c r="W15" s="6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6"/>
      <c r="I16" s="4"/>
      <c r="J16" s="4"/>
      <c r="K16" s="6"/>
      <c r="L16" s="6"/>
      <c r="M16" s="6"/>
      <c r="N16" s="6"/>
      <c r="O16" s="7" t="str">
        <f aca="false">IF(C16="","",IF(IFERROR(INDEX(05_Строки_КП!$O$4:$O$203,MATCH(C16,05_Строки_КП!$A$4:$A$203,0)),"")="READY",IFERROR(INDEX(05_Строки_КП!$H$4:$H$203,MATCH(C16,05_Строки_КП!$A$4:$A$203,0)),""),""))</f>
        <v/>
      </c>
      <c r="P16" s="5" t="str">
        <f aca="false">IF(C16="","",IF(IFERROR(INDEX(05_Строки_КП!$O$4:$O$203,MATCH(C16,05_Строки_КП!$A$4:$A$203,0)),"")="READY",IFERROR(INDEX(05_Строки_КП!$L$4:$L$203,MATCH(C16,05_Строки_КП!$A$4:$A$203,0)),""),""))</f>
        <v/>
      </c>
      <c r="Q16" s="5" t="str">
        <f aca="false">IF(C16="","",IF(IFERROR(INDEX(05_Строки_КП!$O$4:$O$203,MATCH(C16,05_Строки_КП!$A$4:$A$203,0)),"")="READY",IFERROR(INDEX(05_Строки_КП!$M$4:$M$203,MATCH(C16,05_Строки_КП!$A$4:$A$203,0)),""),""))</f>
        <v/>
      </c>
      <c r="R16" s="7" t="str">
        <f aca="false">IF(OR(V16="SELECTED_READY",V16="COMPARABLE_READY"),O16*G16*H16+SUM(K16:N16),"")</f>
        <v/>
      </c>
      <c r="S16" s="4"/>
      <c r="T16" s="4"/>
      <c r="U16" s="6"/>
      <c r="V16" s="5" t="str">
        <f aca="false">IF(A16="","",IF(AND(COUNTIF(A$4:A$203,A16)=1,B16&lt;&gt;"",C16&lt;&gt;"",D16&lt;&gt;"",COUNTIF(05_Строки_КП!$A$4:$A$203,C16)=1,IFERROR(INDEX(05_Строки_КП!$C$4:$C$203,MATCH(C16,05_Строки_КП!$A$4:$A$203,0)),"")=D16,IFERROR(INDEX(05_Строки_КП!$O$4:$O$203,MATCH(C16,05_Строки_КП!$A$4:$A$203,0)),"")="READY",E16="COMPARABLE",F16&lt;&gt;"",COUNT(G16:H16)=2,G16&gt;0,H16&gt;0,I16&lt;&gt;"",J16&lt;&gt;"",COUNTIF(13_Источники!$A$4:$A$203,J16)=1,W16&lt;&gt;"",COUNTIF(13_Источники!$A$4:$A$203,W16)=1,COUNT(K16:N16)=4,ISNUMBER(O16),U16&lt;&gt;"",01_Основания!$B$8&lt;&gt;"",OR(01_Основания!$B$9="NET",01_Основания!$B$9="GROSS"),01_Основания!$B$10&lt;&gt;"",IF(AND(ISNUMBER(O16),ISNUMBER(G16),ISNUMBER(H16)),O16*G16*H16+SUM(K16:N16)&gt;=0,FALSE())),IF(S16="SELECTED",IF(AND(COUNTIFS(B$4:B$203,B16,S$4:S$203,"SELECTED")=1,T16&lt;&gt;""),"SELECTED_READY","SELECTION_ERROR"),"COMPARABLE_READY"),"INCOMPLETE / NOT_COMPARABLE"))</f>
        <v/>
      </c>
      <c r="W16" s="6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6"/>
      <c r="I17" s="4"/>
      <c r="J17" s="4"/>
      <c r="K17" s="6"/>
      <c r="L17" s="6"/>
      <c r="M17" s="6"/>
      <c r="N17" s="6"/>
      <c r="O17" s="7" t="str">
        <f aca="false">IF(C17="","",IF(IFERROR(INDEX(05_Строки_КП!$O$4:$O$203,MATCH(C17,05_Строки_КП!$A$4:$A$203,0)),"")="READY",IFERROR(INDEX(05_Строки_КП!$H$4:$H$203,MATCH(C17,05_Строки_КП!$A$4:$A$203,0)),""),""))</f>
        <v/>
      </c>
      <c r="P17" s="5" t="str">
        <f aca="false">IF(C17="","",IF(IFERROR(INDEX(05_Строки_КП!$O$4:$O$203,MATCH(C17,05_Строки_КП!$A$4:$A$203,0)),"")="READY",IFERROR(INDEX(05_Строки_КП!$L$4:$L$203,MATCH(C17,05_Строки_КП!$A$4:$A$203,0)),""),""))</f>
        <v/>
      </c>
      <c r="Q17" s="5" t="str">
        <f aca="false">IF(C17="","",IF(IFERROR(INDEX(05_Строки_КП!$O$4:$O$203,MATCH(C17,05_Строки_КП!$A$4:$A$203,0)),"")="READY",IFERROR(INDEX(05_Строки_КП!$M$4:$M$203,MATCH(C17,05_Строки_КП!$A$4:$A$203,0)),""),""))</f>
        <v/>
      </c>
      <c r="R17" s="7" t="str">
        <f aca="false">IF(OR(V17="SELECTED_READY",V17="COMPARABLE_READY"),O17*G17*H17+SUM(K17:N17),"")</f>
        <v/>
      </c>
      <c r="S17" s="4"/>
      <c r="T17" s="4"/>
      <c r="U17" s="6"/>
      <c r="V17" s="5" t="str">
        <f aca="false">IF(A17="","",IF(AND(COUNTIF(A$4:A$203,A17)=1,B17&lt;&gt;"",C17&lt;&gt;"",D17&lt;&gt;"",COUNTIF(05_Строки_КП!$A$4:$A$203,C17)=1,IFERROR(INDEX(05_Строки_КП!$C$4:$C$203,MATCH(C17,05_Строки_КП!$A$4:$A$203,0)),"")=D17,IFERROR(INDEX(05_Строки_КП!$O$4:$O$203,MATCH(C17,05_Строки_КП!$A$4:$A$203,0)),"")="READY",E17="COMPARABLE",F17&lt;&gt;"",COUNT(G17:H17)=2,G17&gt;0,H17&gt;0,I17&lt;&gt;"",J17&lt;&gt;"",COUNTIF(13_Источники!$A$4:$A$203,J17)=1,W17&lt;&gt;"",COUNTIF(13_Источники!$A$4:$A$203,W17)=1,COUNT(K17:N17)=4,ISNUMBER(O17),U17&lt;&gt;"",01_Основания!$B$8&lt;&gt;"",OR(01_Основания!$B$9="NET",01_Основания!$B$9="GROSS"),01_Основания!$B$10&lt;&gt;"",IF(AND(ISNUMBER(O17),ISNUMBER(G17),ISNUMBER(H17)),O17*G17*H17+SUM(K17:N17)&gt;=0,FALSE())),IF(S17="SELECTED",IF(AND(COUNTIFS(B$4:B$203,B17,S$4:S$203,"SELECTED")=1,T17&lt;&gt;""),"SELECTED_READY","SELECTION_ERROR"),"COMPARABLE_READY"),"INCOMPLETE / NOT_COMPARABLE"))</f>
        <v/>
      </c>
      <c r="W17" s="6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6"/>
      <c r="I18" s="4"/>
      <c r="J18" s="4"/>
      <c r="K18" s="6"/>
      <c r="L18" s="6"/>
      <c r="M18" s="6"/>
      <c r="N18" s="6"/>
      <c r="O18" s="7" t="str">
        <f aca="false">IF(C18="","",IF(IFERROR(INDEX(05_Строки_КП!$O$4:$O$203,MATCH(C18,05_Строки_КП!$A$4:$A$203,0)),"")="READY",IFERROR(INDEX(05_Строки_КП!$H$4:$H$203,MATCH(C18,05_Строки_КП!$A$4:$A$203,0)),""),""))</f>
        <v/>
      </c>
      <c r="P18" s="5" t="str">
        <f aca="false">IF(C18="","",IF(IFERROR(INDEX(05_Строки_КП!$O$4:$O$203,MATCH(C18,05_Строки_КП!$A$4:$A$203,0)),"")="READY",IFERROR(INDEX(05_Строки_КП!$L$4:$L$203,MATCH(C18,05_Строки_КП!$A$4:$A$203,0)),""),""))</f>
        <v/>
      </c>
      <c r="Q18" s="5" t="str">
        <f aca="false">IF(C18="","",IF(IFERROR(INDEX(05_Строки_КП!$O$4:$O$203,MATCH(C18,05_Строки_КП!$A$4:$A$203,0)),"")="READY",IFERROR(INDEX(05_Строки_КП!$M$4:$M$203,MATCH(C18,05_Строки_КП!$A$4:$A$203,0)),""),""))</f>
        <v/>
      </c>
      <c r="R18" s="7" t="str">
        <f aca="false">IF(OR(V18="SELECTED_READY",V18="COMPARABLE_READY"),O18*G18*H18+SUM(K18:N18),"")</f>
        <v/>
      </c>
      <c r="S18" s="4"/>
      <c r="T18" s="4"/>
      <c r="U18" s="6"/>
      <c r="V18" s="5" t="str">
        <f aca="false">IF(A18="","",IF(AND(COUNTIF(A$4:A$203,A18)=1,B18&lt;&gt;"",C18&lt;&gt;"",D18&lt;&gt;"",COUNTIF(05_Строки_КП!$A$4:$A$203,C18)=1,IFERROR(INDEX(05_Строки_КП!$C$4:$C$203,MATCH(C18,05_Строки_КП!$A$4:$A$203,0)),"")=D18,IFERROR(INDEX(05_Строки_КП!$O$4:$O$203,MATCH(C18,05_Строки_КП!$A$4:$A$203,0)),"")="READY",E18="COMPARABLE",F18&lt;&gt;"",COUNT(G18:H18)=2,G18&gt;0,H18&gt;0,I18&lt;&gt;"",J18&lt;&gt;"",COUNTIF(13_Источники!$A$4:$A$203,J18)=1,W18&lt;&gt;"",COUNTIF(13_Источники!$A$4:$A$203,W18)=1,COUNT(K18:N18)=4,ISNUMBER(O18),U18&lt;&gt;"",01_Основания!$B$8&lt;&gt;"",OR(01_Основания!$B$9="NET",01_Основания!$B$9="GROSS"),01_Основания!$B$10&lt;&gt;"",IF(AND(ISNUMBER(O18),ISNUMBER(G18),ISNUMBER(H18)),O18*G18*H18+SUM(K18:N18)&gt;=0,FALSE())),IF(S18="SELECTED",IF(AND(COUNTIFS(B$4:B$203,B18,S$4:S$203,"SELECTED")=1,T18&lt;&gt;""),"SELECTED_READY","SELECTION_ERROR"),"COMPARABLE_READY"),"INCOMPLETE / NOT_COMPARABLE"))</f>
        <v/>
      </c>
      <c r="W18" s="6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6"/>
      <c r="I19" s="4"/>
      <c r="J19" s="4"/>
      <c r="K19" s="6"/>
      <c r="L19" s="6"/>
      <c r="M19" s="6"/>
      <c r="N19" s="6"/>
      <c r="O19" s="7" t="str">
        <f aca="false">IF(C19="","",IF(IFERROR(INDEX(05_Строки_КП!$O$4:$O$203,MATCH(C19,05_Строки_КП!$A$4:$A$203,0)),"")="READY",IFERROR(INDEX(05_Строки_КП!$H$4:$H$203,MATCH(C19,05_Строки_КП!$A$4:$A$203,0)),""),""))</f>
        <v/>
      </c>
      <c r="P19" s="5" t="str">
        <f aca="false">IF(C19="","",IF(IFERROR(INDEX(05_Строки_КП!$O$4:$O$203,MATCH(C19,05_Строки_КП!$A$4:$A$203,0)),"")="READY",IFERROR(INDEX(05_Строки_КП!$L$4:$L$203,MATCH(C19,05_Строки_КП!$A$4:$A$203,0)),""),""))</f>
        <v/>
      </c>
      <c r="Q19" s="5" t="str">
        <f aca="false">IF(C19="","",IF(IFERROR(INDEX(05_Строки_КП!$O$4:$O$203,MATCH(C19,05_Строки_КП!$A$4:$A$203,0)),"")="READY",IFERROR(INDEX(05_Строки_КП!$M$4:$M$203,MATCH(C19,05_Строки_КП!$A$4:$A$203,0)),""),""))</f>
        <v/>
      </c>
      <c r="R19" s="7" t="str">
        <f aca="false">IF(OR(V19="SELECTED_READY",V19="COMPARABLE_READY"),O19*G19*H19+SUM(K19:N19),"")</f>
        <v/>
      </c>
      <c r="S19" s="4"/>
      <c r="T19" s="4"/>
      <c r="U19" s="6"/>
      <c r="V19" s="5" t="str">
        <f aca="false">IF(A19="","",IF(AND(COUNTIF(A$4:A$203,A19)=1,B19&lt;&gt;"",C19&lt;&gt;"",D19&lt;&gt;"",COUNTIF(05_Строки_КП!$A$4:$A$203,C19)=1,IFERROR(INDEX(05_Строки_КП!$C$4:$C$203,MATCH(C19,05_Строки_КП!$A$4:$A$203,0)),"")=D19,IFERROR(INDEX(05_Строки_КП!$O$4:$O$203,MATCH(C19,05_Строки_КП!$A$4:$A$203,0)),"")="READY",E19="COMPARABLE",F19&lt;&gt;"",COUNT(G19:H19)=2,G19&gt;0,H19&gt;0,I19&lt;&gt;"",J19&lt;&gt;"",COUNTIF(13_Источники!$A$4:$A$203,J19)=1,W19&lt;&gt;"",COUNTIF(13_Источники!$A$4:$A$203,W19)=1,COUNT(K19:N19)=4,ISNUMBER(O19),U19&lt;&gt;"",01_Основания!$B$8&lt;&gt;"",OR(01_Основания!$B$9="NET",01_Основания!$B$9="GROSS"),01_Основания!$B$10&lt;&gt;"",IF(AND(ISNUMBER(O19),ISNUMBER(G19),ISNUMBER(H19)),O19*G19*H19+SUM(K19:N19)&gt;=0,FALSE())),IF(S19="SELECTED",IF(AND(COUNTIFS(B$4:B$203,B19,S$4:S$203,"SELECTED")=1,T19&lt;&gt;""),"SELECTED_READY","SELECTION_ERROR"),"COMPARABLE_READY"),"INCOMPLETE / NOT_COMPARABLE"))</f>
        <v/>
      </c>
      <c r="W19" s="6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6"/>
      <c r="I20" s="4"/>
      <c r="J20" s="4"/>
      <c r="K20" s="6"/>
      <c r="L20" s="6"/>
      <c r="M20" s="6"/>
      <c r="N20" s="6"/>
      <c r="O20" s="7" t="str">
        <f aca="false">IF(C20="","",IF(IFERROR(INDEX(05_Строки_КП!$O$4:$O$203,MATCH(C20,05_Строки_КП!$A$4:$A$203,0)),"")="READY",IFERROR(INDEX(05_Строки_КП!$H$4:$H$203,MATCH(C20,05_Строки_КП!$A$4:$A$203,0)),""),""))</f>
        <v/>
      </c>
      <c r="P20" s="5" t="str">
        <f aca="false">IF(C20="","",IF(IFERROR(INDEX(05_Строки_КП!$O$4:$O$203,MATCH(C20,05_Строки_КП!$A$4:$A$203,0)),"")="READY",IFERROR(INDEX(05_Строки_КП!$L$4:$L$203,MATCH(C20,05_Строки_КП!$A$4:$A$203,0)),""),""))</f>
        <v/>
      </c>
      <c r="Q20" s="5" t="str">
        <f aca="false">IF(C20="","",IF(IFERROR(INDEX(05_Строки_КП!$O$4:$O$203,MATCH(C20,05_Строки_КП!$A$4:$A$203,0)),"")="READY",IFERROR(INDEX(05_Строки_КП!$M$4:$M$203,MATCH(C20,05_Строки_КП!$A$4:$A$203,0)),""),""))</f>
        <v/>
      </c>
      <c r="R20" s="7" t="str">
        <f aca="false">IF(OR(V20="SELECTED_READY",V20="COMPARABLE_READY"),O20*G20*H20+SUM(K20:N20),"")</f>
        <v/>
      </c>
      <c r="S20" s="4"/>
      <c r="T20" s="4"/>
      <c r="U20" s="6"/>
      <c r="V20" s="5" t="str">
        <f aca="false">IF(A20="","",IF(AND(COUNTIF(A$4:A$203,A20)=1,B20&lt;&gt;"",C20&lt;&gt;"",D20&lt;&gt;"",COUNTIF(05_Строки_КП!$A$4:$A$203,C20)=1,IFERROR(INDEX(05_Строки_КП!$C$4:$C$203,MATCH(C20,05_Строки_КП!$A$4:$A$203,0)),"")=D20,IFERROR(INDEX(05_Строки_КП!$O$4:$O$203,MATCH(C20,05_Строки_КП!$A$4:$A$203,0)),"")="READY",E20="COMPARABLE",F20&lt;&gt;"",COUNT(G20:H20)=2,G20&gt;0,H20&gt;0,I20&lt;&gt;"",J20&lt;&gt;"",COUNTIF(13_Источники!$A$4:$A$203,J20)=1,W20&lt;&gt;"",COUNTIF(13_Источники!$A$4:$A$203,W20)=1,COUNT(K20:N20)=4,ISNUMBER(O20),U20&lt;&gt;"",01_Основания!$B$8&lt;&gt;"",OR(01_Основания!$B$9="NET",01_Основания!$B$9="GROSS"),01_Основания!$B$10&lt;&gt;"",IF(AND(ISNUMBER(O20),ISNUMBER(G20),ISNUMBER(H20)),O20*G20*H20+SUM(K20:N20)&gt;=0,FALSE())),IF(S20="SELECTED",IF(AND(COUNTIFS(B$4:B$203,B20,S$4:S$203,"SELECTED")=1,T20&lt;&gt;""),"SELECTED_READY","SELECTION_ERROR"),"COMPARABLE_READY"),"INCOMPLETE / NOT_COMPARABLE"))</f>
        <v/>
      </c>
      <c r="W20" s="6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6"/>
      <c r="I21" s="4"/>
      <c r="J21" s="4"/>
      <c r="K21" s="6"/>
      <c r="L21" s="6"/>
      <c r="M21" s="6"/>
      <c r="N21" s="6"/>
      <c r="O21" s="7" t="str">
        <f aca="false">IF(C21="","",IF(IFERROR(INDEX(05_Строки_КП!$O$4:$O$203,MATCH(C21,05_Строки_КП!$A$4:$A$203,0)),"")="READY",IFERROR(INDEX(05_Строки_КП!$H$4:$H$203,MATCH(C21,05_Строки_КП!$A$4:$A$203,0)),""),""))</f>
        <v/>
      </c>
      <c r="P21" s="5" t="str">
        <f aca="false">IF(C21="","",IF(IFERROR(INDEX(05_Строки_КП!$O$4:$O$203,MATCH(C21,05_Строки_КП!$A$4:$A$203,0)),"")="READY",IFERROR(INDEX(05_Строки_КП!$L$4:$L$203,MATCH(C21,05_Строки_КП!$A$4:$A$203,0)),""),""))</f>
        <v/>
      </c>
      <c r="Q21" s="5" t="str">
        <f aca="false">IF(C21="","",IF(IFERROR(INDEX(05_Строки_КП!$O$4:$O$203,MATCH(C21,05_Строки_КП!$A$4:$A$203,0)),"")="READY",IFERROR(INDEX(05_Строки_КП!$M$4:$M$203,MATCH(C21,05_Строки_КП!$A$4:$A$203,0)),""),""))</f>
        <v/>
      </c>
      <c r="R21" s="7" t="str">
        <f aca="false">IF(OR(V21="SELECTED_READY",V21="COMPARABLE_READY"),O21*G21*H21+SUM(K21:N21),"")</f>
        <v/>
      </c>
      <c r="S21" s="4"/>
      <c r="T21" s="4"/>
      <c r="U21" s="6"/>
      <c r="V21" s="5" t="str">
        <f aca="false">IF(A21="","",IF(AND(COUNTIF(A$4:A$203,A21)=1,B21&lt;&gt;"",C21&lt;&gt;"",D21&lt;&gt;"",COUNTIF(05_Строки_КП!$A$4:$A$203,C21)=1,IFERROR(INDEX(05_Строки_КП!$C$4:$C$203,MATCH(C21,05_Строки_КП!$A$4:$A$203,0)),"")=D21,IFERROR(INDEX(05_Строки_КП!$O$4:$O$203,MATCH(C21,05_Строки_КП!$A$4:$A$203,0)),"")="READY",E21="COMPARABLE",F21&lt;&gt;"",COUNT(G21:H21)=2,G21&gt;0,H21&gt;0,I21&lt;&gt;"",J21&lt;&gt;"",COUNTIF(13_Источники!$A$4:$A$203,J21)=1,W21&lt;&gt;"",COUNTIF(13_Источники!$A$4:$A$203,W21)=1,COUNT(K21:N21)=4,ISNUMBER(O21),U21&lt;&gt;"",01_Основания!$B$8&lt;&gt;"",OR(01_Основания!$B$9="NET",01_Основания!$B$9="GROSS"),01_Основания!$B$10&lt;&gt;"",IF(AND(ISNUMBER(O21),ISNUMBER(G21),ISNUMBER(H21)),O21*G21*H21+SUM(K21:N21)&gt;=0,FALSE())),IF(S21="SELECTED",IF(AND(COUNTIFS(B$4:B$203,B21,S$4:S$203,"SELECTED")=1,T21&lt;&gt;""),"SELECTED_READY","SELECTION_ERROR"),"COMPARABLE_READY"),"INCOMPLETE / NOT_COMPARABLE"))</f>
        <v/>
      </c>
      <c r="W21" s="6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6"/>
      <c r="I22" s="4"/>
      <c r="J22" s="4"/>
      <c r="K22" s="6"/>
      <c r="L22" s="6"/>
      <c r="M22" s="6"/>
      <c r="N22" s="6"/>
      <c r="O22" s="7" t="str">
        <f aca="false">IF(C22="","",IF(IFERROR(INDEX(05_Строки_КП!$O$4:$O$203,MATCH(C22,05_Строки_КП!$A$4:$A$203,0)),"")="READY",IFERROR(INDEX(05_Строки_КП!$H$4:$H$203,MATCH(C22,05_Строки_КП!$A$4:$A$203,0)),""),""))</f>
        <v/>
      </c>
      <c r="P22" s="5" t="str">
        <f aca="false">IF(C22="","",IF(IFERROR(INDEX(05_Строки_КП!$O$4:$O$203,MATCH(C22,05_Строки_КП!$A$4:$A$203,0)),"")="READY",IFERROR(INDEX(05_Строки_КП!$L$4:$L$203,MATCH(C22,05_Строки_КП!$A$4:$A$203,0)),""),""))</f>
        <v/>
      </c>
      <c r="Q22" s="5" t="str">
        <f aca="false">IF(C22="","",IF(IFERROR(INDEX(05_Строки_КП!$O$4:$O$203,MATCH(C22,05_Строки_КП!$A$4:$A$203,0)),"")="READY",IFERROR(INDEX(05_Строки_КП!$M$4:$M$203,MATCH(C22,05_Строки_КП!$A$4:$A$203,0)),""),""))</f>
        <v/>
      </c>
      <c r="R22" s="7" t="str">
        <f aca="false">IF(OR(V22="SELECTED_READY",V22="COMPARABLE_READY"),O22*G22*H22+SUM(K22:N22),"")</f>
        <v/>
      </c>
      <c r="S22" s="4"/>
      <c r="T22" s="4"/>
      <c r="U22" s="6"/>
      <c r="V22" s="5" t="str">
        <f aca="false">IF(A22="","",IF(AND(COUNTIF(A$4:A$203,A22)=1,B22&lt;&gt;"",C22&lt;&gt;"",D22&lt;&gt;"",COUNTIF(05_Строки_КП!$A$4:$A$203,C22)=1,IFERROR(INDEX(05_Строки_КП!$C$4:$C$203,MATCH(C22,05_Строки_КП!$A$4:$A$203,0)),"")=D22,IFERROR(INDEX(05_Строки_КП!$O$4:$O$203,MATCH(C22,05_Строки_КП!$A$4:$A$203,0)),"")="READY",E22="COMPARABLE",F22&lt;&gt;"",COUNT(G22:H22)=2,G22&gt;0,H22&gt;0,I22&lt;&gt;"",J22&lt;&gt;"",COUNTIF(13_Источники!$A$4:$A$203,J22)=1,W22&lt;&gt;"",COUNTIF(13_Источники!$A$4:$A$203,W22)=1,COUNT(K22:N22)=4,ISNUMBER(O22),U22&lt;&gt;"",01_Основания!$B$8&lt;&gt;"",OR(01_Основания!$B$9="NET",01_Основания!$B$9="GROSS"),01_Основания!$B$10&lt;&gt;"",IF(AND(ISNUMBER(O22),ISNUMBER(G22),ISNUMBER(H22)),O22*G22*H22+SUM(K22:N22)&gt;=0,FALSE())),IF(S22="SELECTED",IF(AND(COUNTIFS(B$4:B$203,B22,S$4:S$203,"SELECTED")=1,T22&lt;&gt;""),"SELECTED_READY","SELECTION_ERROR"),"COMPARABLE_READY"),"INCOMPLETE / NOT_COMPARABLE"))</f>
        <v/>
      </c>
      <c r="W22" s="6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6"/>
      <c r="I23" s="4"/>
      <c r="J23" s="4"/>
      <c r="K23" s="6"/>
      <c r="L23" s="6"/>
      <c r="M23" s="6"/>
      <c r="N23" s="6"/>
      <c r="O23" s="7" t="str">
        <f aca="false">IF(C23="","",IF(IFERROR(INDEX(05_Строки_КП!$O$4:$O$203,MATCH(C23,05_Строки_КП!$A$4:$A$203,0)),"")="READY",IFERROR(INDEX(05_Строки_КП!$H$4:$H$203,MATCH(C23,05_Строки_КП!$A$4:$A$203,0)),""),""))</f>
        <v/>
      </c>
      <c r="P23" s="5" t="str">
        <f aca="false">IF(C23="","",IF(IFERROR(INDEX(05_Строки_КП!$O$4:$O$203,MATCH(C23,05_Строки_КП!$A$4:$A$203,0)),"")="READY",IFERROR(INDEX(05_Строки_КП!$L$4:$L$203,MATCH(C23,05_Строки_КП!$A$4:$A$203,0)),""),""))</f>
        <v/>
      </c>
      <c r="Q23" s="5" t="str">
        <f aca="false">IF(C23="","",IF(IFERROR(INDEX(05_Строки_КП!$O$4:$O$203,MATCH(C23,05_Строки_КП!$A$4:$A$203,0)),"")="READY",IFERROR(INDEX(05_Строки_КП!$M$4:$M$203,MATCH(C23,05_Строки_КП!$A$4:$A$203,0)),""),""))</f>
        <v/>
      </c>
      <c r="R23" s="7" t="str">
        <f aca="false">IF(OR(V23="SELECTED_READY",V23="COMPARABLE_READY"),O23*G23*H23+SUM(K23:N23),"")</f>
        <v/>
      </c>
      <c r="S23" s="4"/>
      <c r="T23" s="4"/>
      <c r="U23" s="6"/>
      <c r="V23" s="5" t="str">
        <f aca="false">IF(A23="","",IF(AND(COUNTIF(A$4:A$203,A23)=1,B23&lt;&gt;"",C23&lt;&gt;"",D23&lt;&gt;"",COUNTIF(05_Строки_КП!$A$4:$A$203,C23)=1,IFERROR(INDEX(05_Строки_КП!$C$4:$C$203,MATCH(C23,05_Строки_КП!$A$4:$A$203,0)),"")=D23,IFERROR(INDEX(05_Строки_КП!$O$4:$O$203,MATCH(C23,05_Строки_КП!$A$4:$A$203,0)),"")="READY",E23="COMPARABLE",F23&lt;&gt;"",COUNT(G23:H23)=2,G23&gt;0,H23&gt;0,I23&lt;&gt;"",J23&lt;&gt;"",COUNTIF(13_Источники!$A$4:$A$203,J23)=1,W23&lt;&gt;"",COUNTIF(13_Источники!$A$4:$A$203,W23)=1,COUNT(K23:N23)=4,ISNUMBER(O23),U23&lt;&gt;"",01_Основания!$B$8&lt;&gt;"",OR(01_Основания!$B$9="NET",01_Основания!$B$9="GROSS"),01_Основания!$B$10&lt;&gt;"",IF(AND(ISNUMBER(O23),ISNUMBER(G23),ISNUMBER(H23)),O23*G23*H23+SUM(K23:N23)&gt;=0,FALSE())),IF(S23="SELECTED",IF(AND(COUNTIFS(B$4:B$203,B23,S$4:S$203,"SELECTED")=1,T23&lt;&gt;""),"SELECTED_READY","SELECTION_ERROR"),"COMPARABLE_READY"),"INCOMPLETE / NOT_COMPARABLE"))</f>
        <v/>
      </c>
      <c r="W23" s="6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6"/>
      <c r="I24" s="4"/>
      <c r="J24" s="4"/>
      <c r="K24" s="6"/>
      <c r="L24" s="6"/>
      <c r="M24" s="6"/>
      <c r="N24" s="6"/>
      <c r="O24" s="7" t="str">
        <f aca="false">IF(C24="","",IF(IFERROR(INDEX(05_Строки_КП!$O$4:$O$203,MATCH(C24,05_Строки_КП!$A$4:$A$203,0)),"")="READY",IFERROR(INDEX(05_Строки_КП!$H$4:$H$203,MATCH(C24,05_Строки_КП!$A$4:$A$203,0)),""),""))</f>
        <v/>
      </c>
      <c r="P24" s="5" t="str">
        <f aca="false">IF(C24="","",IF(IFERROR(INDEX(05_Строки_КП!$O$4:$O$203,MATCH(C24,05_Строки_КП!$A$4:$A$203,0)),"")="READY",IFERROR(INDEX(05_Строки_КП!$L$4:$L$203,MATCH(C24,05_Строки_КП!$A$4:$A$203,0)),""),""))</f>
        <v/>
      </c>
      <c r="Q24" s="5" t="str">
        <f aca="false">IF(C24="","",IF(IFERROR(INDEX(05_Строки_КП!$O$4:$O$203,MATCH(C24,05_Строки_КП!$A$4:$A$203,0)),"")="READY",IFERROR(INDEX(05_Строки_КП!$M$4:$M$203,MATCH(C24,05_Строки_КП!$A$4:$A$203,0)),""),""))</f>
        <v/>
      </c>
      <c r="R24" s="7" t="str">
        <f aca="false">IF(OR(V24="SELECTED_READY",V24="COMPARABLE_READY"),O24*G24*H24+SUM(K24:N24),"")</f>
        <v/>
      </c>
      <c r="S24" s="4"/>
      <c r="T24" s="4"/>
      <c r="U24" s="6"/>
      <c r="V24" s="5" t="str">
        <f aca="false">IF(A24="","",IF(AND(COUNTIF(A$4:A$203,A24)=1,B24&lt;&gt;"",C24&lt;&gt;"",D24&lt;&gt;"",COUNTIF(05_Строки_КП!$A$4:$A$203,C24)=1,IFERROR(INDEX(05_Строки_КП!$C$4:$C$203,MATCH(C24,05_Строки_КП!$A$4:$A$203,0)),"")=D24,IFERROR(INDEX(05_Строки_КП!$O$4:$O$203,MATCH(C24,05_Строки_КП!$A$4:$A$203,0)),"")="READY",E24="COMPARABLE",F24&lt;&gt;"",COUNT(G24:H24)=2,G24&gt;0,H24&gt;0,I24&lt;&gt;"",J24&lt;&gt;"",COUNTIF(13_Источники!$A$4:$A$203,J24)=1,W24&lt;&gt;"",COUNTIF(13_Источники!$A$4:$A$203,W24)=1,COUNT(K24:N24)=4,ISNUMBER(O24),U24&lt;&gt;"",01_Основания!$B$8&lt;&gt;"",OR(01_Основания!$B$9="NET",01_Основания!$B$9="GROSS"),01_Основания!$B$10&lt;&gt;"",IF(AND(ISNUMBER(O24),ISNUMBER(G24),ISNUMBER(H24)),O24*G24*H24+SUM(K24:N24)&gt;=0,FALSE())),IF(S24="SELECTED",IF(AND(COUNTIFS(B$4:B$203,B24,S$4:S$203,"SELECTED")=1,T24&lt;&gt;""),"SELECTED_READY","SELECTION_ERROR"),"COMPARABLE_READY"),"INCOMPLETE / NOT_COMPARABLE"))</f>
        <v/>
      </c>
      <c r="W24" s="6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6"/>
      <c r="I25" s="4"/>
      <c r="J25" s="4"/>
      <c r="K25" s="6"/>
      <c r="L25" s="6"/>
      <c r="M25" s="6"/>
      <c r="N25" s="6"/>
      <c r="O25" s="7" t="str">
        <f aca="false">IF(C25="","",IF(IFERROR(INDEX(05_Строки_КП!$O$4:$O$203,MATCH(C25,05_Строки_КП!$A$4:$A$203,0)),"")="READY",IFERROR(INDEX(05_Строки_КП!$H$4:$H$203,MATCH(C25,05_Строки_КП!$A$4:$A$203,0)),""),""))</f>
        <v/>
      </c>
      <c r="P25" s="5" t="str">
        <f aca="false">IF(C25="","",IF(IFERROR(INDEX(05_Строки_КП!$O$4:$O$203,MATCH(C25,05_Строки_КП!$A$4:$A$203,0)),"")="READY",IFERROR(INDEX(05_Строки_КП!$L$4:$L$203,MATCH(C25,05_Строки_КП!$A$4:$A$203,0)),""),""))</f>
        <v/>
      </c>
      <c r="Q25" s="5" t="str">
        <f aca="false">IF(C25="","",IF(IFERROR(INDEX(05_Строки_КП!$O$4:$O$203,MATCH(C25,05_Строки_КП!$A$4:$A$203,0)),"")="READY",IFERROR(INDEX(05_Строки_КП!$M$4:$M$203,MATCH(C25,05_Строки_КП!$A$4:$A$203,0)),""),""))</f>
        <v/>
      </c>
      <c r="R25" s="7" t="str">
        <f aca="false">IF(OR(V25="SELECTED_READY",V25="COMPARABLE_READY"),O25*G25*H25+SUM(K25:N25),"")</f>
        <v/>
      </c>
      <c r="S25" s="4"/>
      <c r="T25" s="4"/>
      <c r="U25" s="6"/>
      <c r="V25" s="5" t="str">
        <f aca="false">IF(A25="","",IF(AND(COUNTIF(A$4:A$203,A25)=1,B25&lt;&gt;"",C25&lt;&gt;"",D25&lt;&gt;"",COUNTIF(05_Строки_КП!$A$4:$A$203,C25)=1,IFERROR(INDEX(05_Строки_КП!$C$4:$C$203,MATCH(C25,05_Строки_КП!$A$4:$A$203,0)),"")=D25,IFERROR(INDEX(05_Строки_КП!$O$4:$O$203,MATCH(C25,05_Строки_КП!$A$4:$A$203,0)),"")="READY",E25="COMPARABLE",F25&lt;&gt;"",COUNT(G25:H25)=2,G25&gt;0,H25&gt;0,I25&lt;&gt;"",J25&lt;&gt;"",COUNTIF(13_Источники!$A$4:$A$203,J25)=1,W25&lt;&gt;"",COUNTIF(13_Источники!$A$4:$A$203,W25)=1,COUNT(K25:N25)=4,ISNUMBER(O25),U25&lt;&gt;"",01_Основания!$B$8&lt;&gt;"",OR(01_Основания!$B$9="NET",01_Основания!$B$9="GROSS"),01_Основания!$B$10&lt;&gt;"",IF(AND(ISNUMBER(O25),ISNUMBER(G25),ISNUMBER(H25)),O25*G25*H25+SUM(K25:N25)&gt;=0,FALSE())),IF(S25="SELECTED",IF(AND(COUNTIFS(B$4:B$203,B25,S$4:S$203,"SELECTED")=1,T25&lt;&gt;""),"SELECTED_READY","SELECTION_ERROR"),"COMPARABLE_READY"),"INCOMPLETE / NOT_COMPARABLE"))</f>
        <v/>
      </c>
      <c r="W25" s="6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6"/>
      <c r="I26" s="4"/>
      <c r="J26" s="4"/>
      <c r="K26" s="6"/>
      <c r="L26" s="6"/>
      <c r="M26" s="6"/>
      <c r="N26" s="6"/>
      <c r="O26" s="7" t="str">
        <f aca="false">IF(C26="","",IF(IFERROR(INDEX(05_Строки_КП!$O$4:$O$203,MATCH(C26,05_Строки_КП!$A$4:$A$203,0)),"")="READY",IFERROR(INDEX(05_Строки_КП!$H$4:$H$203,MATCH(C26,05_Строки_КП!$A$4:$A$203,0)),""),""))</f>
        <v/>
      </c>
      <c r="P26" s="5" t="str">
        <f aca="false">IF(C26="","",IF(IFERROR(INDEX(05_Строки_КП!$O$4:$O$203,MATCH(C26,05_Строки_КП!$A$4:$A$203,0)),"")="READY",IFERROR(INDEX(05_Строки_КП!$L$4:$L$203,MATCH(C26,05_Строки_КП!$A$4:$A$203,0)),""),""))</f>
        <v/>
      </c>
      <c r="Q26" s="5" t="str">
        <f aca="false">IF(C26="","",IF(IFERROR(INDEX(05_Строки_КП!$O$4:$O$203,MATCH(C26,05_Строки_КП!$A$4:$A$203,0)),"")="READY",IFERROR(INDEX(05_Строки_КП!$M$4:$M$203,MATCH(C26,05_Строки_КП!$A$4:$A$203,0)),""),""))</f>
        <v/>
      </c>
      <c r="R26" s="7" t="str">
        <f aca="false">IF(OR(V26="SELECTED_READY",V26="COMPARABLE_READY"),O26*G26*H26+SUM(K26:N26),"")</f>
        <v/>
      </c>
      <c r="S26" s="4"/>
      <c r="T26" s="4"/>
      <c r="U26" s="6"/>
      <c r="V26" s="5" t="str">
        <f aca="false">IF(A26="","",IF(AND(COUNTIF(A$4:A$203,A26)=1,B26&lt;&gt;"",C26&lt;&gt;"",D26&lt;&gt;"",COUNTIF(05_Строки_КП!$A$4:$A$203,C26)=1,IFERROR(INDEX(05_Строки_КП!$C$4:$C$203,MATCH(C26,05_Строки_КП!$A$4:$A$203,0)),"")=D26,IFERROR(INDEX(05_Строки_КП!$O$4:$O$203,MATCH(C26,05_Строки_КП!$A$4:$A$203,0)),"")="READY",E26="COMPARABLE",F26&lt;&gt;"",COUNT(G26:H26)=2,G26&gt;0,H26&gt;0,I26&lt;&gt;"",J26&lt;&gt;"",COUNTIF(13_Источники!$A$4:$A$203,J26)=1,W26&lt;&gt;"",COUNTIF(13_Источники!$A$4:$A$203,W26)=1,COUNT(K26:N26)=4,ISNUMBER(O26),U26&lt;&gt;"",01_Основания!$B$8&lt;&gt;"",OR(01_Основания!$B$9="NET",01_Основания!$B$9="GROSS"),01_Основания!$B$10&lt;&gt;"",IF(AND(ISNUMBER(O26),ISNUMBER(G26),ISNUMBER(H26)),O26*G26*H26+SUM(K26:N26)&gt;=0,FALSE())),IF(S26="SELECTED",IF(AND(COUNTIFS(B$4:B$203,B26,S$4:S$203,"SELECTED")=1,T26&lt;&gt;""),"SELECTED_READY","SELECTION_ERROR"),"COMPARABLE_READY"),"INCOMPLETE / NOT_COMPARABLE"))</f>
        <v/>
      </c>
      <c r="W26" s="6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6"/>
      <c r="I27" s="4"/>
      <c r="J27" s="4"/>
      <c r="K27" s="6"/>
      <c r="L27" s="6"/>
      <c r="M27" s="6"/>
      <c r="N27" s="6"/>
      <c r="O27" s="7" t="str">
        <f aca="false">IF(C27="","",IF(IFERROR(INDEX(05_Строки_КП!$O$4:$O$203,MATCH(C27,05_Строки_КП!$A$4:$A$203,0)),"")="READY",IFERROR(INDEX(05_Строки_КП!$H$4:$H$203,MATCH(C27,05_Строки_КП!$A$4:$A$203,0)),""),""))</f>
        <v/>
      </c>
      <c r="P27" s="5" t="str">
        <f aca="false">IF(C27="","",IF(IFERROR(INDEX(05_Строки_КП!$O$4:$O$203,MATCH(C27,05_Строки_КП!$A$4:$A$203,0)),"")="READY",IFERROR(INDEX(05_Строки_КП!$L$4:$L$203,MATCH(C27,05_Строки_КП!$A$4:$A$203,0)),""),""))</f>
        <v/>
      </c>
      <c r="Q27" s="5" t="str">
        <f aca="false">IF(C27="","",IF(IFERROR(INDEX(05_Строки_КП!$O$4:$O$203,MATCH(C27,05_Строки_КП!$A$4:$A$203,0)),"")="READY",IFERROR(INDEX(05_Строки_КП!$M$4:$M$203,MATCH(C27,05_Строки_КП!$A$4:$A$203,0)),""),""))</f>
        <v/>
      </c>
      <c r="R27" s="7" t="str">
        <f aca="false">IF(OR(V27="SELECTED_READY",V27="COMPARABLE_READY"),O27*G27*H27+SUM(K27:N27),"")</f>
        <v/>
      </c>
      <c r="S27" s="4"/>
      <c r="T27" s="4"/>
      <c r="U27" s="6"/>
      <c r="V27" s="5" t="str">
        <f aca="false">IF(A27="","",IF(AND(COUNTIF(A$4:A$203,A27)=1,B27&lt;&gt;"",C27&lt;&gt;"",D27&lt;&gt;"",COUNTIF(05_Строки_КП!$A$4:$A$203,C27)=1,IFERROR(INDEX(05_Строки_КП!$C$4:$C$203,MATCH(C27,05_Строки_КП!$A$4:$A$203,0)),"")=D27,IFERROR(INDEX(05_Строки_КП!$O$4:$O$203,MATCH(C27,05_Строки_КП!$A$4:$A$203,0)),"")="READY",E27="COMPARABLE",F27&lt;&gt;"",COUNT(G27:H27)=2,G27&gt;0,H27&gt;0,I27&lt;&gt;"",J27&lt;&gt;"",COUNTIF(13_Источники!$A$4:$A$203,J27)=1,W27&lt;&gt;"",COUNTIF(13_Источники!$A$4:$A$203,W27)=1,COUNT(K27:N27)=4,ISNUMBER(O27),U27&lt;&gt;"",01_Основания!$B$8&lt;&gt;"",OR(01_Основания!$B$9="NET",01_Основания!$B$9="GROSS"),01_Основания!$B$10&lt;&gt;"",IF(AND(ISNUMBER(O27),ISNUMBER(G27),ISNUMBER(H27)),O27*G27*H27+SUM(K27:N27)&gt;=0,FALSE())),IF(S27="SELECTED",IF(AND(COUNTIFS(B$4:B$203,B27,S$4:S$203,"SELECTED")=1,T27&lt;&gt;""),"SELECTED_READY","SELECTION_ERROR"),"COMPARABLE_READY"),"INCOMPLETE / NOT_COMPARABLE"))</f>
        <v/>
      </c>
      <c r="W27" s="6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6"/>
      <c r="I28" s="4"/>
      <c r="J28" s="4"/>
      <c r="K28" s="6"/>
      <c r="L28" s="6"/>
      <c r="M28" s="6"/>
      <c r="N28" s="6"/>
      <c r="O28" s="7" t="str">
        <f aca="false">IF(C28="","",IF(IFERROR(INDEX(05_Строки_КП!$O$4:$O$203,MATCH(C28,05_Строки_КП!$A$4:$A$203,0)),"")="READY",IFERROR(INDEX(05_Строки_КП!$H$4:$H$203,MATCH(C28,05_Строки_КП!$A$4:$A$203,0)),""),""))</f>
        <v/>
      </c>
      <c r="P28" s="5" t="str">
        <f aca="false">IF(C28="","",IF(IFERROR(INDEX(05_Строки_КП!$O$4:$O$203,MATCH(C28,05_Строки_КП!$A$4:$A$203,0)),"")="READY",IFERROR(INDEX(05_Строки_КП!$L$4:$L$203,MATCH(C28,05_Строки_КП!$A$4:$A$203,0)),""),""))</f>
        <v/>
      </c>
      <c r="Q28" s="5" t="str">
        <f aca="false">IF(C28="","",IF(IFERROR(INDEX(05_Строки_КП!$O$4:$O$203,MATCH(C28,05_Строки_КП!$A$4:$A$203,0)),"")="READY",IFERROR(INDEX(05_Строки_КП!$M$4:$M$203,MATCH(C28,05_Строки_КП!$A$4:$A$203,0)),""),""))</f>
        <v/>
      </c>
      <c r="R28" s="7" t="str">
        <f aca="false">IF(OR(V28="SELECTED_READY",V28="COMPARABLE_READY"),O28*G28*H28+SUM(K28:N28),"")</f>
        <v/>
      </c>
      <c r="S28" s="4"/>
      <c r="T28" s="4"/>
      <c r="U28" s="6"/>
      <c r="V28" s="5" t="str">
        <f aca="false">IF(A28="","",IF(AND(COUNTIF(A$4:A$203,A28)=1,B28&lt;&gt;"",C28&lt;&gt;"",D28&lt;&gt;"",COUNTIF(05_Строки_КП!$A$4:$A$203,C28)=1,IFERROR(INDEX(05_Строки_КП!$C$4:$C$203,MATCH(C28,05_Строки_КП!$A$4:$A$203,0)),"")=D28,IFERROR(INDEX(05_Строки_КП!$O$4:$O$203,MATCH(C28,05_Строки_КП!$A$4:$A$203,0)),"")="READY",E28="COMPARABLE",F28&lt;&gt;"",COUNT(G28:H28)=2,G28&gt;0,H28&gt;0,I28&lt;&gt;"",J28&lt;&gt;"",COUNTIF(13_Источники!$A$4:$A$203,J28)=1,W28&lt;&gt;"",COUNTIF(13_Источники!$A$4:$A$203,W28)=1,COUNT(K28:N28)=4,ISNUMBER(O28),U28&lt;&gt;"",01_Основания!$B$8&lt;&gt;"",OR(01_Основания!$B$9="NET",01_Основания!$B$9="GROSS"),01_Основания!$B$10&lt;&gt;"",IF(AND(ISNUMBER(O28),ISNUMBER(G28),ISNUMBER(H28)),O28*G28*H28+SUM(K28:N28)&gt;=0,FALSE())),IF(S28="SELECTED",IF(AND(COUNTIFS(B$4:B$203,B28,S$4:S$203,"SELECTED")=1,T28&lt;&gt;""),"SELECTED_READY","SELECTION_ERROR"),"COMPARABLE_READY"),"INCOMPLETE / NOT_COMPARABLE"))</f>
        <v/>
      </c>
      <c r="W28" s="6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6"/>
      <c r="I29" s="4"/>
      <c r="J29" s="4"/>
      <c r="K29" s="6"/>
      <c r="L29" s="6"/>
      <c r="M29" s="6"/>
      <c r="N29" s="6"/>
      <c r="O29" s="7" t="str">
        <f aca="false">IF(C29="","",IF(IFERROR(INDEX(05_Строки_КП!$O$4:$O$203,MATCH(C29,05_Строки_КП!$A$4:$A$203,0)),"")="READY",IFERROR(INDEX(05_Строки_КП!$H$4:$H$203,MATCH(C29,05_Строки_КП!$A$4:$A$203,0)),""),""))</f>
        <v/>
      </c>
      <c r="P29" s="5" t="str">
        <f aca="false">IF(C29="","",IF(IFERROR(INDEX(05_Строки_КП!$O$4:$O$203,MATCH(C29,05_Строки_КП!$A$4:$A$203,0)),"")="READY",IFERROR(INDEX(05_Строки_КП!$L$4:$L$203,MATCH(C29,05_Строки_КП!$A$4:$A$203,0)),""),""))</f>
        <v/>
      </c>
      <c r="Q29" s="5" t="str">
        <f aca="false">IF(C29="","",IF(IFERROR(INDEX(05_Строки_КП!$O$4:$O$203,MATCH(C29,05_Строки_КП!$A$4:$A$203,0)),"")="READY",IFERROR(INDEX(05_Строки_КП!$M$4:$M$203,MATCH(C29,05_Строки_КП!$A$4:$A$203,0)),""),""))</f>
        <v/>
      </c>
      <c r="R29" s="7" t="str">
        <f aca="false">IF(OR(V29="SELECTED_READY",V29="COMPARABLE_READY"),O29*G29*H29+SUM(K29:N29),"")</f>
        <v/>
      </c>
      <c r="S29" s="4"/>
      <c r="T29" s="4"/>
      <c r="U29" s="6"/>
      <c r="V29" s="5" t="str">
        <f aca="false">IF(A29="","",IF(AND(COUNTIF(A$4:A$203,A29)=1,B29&lt;&gt;"",C29&lt;&gt;"",D29&lt;&gt;"",COUNTIF(05_Строки_КП!$A$4:$A$203,C29)=1,IFERROR(INDEX(05_Строки_КП!$C$4:$C$203,MATCH(C29,05_Строки_КП!$A$4:$A$203,0)),"")=D29,IFERROR(INDEX(05_Строки_КП!$O$4:$O$203,MATCH(C29,05_Строки_КП!$A$4:$A$203,0)),"")="READY",E29="COMPARABLE",F29&lt;&gt;"",COUNT(G29:H29)=2,G29&gt;0,H29&gt;0,I29&lt;&gt;"",J29&lt;&gt;"",COUNTIF(13_Источники!$A$4:$A$203,J29)=1,W29&lt;&gt;"",COUNTIF(13_Источники!$A$4:$A$203,W29)=1,COUNT(K29:N29)=4,ISNUMBER(O29),U29&lt;&gt;"",01_Основания!$B$8&lt;&gt;"",OR(01_Основания!$B$9="NET",01_Основания!$B$9="GROSS"),01_Основания!$B$10&lt;&gt;"",IF(AND(ISNUMBER(O29),ISNUMBER(G29),ISNUMBER(H29)),O29*G29*H29+SUM(K29:N29)&gt;=0,FALSE())),IF(S29="SELECTED",IF(AND(COUNTIFS(B$4:B$203,B29,S$4:S$203,"SELECTED")=1,T29&lt;&gt;""),"SELECTED_READY","SELECTION_ERROR"),"COMPARABLE_READY"),"INCOMPLETE / NOT_COMPARABLE"))</f>
        <v/>
      </c>
      <c r="W29" s="6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6"/>
      <c r="I30" s="4"/>
      <c r="J30" s="4"/>
      <c r="K30" s="6"/>
      <c r="L30" s="6"/>
      <c r="M30" s="6"/>
      <c r="N30" s="6"/>
      <c r="O30" s="7" t="str">
        <f aca="false">IF(C30="","",IF(IFERROR(INDEX(05_Строки_КП!$O$4:$O$203,MATCH(C30,05_Строки_КП!$A$4:$A$203,0)),"")="READY",IFERROR(INDEX(05_Строки_КП!$H$4:$H$203,MATCH(C30,05_Строки_КП!$A$4:$A$203,0)),""),""))</f>
        <v/>
      </c>
      <c r="P30" s="5" t="str">
        <f aca="false">IF(C30="","",IF(IFERROR(INDEX(05_Строки_КП!$O$4:$O$203,MATCH(C30,05_Строки_КП!$A$4:$A$203,0)),"")="READY",IFERROR(INDEX(05_Строки_КП!$L$4:$L$203,MATCH(C30,05_Строки_КП!$A$4:$A$203,0)),""),""))</f>
        <v/>
      </c>
      <c r="Q30" s="5" t="str">
        <f aca="false">IF(C30="","",IF(IFERROR(INDEX(05_Строки_КП!$O$4:$O$203,MATCH(C30,05_Строки_КП!$A$4:$A$203,0)),"")="READY",IFERROR(INDEX(05_Строки_КП!$M$4:$M$203,MATCH(C30,05_Строки_КП!$A$4:$A$203,0)),""),""))</f>
        <v/>
      </c>
      <c r="R30" s="7" t="str">
        <f aca="false">IF(OR(V30="SELECTED_READY",V30="COMPARABLE_READY"),O30*G30*H30+SUM(K30:N30),"")</f>
        <v/>
      </c>
      <c r="S30" s="4"/>
      <c r="T30" s="4"/>
      <c r="U30" s="6"/>
      <c r="V30" s="5" t="str">
        <f aca="false">IF(A30="","",IF(AND(COUNTIF(A$4:A$203,A30)=1,B30&lt;&gt;"",C30&lt;&gt;"",D30&lt;&gt;"",COUNTIF(05_Строки_КП!$A$4:$A$203,C30)=1,IFERROR(INDEX(05_Строки_КП!$C$4:$C$203,MATCH(C30,05_Строки_КП!$A$4:$A$203,0)),"")=D30,IFERROR(INDEX(05_Строки_КП!$O$4:$O$203,MATCH(C30,05_Строки_КП!$A$4:$A$203,0)),"")="READY",E30="COMPARABLE",F30&lt;&gt;"",COUNT(G30:H30)=2,G30&gt;0,H30&gt;0,I30&lt;&gt;"",J30&lt;&gt;"",COUNTIF(13_Источники!$A$4:$A$203,J30)=1,W30&lt;&gt;"",COUNTIF(13_Источники!$A$4:$A$203,W30)=1,COUNT(K30:N30)=4,ISNUMBER(O30),U30&lt;&gt;"",01_Основания!$B$8&lt;&gt;"",OR(01_Основания!$B$9="NET",01_Основания!$B$9="GROSS"),01_Основания!$B$10&lt;&gt;"",IF(AND(ISNUMBER(O30),ISNUMBER(G30),ISNUMBER(H30)),O30*G30*H30+SUM(K30:N30)&gt;=0,FALSE())),IF(S30="SELECTED",IF(AND(COUNTIFS(B$4:B$203,B30,S$4:S$203,"SELECTED")=1,T30&lt;&gt;""),"SELECTED_READY","SELECTION_ERROR"),"COMPARABLE_READY"),"INCOMPLETE / NOT_COMPARABLE"))</f>
        <v/>
      </c>
      <c r="W30" s="6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6"/>
      <c r="I31" s="4"/>
      <c r="J31" s="4"/>
      <c r="K31" s="6"/>
      <c r="L31" s="6"/>
      <c r="M31" s="6"/>
      <c r="N31" s="6"/>
      <c r="O31" s="7" t="str">
        <f aca="false">IF(C31="","",IF(IFERROR(INDEX(05_Строки_КП!$O$4:$O$203,MATCH(C31,05_Строки_КП!$A$4:$A$203,0)),"")="READY",IFERROR(INDEX(05_Строки_КП!$H$4:$H$203,MATCH(C31,05_Строки_КП!$A$4:$A$203,0)),""),""))</f>
        <v/>
      </c>
      <c r="P31" s="5" t="str">
        <f aca="false">IF(C31="","",IF(IFERROR(INDEX(05_Строки_КП!$O$4:$O$203,MATCH(C31,05_Строки_КП!$A$4:$A$203,0)),"")="READY",IFERROR(INDEX(05_Строки_КП!$L$4:$L$203,MATCH(C31,05_Строки_КП!$A$4:$A$203,0)),""),""))</f>
        <v/>
      </c>
      <c r="Q31" s="5" t="str">
        <f aca="false">IF(C31="","",IF(IFERROR(INDEX(05_Строки_КП!$O$4:$O$203,MATCH(C31,05_Строки_КП!$A$4:$A$203,0)),"")="READY",IFERROR(INDEX(05_Строки_КП!$M$4:$M$203,MATCH(C31,05_Строки_КП!$A$4:$A$203,0)),""),""))</f>
        <v/>
      </c>
      <c r="R31" s="7" t="str">
        <f aca="false">IF(OR(V31="SELECTED_READY",V31="COMPARABLE_READY"),O31*G31*H31+SUM(K31:N31),"")</f>
        <v/>
      </c>
      <c r="S31" s="4"/>
      <c r="T31" s="4"/>
      <c r="U31" s="6"/>
      <c r="V31" s="5" t="str">
        <f aca="false">IF(A31="","",IF(AND(COUNTIF(A$4:A$203,A31)=1,B31&lt;&gt;"",C31&lt;&gt;"",D31&lt;&gt;"",COUNTIF(05_Строки_КП!$A$4:$A$203,C31)=1,IFERROR(INDEX(05_Строки_КП!$C$4:$C$203,MATCH(C31,05_Строки_КП!$A$4:$A$203,0)),"")=D31,IFERROR(INDEX(05_Строки_КП!$O$4:$O$203,MATCH(C31,05_Строки_КП!$A$4:$A$203,0)),"")="READY",E31="COMPARABLE",F31&lt;&gt;"",COUNT(G31:H31)=2,G31&gt;0,H31&gt;0,I31&lt;&gt;"",J31&lt;&gt;"",COUNTIF(13_Источники!$A$4:$A$203,J31)=1,W31&lt;&gt;"",COUNTIF(13_Источники!$A$4:$A$203,W31)=1,COUNT(K31:N31)=4,ISNUMBER(O31),U31&lt;&gt;"",01_Основания!$B$8&lt;&gt;"",OR(01_Основания!$B$9="NET",01_Основания!$B$9="GROSS"),01_Основания!$B$10&lt;&gt;"",IF(AND(ISNUMBER(O31),ISNUMBER(G31),ISNUMBER(H31)),O31*G31*H31+SUM(K31:N31)&gt;=0,FALSE())),IF(S31="SELECTED",IF(AND(COUNTIFS(B$4:B$203,B31,S$4:S$203,"SELECTED")=1,T31&lt;&gt;""),"SELECTED_READY","SELECTION_ERROR"),"COMPARABLE_READY"),"INCOMPLETE / NOT_COMPARABLE"))</f>
        <v/>
      </c>
      <c r="W31" s="6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6"/>
      <c r="I32" s="4"/>
      <c r="J32" s="4"/>
      <c r="K32" s="6"/>
      <c r="L32" s="6"/>
      <c r="M32" s="6"/>
      <c r="N32" s="6"/>
      <c r="O32" s="7" t="str">
        <f aca="false">IF(C32="","",IF(IFERROR(INDEX(05_Строки_КП!$O$4:$O$203,MATCH(C32,05_Строки_КП!$A$4:$A$203,0)),"")="READY",IFERROR(INDEX(05_Строки_КП!$H$4:$H$203,MATCH(C32,05_Строки_КП!$A$4:$A$203,0)),""),""))</f>
        <v/>
      </c>
      <c r="P32" s="5" t="str">
        <f aca="false">IF(C32="","",IF(IFERROR(INDEX(05_Строки_КП!$O$4:$O$203,MATCH(C32,05_Строки_КП!$A$4:$A$203,0)),"")="READY",IFERROR(INDEX(05_Строки_КП!$L$4:$L$203,MATCH(C32,05_Строки_КП!$A$4:$A$203,0)),""),""))</f>
        <v/>
      </c>
      <c r="Q32" s="5" t="str">
        <f aca="false">IF(C32="","",IF(IFERROR(INDEX(05_Строки_КП!$O$4:$O$203,MATCH(C32,05_Строки_КП!$A$4:$A$203,0)),"")="READY",IFERROR(INDEX(05_Строки_КП!$M$4:$M$203,MATCH(C32,05_Строки_КП!$A$4:$A$203,0)),""),""))</f>
        <v/>
      </c>
      <c r="R32" s="7" t="str">
        <f aca="false">IF(OR(V32="SELECTED_READY",V32="COMPARABLE_READY"),O32*G32*H32+SUM(K32:N32),"")</f>
        <v/>
      </c>
      <c r="S32" s="4"/>
      <c r="T32" s="4"/>
      <c r="U32" s="6"/>
      <c r="V32" s="5" t="str">
        <f aca="false">IF(A32="","",IF(AND(COUNTIF(A$4:A$203,A32)=1,B32&lt;&gt;"",C32&lt;&gt;"",D32&lt;&gt;"",COUNTIF(05_Строки_КП!$A$4:$A$203,C32)=1,IFERROR(INDEX(05_Строки_КП!$C$4:$C$203,MATCH(C32,05_Строки_КП!$A$4:$A$203,0)),"")=D32,IFERROR(INDEX(05_Строки_КП!$O$4:$O$203,MATCH(C32,05_Строки_КП!$A$4:$A$203,0)),"")="READY",E32="COMPARABLE",F32&lt;&gt;"",COUNT(G32:H32)=2,G32&gt;0,H32&gt;0,I32&lt;&gt;"",J32&lt;&gt;"",COUNTIF(13_Источники!$A$4:$A$203,J32)=1,W32&lt;&gt;"",COUNTIF(13_Источники!$A$4:$A$203,W32)=1,COUNT(K32:N32)=4,ISNUMBER(O32),U32&lt;&gt;"",01_Основания!$B$8&lt;&gt;"",OR(01_Основания!$B$9="NET",01_Основания!$B$9="GROSS"),01_Основания!$B$10&lt;&gt;"",IF(AND(ISNUMBER(O32),ISNUMBER(G32),ISNUMBER(H32)),O32*G32*H32+SUM(K32:N32)&gt;=0,FALSE())),IF(S32="SELECTED",IF(AND(COUNTIFS(B$4:B$203,B32,S$4:S$203,"SELECTED")=1,T32&lt;&gt;""),"SELECTED_READY","SELECTION_ERROR"),"COMPARABLE_READY"),"INCOMPLETE / NOT_COMPARABLE"))</f>
        <v/>
      </c>
      <c r="W32" s="6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6"/>
      <c r="I33" s="4"/>
      <c r="J33" s="4"/>
      <c r="K33" s="6"/>
      <c r="L33" s="6"/>
      <c r="M33" s="6"/>
      <c r="N33" s="6"/>
      <c r="O33" s="7" t="str">
        <f aca="false">IF(C33="","",IF(IFERROR(INDEX(05_Строки_КП!$O$4:$O$203,MATCH(C33,05_Строки_КП!$A$4:$A$203,0)),"")="READY",IFERROR(INDEX(05_Строки_КП!$H$4:$H$203,MATCH(C33,05_Строки_КП!$A$4:$A$203,0)),""),""))</f>
        <v/>
      </c>
      <c r="P33" s="5" t="str">
        <f aca="false">IF(C33="","",IF(IFERROR(INDEX(05_Строки_КП!$O$4:$O$203,MATCH(C33,05_Строки_КП!$A$4:$A$203,0)),"")="READY",IFERROR(INDEX(05_Строки_КП!$L$4:$L$203,MATCH(C33,05_Строки_КП!$A$4:$A$203,0)),""),""))</f>
        <v/>
      </c>
      <c r="Q33" s="5" t="str">
        <f aca="false">IF(C33="","",IF(IFERROR(INDEX(05_Строки_КП!$O$4:$O$203,MATCH(C33,05_Строки_КП!$A$4:$A$203,0)),"")="READY",IFERROR(INDEX(05_Строки_КП!$M$4:$M$203,MATCH(C33,05_Строки_КП!$A$4:$A$203,0)),""),""))</f>
        <v/>
      </c>
      <c r="R33" s="7" t="str">
        <f aca="false">IF(OR(V33="SELECTED_READY",V33="COMPARABLE_READY"),O33*G33*H33+SUM(K33:N33),"")</f>
        <v/>
      </c>
      <c r="S33" s="4"/>
      <c r="T33" s="4"/>
      <c r="U33" s="6"/>
      <c r="V33" s="5" t="str">
        <f aca="false">IF(A33="","",IF(AND(COUNTIF(A$4:A$203,A33)=1,B33&lt;&gt;"",C33&lt;&gt;"",D33&lt;&gt;"",COUNTIF(05_Строки_КП!$A$4:$A$203,C33)=1,IFERROR(INDEX(05_Строки_КП!$C$4:$C$203,MATCH(C33,05_Строки_КП!$A$4:$A$203,0)),"")=D33,IFERROR(INDEX(05_Строки_КП!$O$4:$O$203,MATCH(C33,05_Строки_КП!$A$4:$A$203,0)),"")="READY",E33="COMPARABLE",F33&lt;&gt;"",COUNT(G33:H33)=2,G33&gt;0,H33&gt;0,I33&lt;&gt;"",J33&lt;&gt;"",COUNTIF(13_Источники!$A$4:$A$203,J33)=1,W33&lt;&gt;"",COUNTIF(13_Источники!$A$4:$A$203,W33)=1,COUNT(K33:N33)=4,ISNUMBER(O33),U33&lt;&gt;"",01_Основания!$B$8&lt;&gt;"",OR(01_Основания!$B$9="NET",01_Основания!$B$9="GROSS"),01_Основания!$B$10&lt;&gt;"",IF(AND(ISNUMBER(O33),ISNUMBER(G33),ISNUMBER(H33)),O33*G33*H33+SUM(K33:N33)&gt;=0,FALSE())),IF(S33="SELECTED",IF(AND(COUNTIFS(B$4:B$203,B33,S$4:S$203,"SELECTED")=1,T33&lt;&gt;""),"SELECTED_READY","SELECTION_ERROR"),"COMPARABLE_READY"),"INCOMPLETE / NOT_COMPARABLE"))</f>
        <v/>
      </c>
      <c r="W33" s="6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6"/>
      <c r="I34" s="4"/>
      <c r="J34" s="4"/>
      <c r="K34" s="6"/>
      <c r="L34" s="6"/>
      <c r="M34" s="6"/>
      <c r="N34" s="6"/>
      <c r="O34" s="7" t="str">
        <f aca="false">IF(C34="","",IF(IFERROR(INDEX(05_Строки_КП!$O$4:$O$203,MATCH(C34,05_Строки_КП!$A$4:$A$203,0)),"")="READY",IFERROR(INDEX(05_Строки_КП!$H$4:$H$203,MATCH(C34,05_Строки_КП!$A$4:$A$203,0)),""),""))</f>
        <v/>
      </c>
      <c r="P34" s="5" t="str">
        <f aca="false">IF(C34="","",IF(IFERROR(INDEX(05_Строки_КП!$O$4:$O$203,MATCH(C34,05_Строки_КП!$A$4:$A$203,0)),"")="READY",IFERROR(INDEX(05_Строки_КП!$L$4:$L$203,MATCH(C34,05_Строки_КП!$A$4:$A$203,0)),""),""))</f>
        <v/>
      </c>
      <c r="Q34" s="5" t="str">
        <f aca="false">IF(C34="","",IF(IFERROR(INDEX(05_Строки_КП!$O$4:$O$203,MATCH(C34,05_Строки_КП!$A$4:$A$203,0)),"")="READY",IFERROR(INDEX(05_Строки_КП!$M$4:$M$203,MATCH(C34,05_Строки_КП!$A$4:$A$203,0)),""),""))</f>
        <v/>
      </c>
      <c r="R34" s="7" t="str">
        <f aca="false">IF(OR(V34="SELECTED_READY",V34="COMPARABLE_READY"),O34*G34*H34+SUM(K34:N34),"")</f>
        <v/>
      </c>
      <c r="S34" s="4"/>
      <c r="T34" s="4"/>
      <c r="U34" s="6"/>
      <c r="V34" s="5" t="str">
        <f aca="false">IF(A34="","",IF(AND(COUNTIF(A$4:A$203,A34)=1,B34&lt;&gt;"",C34&lt;&gt;"",D34&lt;&gt;"",COUNTIF(05_Строки_КП!$A$4:$A$203,C34)=1,IFERROR(INDEX(05_Строки_КП!$C$4:$C$203,MATCH(C34,05_Строки_КП!$A$4:$A$203,0)),"")=D34,IFERROR(INDEX(05_Строки_КП!$O$4:$O$203,MATCH(C34,05_Строки_КП!$A$4:$A$203,0)),"")="READY",E34="COMPARABLE",F34&lt;&gt;"",COUNT(G34:H34)=2,G34&gt;0,H34&gt;0,I34&lt;&gt;"",J34&lt;&gt;"",COUNTIF(13_Источники!$A$4:$A$203,J34)=1,W34&lt;&gt;"",COUNTIF(13_Источники!$A$4:$A$203,W34)=1,COUNT(K34:N34)=4,ISNUMBER(O34),U34&lt;&gt;"",01_Основания!$B$8&lt;&gt;"",OR(01_Основания!$B$9="NET",01_Основания!$B$9="GROSS"),01_Основания!$B$10&lt;&gt;"",IF(AND(ISNUMBER(O34),ISNUMBER(G34),ISNUMBER(H34)),O34*G34*H34+SUM(K34:N34)&gt;=0,FALSE())),IF(S34="SELECTED",IF(AND(COUNTIFS(B$4:B$203,B34,S$4:S$203,"SELECTED")=1,T34&lt;&gt;""),"SELECTED_READY","SELECTION_ERROR"),"COMPARABLE_READY"),"INCOMPLETE / NOT_COMPARABLE"))</f>
        <v/>
      </c>
      <c r="W34" s="6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6"/>
      <c r="I35" s="4"/>
      <c r="J35" s="4"/>
      <c r="K35" s="6"/>
      <c r="L35" s="6"/>
      <c r="M35" s="6"/>
      <c r="N35" s="6"/>
      <c r="O35" s="7" t="str">
        <f aca="false">IF(C35="","",IF(IFERROR(INDEX(05_Строки_КП!$O$4:$O$203,MATCH(C35,05_Строки_КП!$A$4:$A$203,0)),"")="READY",IFERROR(INDEX(05_Строки_КП!$H$4:$H$203,MATCH(C35,05_Строки_КП!$A$4:$A$203,0)),""),""))</f>
        <v/>
      </c>
      <c r="P35" s="5" t="str">
        <f aca="false">IF(C35="","",IF(IFERROR(INDEX(05_Строки_КП!$O$4:$O$203,MATCH(C35,05_Строки_КП!$A$4:$A$203,0)),"")="READY",IFERROR(INDEX(05_Строки_КП!$L$4:$L$203,MATCH(C35,05_Строки_КП!$A$4:$A$203,0)),""),""))</f>
        <v/>
      </c>
      <c r="Q35" s="5" t="str">
        <f aca="false">IF(C35="","",IF(IFERROR(INDEX(05_Строки_КП!$O$4:$O$203,MATCH(C35,05_Строки_КП!$A$4:$A$203,0)),"")="READY",IFERROR(INDEX(05_Строки_КП!$M$4:$M$203,MATCH(C35,05_Строки_КП!$A$4:$A$203,0)),""),""))</f>
        <v/>
      </c>
      <c r="R35" s="7" t="str">
        <f aca="false">IF(OR(V35="SELECTED_READY",V35="COMPARABLE_READY"),O35*G35*H35+SUM(K35:N35),"")</f>
        <v/>
      </c>
      <c r="S35" s="4"/>
      <c r="T35" s="4"/>
      <c r="U35" s="6"/>
      <c r="V35" s="5" t="str">
        <f aca="false">IF(A35="","",IF(AND(COUNTIF(A$4:A$203,A35)=1,B35&lt;&gt;"",C35&lt;&gt;"",D35&lt;&gt;"",COUNTIF(05_Строки_КП!$A$4:$A$203,C35)=1,IFERROR(INDEX(05_Строки_КП!$C$4:$C$203,MATCH(C35,05_Строки_КП!$A$4:$A$203,0)),"")=D35,IFERROR(INDEX(05_Строки_КП!$O$4:$O$203,MATCH(C35,05_Строки_КП!$A$4:$A$203,0)),"")="READY",E35="COMPARABLE",F35&lt;&gt;"",COUNT(G35:H35)=2,G35&gt;0,H35&gt;0,I35&lt;&gt;"",J35&lt;&gt;"",COUNTIF(13_Источники!$A$4:$A$203,J35)=1,W35&lt;&gt;"",COUNTIF(13_Источники!$A$4:$A$203,W35)=1,COUNT(K35:N35)=4,ISNUMBER(O35),U35&lt;&gt;"",01_Основания!$B$8&lt;&gt;"",OR(01_Основания!$B$9="NET",01_Основания!$B$9="GROSS"),01_Основания!$B$10&lt;&gt;"",IF(AND(ISNUMBER(O35),ISNUMBER(G35),ISNUMBER(H35)),O35*G35*H35+SUM(K35:N35)&gt;=0,FALSE())),IF(S35="SELECTED",IF(AND(COUNTIFS(B$4:B$203,B35,S$4:S$203,"SELECTED")=1,T35&lt;&gt;""),"SELECTED_READY","SELECTION_ERROR"),"COMPARABLE_READY"),"INCOMPLETE / NOT_COMPARABLE"))</f>
        <v/>
      </c>
      <c r="W35" s="6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6"/>
      <c r="I36" s="4"/>
      <c r="J36" s="4"/>
      <c r="K36" s="6"/>
      <c r="L36" s="6"/>
      <c r="M36" s="6"/>
      <c r="N36" s="6"/>
      <c r="O36" s="7" t="str">
        <f aca="false">IF(C36="","",IF(IFERROR(INDEX(05_Строки_КП!$O$4:$O$203,MATCH(C36,05_Строки_КП!$A$4:$A$203,0)),"")="READY",IFERROR(INDEX(05_Строки_КП!$H$4:$H$203,MATCH(C36,05_Строки_КП!$A$4:$A$203,0)),""),""))</f>
        <v/>
      </c>
      <c r="P36" s="5" t="str">
        <f aca="false">IF(C36="","",IF(IFERROR(INDEX(05_Строки_КП!$O$4:$O$203,MATCH(C36,05_Строки_КП!$A$4:$A$203,0)),"")="READY",IFERROR(INDEX(05_Строки_КП!$L$4:$L$203,MATCH(C36,05_Строки_КП!$A$4:$A$203,0)),""),""))</f>
        <v/>
      </c>
      <c r="Q36" s="5" t="str">
        <f aca="false">IF(C36="","",IF(IFERROR(INDEX(05_Строки_КП!$O$4:$O$203,MATCH(C36,05_Строки_КП!$A$4:$A$203,0)),"")="READY",IFERROR(INDEX(05_Строки_КП!$M$4:$M$203,MATCH(C36,05_Строки_КП!$A$4:$A$203,0)),""),""))</f>
        <v/>
      </c>
      <c r="R36" s="7" t="str">
        <f aca="false">IF(OR(V36="SELECTED_READY",V36="COMPARABLE_READY"),O36*G36*H36+SUM(K36:N36),"")</f>
        <v/>
      </c>
      <c r="S36" s="4"/>
      <c r="T36" s="4"/>
      <c r="U36" s="6"/>
      <c r="V36" s="5" t="str">
        <f aca="false">IF(A36="","",IF(AND(COUNTIF(A$4:A$203,A36)=1,B36&lt;&gt;"",C36&lt;&gt;"",D36&lt;&gt;"",COUNTIF(05_Строки_КП!$A$4:$A$203,C36)=1,IFERROR(INDEX(05_Строки_КП!$C$4:$C$203,MATCH(C36,05_Строки_КП!$A$4:$A$203,0)),"")=D36,IFERROR(INDEX(05_Строки_КП!$O$4:$O$203,MATCH(C36,05_Строки_КП!$A$4:$A$203,0)),"")="READY",E36="COMPARABLE",F36&lt;&gt;"",COUNT(G36:H36)=2,G36&gt;0,H36&gt;0,I36&lt;&gt;"",J36&lt;&gt;"",COUNTIF(13_Источники!$A$4:$A$203,J36)=1,W36&lt;&gt;"",COUNTIF(13_Источники!$A$4:$A$203,W36)=1,COUNT(K36:N36)=4,ISNUMBER(O36),U36&lt;&gt;"",01_Основания!$B$8&lt;&gt;"",OR(01_Основания!$B$9="NET",01_Основания!$B$9="GROSS"),01_Основания!$B$10&lt;&gt;"",IF(AND(ISNUMBER(O36),ISNUMBER(G36),ISNUMBER(H36)),O36*G36*H36+SUM(K36:N36)&gt;=0,FALSE())),IF(S36="SELECTED",IF(AND(COUNTIFS(B$4:B$203,B36,S$4:S$203,"SELECTED")=1,T36&lt;&gt;""),"SELECTED_READY","SELECTION_ERROR"),"COMPARABLE_READY"),"INCOMPLETE / NOT_COMPARABLE"))</f>
        <v/>
      </c>
      <c r="W36" s="6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6"/>
      <c r="I37" s="4"/>
      <c r="J37" s="4"/>
      <c r="K37" s="6"/>
      <c r="L37" s="6"/>
      <c r="M37" s="6"/>
      <c r="N37" s="6"/>
      <c r="O37" s="7" t="str">
        <f aca="false">IF(C37="","",IF(IFERROR(INDEX(05_Строки_КП!$O$4:$O$203,MATCH(C37,05_Строки_КП!$A$4:$A$203,0)),"")="READY",IFERROR(INDEX(05_Строки_КП!$H$4:$H$203,MATCH(C37,05_Строки_КП!$A$4:$A$203,0)),""),""))</f>
        <v/>
      </c>
      <c r="P37" s="5" t="str">
        <f aca="false">IF(C37="","",IF(IFERROR(INDEX(05_Строки_КП!$O$4:$O$203,MATCH(C37,05_Строки_КП!$A$4:$A$203,0)),"")="READY",IFERROR(INDEX(05_Строки_КП!$L$4:$L$203,MATCH(C37,05_Строки_КП!$A$4:$A$203,0)),""),""))</f>
        <v/>
      </c>
      <c r="Q37" s="5" t="str">
        <f aca="false">IF(C37="","",IF(IFERROR(INDEX(05_Строки_КП!$O$4:$O$203,MATCH(C37,05_Строки_КП!$A$4:$A$203,0)),"")="READY",IFERROR(INDEX(05_Строки_КП!$M$4:$M$203,MATCH(C37,05_Строки_КП!$A$4:$A$203,0)),""),""))</f>
        <v/>
      </c>
      <c r="R37" s="7" t="str">
        <f aca="false">IF(OR(V37="SELECTED_READY",V37="COMPARABLE_READY"),O37*G37*H37+SUM(K37:N37),"")</f>
        <v/>
      </c>
      <c r="S37" s="4"/>
      <c r="T37" s="4"/>
      <c r="U37" s="6"/>
      <c r="V37" s="5" t="str">
        <f aca="false">IF(A37="","",IF(AND(COUNTIF(A$4:A$203,A37)=1,B37&lt;&gt;"",C37&lt;&gt;"",D37&lt;&gt;"",COUNTIF(05_Строки_КП!$A$4:$A$203,C37)=1,IFERROR(INDEX(05_Строки_КП!$C$4:$C$203,MATCH(C37,05_Строки_КП!$A$4:$A$203,0)),"")=D37,IFERROR(INDEX(05_Строки_КП!$O$4:$O$203,MATCH(C37,05_Строки_КП!$A$4:$A$203,0)),"")="READY",E37="COMPARABLE",F37&lt;&gt;"",COUNT(G37:H37)=2,G37&gt;0,H37&gt;0,I37&lt;&gt;"",J37&lt;&gt;"",COUNTIF(13_Источники!$A$4:$A$203,J37)=1,W37&lt;&gt;"",COUNTIF(13_Источники!$A$4:$A$203,W37)=1,COUNT(K37:N37)=4,ISNUMBER(O37),U37&lt;&gt;"",01_Основания!$B$8&lt;&gt;"",OR(01_Основания!$B$9="NET",01_Основания!$B$9="GROSS"),01_Основания!$B$10&lt;&gt;"",IF(AND(ISNUMBER(O37),ISNUMBER(G37),ISNUMBER(H37)),O37*G37*H37+SUM(K37:N37)&gt;=0,FALSE())),IF(S37="SELECTED",IF(AND(COUNTIFS(B$4:B$203,B37,S$4:S$203,"SELECTED")=1,T37&lt;&gt;""),"SELECTED_READY","SELECTION_ERROR"),"COMPARABLE_READY"),"INCOMPLETE / NOT_COMPARABLE"))</f>
        <v/>
      </c>
      <c r="W37" s="6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6"/>
      <c r="I38" s="4"/>
      <c r="J38" s="4"/>
      <c r="K38" s="6"/>
      <c r="L38" s="6"/>
      <c r="M38" s="6"/>
      <c r="N38" s="6"/>
      <c r="O38" s="7" t="str">
        <f aca="false">IF(C38="","",IF(IFERROR(INDEX(05_Строки_КП!$O$4:$O$203,MATCH(C38,05_Строки_КП!$A$4:$A$203,0)),"")="READY",IFERROR(INDEX(05_Строки_КП!$H$4:$H$203,MATCH(C38,05_Строки_КП!$A$4:$A$203,0)),""),""))</f>
        <v/>
      </c>
      <c r="P38" s="5" t="str">
        <f aca="false">IF(C38="","",IF(IFERROR(INDEX(05_Строки_КП!$O$4:$O$203,MATCH(C38,05_Строки_КП!$A$4:$A$203,0)),"")="READY",IFERROR(INDEX(05_Строки_КП!$L$4:$L$203,MATCH(C38,05_Строки_КП!$A$4:$A$203,0)),""),""))</f>
        <v/>
      </c>
      <c r="Q38" s="5" t="str">
        <f aca="false">IF(C38="","",IF(IFERROR(INDEX(05_Строки_КП!$O$4:$O$203,MATCH(C38,05_Строки_КП!$A$4:$A$203,0)),"")="READY",IFERROR(INDEX(05_Строки_КП!$M$4:$M$203,MATCH(C38,05_Строки_КП!$A$4:$A$203,0)),""),""))</f>
        <v/>
      </c>
      <c r="R38" s="7" t="str">
        <f aca="false">IF(OR(V38="SELECTED_READY",V38="COMPARABLE_READY"),O38*G38*H38+SUM(K38:N38),"")</f>
        <v/>
      </c>
      <c r="S38" s="4"/>
      <c r="T38" s="4"/>
      <c r="U38" s="6"/>
      <c r="V38" s="5" t="str">
        <f aca="false">IF(A38="","",IF(AND(COUNTIF(A$4:A$203,A38)=1,B38&lt;&gt;"",C38&lt;&gt;"",D38&lt;&gt;"",COUNTIF(05_Строки_КП!$A$4:$A$203,C38)=1,IFERROR(INDEX(05_Строки_КП!$C$4:$C$203,MATCH(C38,05_Строки_КП!$A$4:$A$203,0)),"")=D38,IFERROR(INDEX(05_Строки_КП!$O$4:$O$203,MATCH(C38,05_Строки_КП!$A$4:$A$203,0)),"")="READY",E38="COMPARABLE",F38&lt;&gt;"",COUNT(G38:H38)=2,G38&gt;0,H38&gt;0,I38&lt;&gt;"",J38&lt;&gt;"",COUNTIF(13_Источники!$A$4:$A$203,J38)=1,W38&lt;&gt;"",COUNTIF(13_Источники!$A$4:$A$203,W38)=1,COUNT(K38:N38)=4,ISNUMBER(O38),U38&lt;&gt;"",01_Основания!$B$8&lt;&gt;"",OR(01_Основания!$B$9="NET",01_Основания!$B$9="GROSS"),01_Основания!$B$10&lt;&gt;"",IF(AND(ISNUMBER(O38),ISNUMBER(G38),ISNUMBER(H38)),O38*G38*H38+SUM(K38:N38)&gt;=0,FALSE())),IF(S38="SELECTED",IF(AND(COUNTIFS(B$4:B$203,B38,S$4:S$203,"SELECTED")=1,T38&lt;&gt;""),"SELECTED_READY","SELECTION_ERROR"),"COMPARABLE_READY"),"INCOMPLETE / NOT_COMPARABLE"))</f>
        <v/>
      </c>
      <c r="W38" s="6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6"/>
      <c r="I39" s="4"/>
      <c r="J39" s="4"/>
      <c r="K39" s="6"/>
      <c r="L39" s="6"/>
      <c r="M39" s="6"/>
      <c r="N39" s="6"/>
      <c r="O39" s="7" t="str">
        <f aca="false">IF(C39="","",IF(IFERROR(INDEX(05_Строки_КП!$O$4:$O$203,MATCH(C39,05_Строки_КП!$A$4:$A$203,0)),"")="READY",IFERROR(INDEX(05_Строки_КП!$H$4:$H$203,MATCH(C39,05_Строки_КП!$A$4:$A$203,0)),""),""))</f>
        <v/>
      </c>
      <c r="P39" s="5" t="str">
        <f aca="false">IF(C39="","",IF(IFERROR(INDEX(05_Строки_КП!$O$4:$O$203,MATCH(C39,05_Строки_КП!$A$4:$A$203,0)),"")="READY",IFERROR(INDEX(05_Строки_КП!$L$4:$L$203,MATCH(C39,05_Строки_КП!$A$4:$A$203,0)),""),""))</f>
        <v/>
      </c>
      <c r="Q39" s="5" t="str">
        <f aca="false">IF(C39="","",IF(IFERROR(INDEX(05_Строки_КП!$O$4:$O$203,MATCH(C39,05_Строки_КП!$A$4:$A$203,0)),"")="READY",IFERROR(INDEX(05_Строки_КП!$M$4:$M$203,MATCH(C39,05_Строки_КП!$A$4:$A$203,0)),""),""))</f>
        <v/>
      </c>
      <c r="R39" s="7" t="str">
        <f aca="false">IF(OR(V39="SELECTED_READY",V39="COMPARABLE_READY"),O39*G39*H39+SUM(K39:N39),"")</f>
        <v/>
      </c>
      <c r="S39" s="4"/>
      <c r="T39" s="4"/>
      <c r="U39" s="6"/>
      <c r="V39" s="5" t="str">
        <f aca="false">IF(A39="","",IF(AND(COUNTIF(A$4:A$203,A39)=1,B39&lt;&gt;"",C39&lt;&gt;"",D39&lt;&gt;"",COUNTIF(05_Строки_КП!$A$4:$A$203,C39)=1,IFERROR(INDEX(05_Строки_КП!$C$4:$C$203,MATCH(C39,05_Строки_КП!$A$4:$A$203,0)),"")=D39,IFERROR(INDEX(05_Строки_КП!$O$4:$O$203,MATCH(C39,05_Строки_КП!$A$4:$A$203,0)),"")="READY",E39="COMPARABLE",F39&lt;&gt;"",COUNT(G39:H39)=2,G39&gt;0,H39&gt;0,I39&lt;&gt;"",J39&lt;&gt;"",COUNTIF(13_Источники!$A$4:$A$203,J39)=1,W39&lt;&gt;"",COUNTIF(13_Источники!$A$4:$A$203,W39)=1,COUNT(K39:N39)=4,ISNUMBER(O39),U39&lt;&gt;"",01_Основания!$B$8&lt;&gt;"",OR(01_Основания!$B$9="NET",01_Основания!$B$9="GROSS"),01_Основания!$B$10&lt;&gt;"",IF(AND(ISNUMBER(O39),ISNUMBER(G39),ISNUMBER(H39)),O39*G39*H39+SUM(K39:N39)&gt;=0,FALSE())),IF(S39="SELECTED",IF(AND(COUNTIFS(B$4:B$203,B39,S$4:S$203,"SELECTED")=1,T39&lt;&gt;""),"SELECTED_READY","SELECTION_ERROR"),"COMPARABLE_READY"),"INCOMPLETE / NOT_COMPARABLE"))</f>
        <v/>
      </c>
      <c r="W39" s="6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6"/>
      <c r="I40" s="4"/>
      <c r="J40" s="4"/>
      <c r="K40" s="6"/>
      <c r="L40" s="6"/>
      <c r="M40" s="6"/>
      <c r="N40" s="6"/>
      <c r="O40" s="7" t="str">
        <f aca="false">IF(C40="","",IF(IFERROR(INDEX(05_Строки_КП!$O$4:$O$203,MATCH(C40,05_Строки_КП!$A$4:$A$203,0)),"")="READY",IFERROR(INDEX(05_Строки_КП!$H$4:$H$203,MATCH(C40,05_Строки_КП!$A$4:$A$203,0)),""),""))</f>
        <v/>
      </c>
      <c r="P40" s="5" t="str">
        <f aca="false">IF(C40="","",IF(IFERROR(INDEX(05_Строки_КП!$O$4:$O$203,MATCH(C40,05_Строки_КП!$A$4:$A$203,0)),"")="READY",IFERROR(INDEX(05_Строки_КП!$L$4:$L$203,MATCH(C40,05_Строки_КП!$A$4:$A$203,0)),""),""))</f>
        <v/>
      </c>
      <c r="Q40" s="5" t="str">
        <f aca="false">IF(C40="","",IF(IFERROR(INDEX(05_Строки_КП!$O$4:$O$203,MATCH(C40,05_Строки_КП!$A$4:$A$203,0)),"")="READY",IFERROR(INDEX(05_Строки_КП!$M$4:$M$203,MATCH(C40,05_Строки_КП!$A$4:$A$203,0)),""),""))</f>
        <v/>
      </c>
      <c r="R40" s="7" t="str">
        <f aca="false">IF(OR(V40="SELECTED_READY",V40="COMPARABLE_READY"),O40*G40*H40+SUM(K40:N40),"")</f>
        <v/>
      </c>
      <c r="S40" s="4"/>
      <c r="T40" s="4"/>
      <c r="U40" s="6"/>
      <c r="V40" s="5" t="str">
        <f aca="false">IF(A40="","",IF(AND(COUNTIF(A$4:A$203,A40)=1,B40&lt;&gt;"",C40&lt;&gt;"",D40&lt;&gt;"",COUNTIF(05_Строки_КП!$A$4:$A$203,C40)=1,IFERROR(INDEX(05_Строки_КП!$C$4:$C$203,MATCH(C40,05_Строки_КП!$A$4:$A$203,0)),"")=D40,IFERROR(INDEX(05_Строки_КП!$O$4:$O$203,MATCH(C40,05_Строки_КП!$A$4:$A$203,0)),"")="READY",E40="COMPARABLE",F40&lt;&gt;"",COUNT(G40:H40)=2,G40&gt;0,H40&gt;0,I40&lt;&gt;"",J40&lt;&gt;"",COUNTIF(13_Источники!$A$4:$A$203,J40)=1,W40&lt;&gt;"",COUNTIF(13_Источники!$A$4:$A$203,W40)=1,COUNT(K40:N40)=4,ISNUMBER(O40),U40&lt;&gt;"",01_Основания!$B$8&lt;&gt;"",OR(01_Основания!$B$9="NET",01_Основания!$B$9="GROSS"),01_Основания!$B$10&lt;&gt;"",IF(AND(ISNUMBER(O40),ISNUMBER(G40),ISNUMBER(H40)),O40*G40*H40+SUM(K40:N40)&gt;=0,FALSE())),IF(S40="SELECTED",IF(AND(COUNTIFS(B$4:B$203,B40,S$4:S$203,"SELECTED")=1,T40&lt;&gt;""),"SELECTED_READY","SELECTION_ERROR"),"COMPARABLE_READY"),"INCOMPLETE / NOT_COMPARABLE"))</f>
        <v/>
      </c>
      <c r="W40" s="6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6"/>
      <c r="I41" s="4"/>
      <c r="J41" s="4"/>
      <c r="K41" s="6"/>
      <c r="L41" s="6"/>
      <c r="M41" s="6"/>
      <c r="N41" s="6"/>
      <c r="O41" s="7" t="str">
        <f aca="false">IF(C41="","",IF(IFERROR(INDEX(05_Строки_КП!$O$4:$O$203,MATCH(C41,05_Строки_КП!$A$4:$A$203,0)),"")="READY",IFERROR(INDEX(05_Строки_КП!$H$4:$H$203,MATCH(C41,05_Строки_КП!$A$4:$A$203,0)),""),""))</f>
        <v/>
      </c>
      <c r="P41" s="5" t="str">
        <f aca="false">IF(C41="","",IF(IFERROR(INDEX(05_Строки_КП!$O$4:$O$203,MATCH(C41,05_Строки_КП!$A$4:$A$203,0)),"")="READY",IFERROR(INDEX(05_Строки_КП!$L$4:$L$203,MATCH(C41,05_Строки_КП!$A$4:$A$203,0)),""),""))</f>
        <v/>
      </c>
      <c r="Q41" s="5" t="str">
        <f aca="false">IF(C41="","",IF(IFERROR(INDEX(05_Строки_КП!$O$4:$O$203,MATCH(C41,05_Строки_КП!$A$4:$A$203,0)),"")="READY",IFERROR(INDEX(05_Строки_КП!$M$4:$M$203,MATCH(C41,05_Строки_КП!$A$4:$A$203,0)),""),""))</f>
        <v/>
      </c>
      <c r="R41" s="7" t="str">
        <f aca="false">IF(OR(V41="SELECTED_READY",V41="COMPARABLE_READY"),O41*G41*H41+SUM(K41:N41),"")</f>
        <v/>
      </c>
      <c r="S41" s="4"/>
      <c r="T41" s="4"/>
      <c r="U41" s="6"/>
      <c r="V41" s="5" t="str">
        <f aca="false">IF(A41="","",IF(AND(COUNTIF(A$4:A$203,A41)=1,B41&lt;&gt;"",C41&lt;&gt;"",D41&lt;&gt;"",COUNTIF(05_Строки_КП!$A$4:$A$203,C41)=1,IFERROR(INDEX(05_Строки_КП!$C$4:$C$203,MATCH(C41,05_Строки_КП!$A$4:$A$203,0)),"")=D41,IFERROR(INDEX(05_Строки_КП!$O$4:$O$203,MATCH(C41,05_Строки_КП!$A$4:$A$203,0)),"")="READY",E41="COMPARABLE",F41&lt;&gt;"",COUNT(G41:H41)=2,G41&gt;0,H41&gt;0,I41&lt;&gt;"",J41&lt;&gt;"",COUNTIF(13_Источники!$A$4:$A$203,J41)=1,W41&lt;&gt;"",COUNTIF(13_Источники!$A$4:$A$203,W41)=1,COUNT(K41:N41)=4,ISNUMBER(O41),U41&lt;&gt;"",01_Основания!$B$8&lt;&gt;"",OR(01_Основания!$B$9="NET",01_Основания!$B$9="GROSS"),01_Основания!$B$10&lt;&gt;"",IF(AND(ISNUMBER(O41),ISNUMBER(G41),ISNUMBER(H41)),O41*G41*H41+SUM(K41:N41)&gt;=0,FALSE())),IF(S41="SELECTED",IF(AND(COUNTIFS(B$4:B$203,B41,S$4:S$203,"SELECTED")=1,T41&lt;&gt;""),"SELECTED_READY","SELECTION_ERROR"),"COMPARABLE_READY"),"INCOMPLETE / NOT_COMPARABLE"))</f>
        <v/>
      </c>
      <c r="W41" s="6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6"/>
      <c r="I42" s="4"/>
      <c r="J42" s="4"/>
      <c r="K42" s="6"/>
      <c r="L42" s="6"/>
      <c r="M42" s="6"/>
      <c r="N42" s="6"/>
      <c r="O42" s="7" t="str">
        <f aca="false">IF(C42="","",IF(IFERROR(INDEX(05_Строки_КП!$O$4:$O$203,MATCH(C42,05_Строки_КП!$A$4:$A$203,0)),"")="READY",IFERROR(INDEX(05_Строки_КП!$H$4:$H$203,MATCH(C42,05_Строки_КП!$A$4:$A$203,0)),""),""))</f>
        <v/>
      </c>
      <c r="P42" s="5" t="str">
        <f aca="false">IF(C42="","",IF(IFERROR(INDEX(05_Строки_КП!$O$4:$O$203,MATCH(C42,05_Строки_КП!$A$4:$A$203,0)),"")="READY",IFERROR(INDEX(05_Строки_КП!$L$4:$L$203,MATCH(C42,05_Строки_КП!$A$4:$A$203,0)),""),""))</f>
        <v/>
      </c>
      <c r="Q42" s="5" t="str">
        <f aca="false">IF(C42="","",IF(IFERROR(INDEX(05_Строки_КП!$O$4:$O$203,MATCH(C42,05_Строки_КП!$A$4:$A$203,0)),"")="READY",IFERROR(INDEX(05_Строки_КП!$M$4:$M$203,MATCH(C42,05_Строки_КП!$A$4:$A$203,0)),""),""))</f>
        <v/>
      </c>
      <c r="R42" s="7" t="str">
        <f aca="false">IF(OR(V42="SELECTED_READY",V42="COMPARABLE_READY"),O42*G42*H42+SUM(K42:N42),"")</f>
        <v/>
      </c>
      <c r="S42" s="4"/>
      <c r="T42" s="4"/>
      <c r="U42" s="6"/>
      <c r="V42" s="5" t="str">
        <f aca="false">IF(A42="","",IF(AND(COUNTIF(A$4:A$203,A42)=1,B42&lt;&gt;"",C42&lt;&gt;"",D42&lt;&gt;"",COUNTIF(05_Строки_КП!$A$4:$A$203,C42)=1,IFERROR(INDEX(05_Строки_КП!$C$4:$C$203,MATCH(C42,05_Строки_КП!$A$4:$A$203,0)),"")=D42,IFERROR(INDEX(05_Строки_КП!$O$4:$O$203,MATCH(C42,05_Строки_КП!$A$4:$A$203,0)),"")="READY",E42="COMPARABLE",F42&lt;&gt;"",COUNT(G42:H42)=2,G42&gt;0,H42&gt;0,I42&lt;&gt;"",J42&lt;&gt;"",COUNTIF(13_Источники!$A$4:$A$203,J42)=1,W42&lt;&gt;"",COUNTIF(13_Источники!$A$4:$A$203,W42)=1,COUNT(K42:N42)=4,ISNUMBER(O42),U42&lt;&gt;"",01_Основания!$B$8&lt;&gt;"",OR(01_Основания!$B$9="NET",01_Основания!$B$9="GROSS"),01_Основания!$B$10&lt;&gt;"",IF(AND(ISNUMBER(O42),ISNUMBER(G42),ISNUMBER(H42)),O42*G42*H42+SUM(K42:N42)&gt;=0,FALSE())),IF(S42="SELECTED",IF(AND(COUNTIFS(B$4:B$203,B42,S$4:S$203,"SELECTED")=1,T42&lt;&gt;""),"SELECTED_READY","SELECTION_ERROR"),"COMPARABLE_READY"),"INCOMPLETE / NOT_COMPARABLE"))</f>
        <v/>
      </c>
      <c r="W42" s="6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6"/>
      <c r="I43" s="4"/>
      <c r="J43" s="4"/>
      <c r="K43" s="6"/>
      <c r="L43" s="6"/>
      <c r="M43" s="6"/>
      <c r="N43" s="6"/>
      <c r="O43" s="7" t="str">
        <f aca="false">IF(C43="","",IF(IFERROR(INDEX(05_Строки_КП!$O$4:$O$203,MATCH(C43,05_Строки_КП!$A$4:$A$203,0)),"")="READY",IFERROR(INDEX(05_Строки_КП!$H$4:$H$203,MATCH(C43,05_Строки_КП!$A$4:$A$203,0)),""),""))</f>
        <v/>
      </c>
      <c r="P43" s="5" t="str">
        <f aca="false">IF(C43="","",IF(IFERROR(INDEX(05_Строки_КП!$O$4:$O$203,MATCH(C43,05_Строки_КП!$A$4:$A$203,0)),"")="READY",IFERROR(INDEX(05_Строки_КП!$L$4:$L$203,MATCH(C43,05_Строки_КП!$A$4:$A$203,0)),""),""))</f>
        <v/>
      </c>
      <c r="Q43" s="5" t="str">
        <f aca="false">IF(C43="","",IF(IFERROR(INDEX(05_Строки_КП!$O$4:$O$203,MATCH(C43,05_Строки_КП!$A$4:$A$203,0)),"")="READY",IFERROR(INDEX(05_Строки_КП!$M$4:$M$203,MATCH(C43,05_Строки_КП!$A$4:$A$203,0)),""),""))</f>
        <v/>
      </c>
      <c r="R43" s="7" t="str">
        <f aca="false">IF(OR(V43="SELECTED_READY",V43="COMPARABLE_READY"),O43*G43*H43+SUM(K43:N43),"")</f>
        <v/>
      </c>
      <c r="S43" s="4"/>
      <c r="T43" s="4"/>
      <c r="U43" s="6"/>
      <c r="V43" s="5" t="str">
        <f aca="false">IF(A43="","",IF(AND(COUNTIF(A$4:A$203,A43)=1,B43&lt;&gt;"",C43&lt;&gt;"",D43&lt;&gt;"",COUNTIF(05_Строки_КП!$A$4:$A$203,C43)=1,IFERROR(INDEX(05_Строки_КП!$C$4:$C$203,MATCH(C43,05_Строки_КП!$A$4:$A$203,0)),"")=D43,IFERROR(INDEX(05_Строки_КП!$O$4:$O$203,MATCH(C43,05_Строки_КП!$A$4:$A$203,0)),"")="READY",E43="COMPARABLE",F43&lt;&gt;"",COUNT(G43:H43)=2,G43&gt;0,H43&gt;0,I43&lt;&gt;"",J43&lt;&gt;"",COUNTIF(13_Источники!$A$4:$A$203,J43)=1,W43&lt;&gt;"",COUNTIF(13_Источники!$A$4:$A$203,W43)=1,COUNT(K43:N43)=4,ISNUMBER(O43),U43&lt;&gt;"",01_Основания!$B$8&lt;&gt;"",OR(01_Основания!$B$9="NET",01_Основания!$B$9="GROSS"),01_Основания!$B$10&lt;&gt;"",IF(AND(ISNUMBER(O43),ISNUMBER(G43),ISNUMBER(H43)),O43*G43*H43+SUM(K43:N43)&gt;=0,FALSE())),IF(S43="SELECTED",IF(AND(COUNTIFS(B$4:B$203,B43,S$4:S$203,"SELECTED")=1,T43&lt;&gt;""),"SELECTED_READY","SELECTION_ERROR"),"COMPARABLE_READY"),"INCOMPLETE / NOT_COMPARABLE"))</f>
        <v/>
      </c>
      <c r="W43" s="6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6"/>
      <c r="I44" s="4"/>
      <c r="J44" s="4"/>
      <c r="K44" s="6"/>
      <c r="L44" s="6"/>
      <c r="M44" s="6"/>
      <c r="N44" s="6"/>
      <c r="O44" s="7" t="str">
        <f aca="false">IF(C44="","",IF(IFERROR(INDEX(05_Строки_КП!$O$4:$O$203,MATCH(C44,05_Строки_КП!$A$4:$A$203,0)),"")="READY",IFERROR(INDEX(05_Строки_КП!$H$4:$H$203,MATCH(C44,05_Строки_КП!$A$4:$A$203,0)),""),""))</f>
        <v/>
      </c>
      <c r="P44" s="5" t="str">
        <f aca="false">IF(C44="","",IF(IFERROR(INDEX(05_Строки_КП!$O$4:$O$203,MATCH(C44,05_Строки_КП!$A$4:$A$203,0)),"")="READY",IFERROR(INDEX(05_Строки_КП!$L$4:$L$203,MATCH(C44,05_Строки_КП!$A$4:$A$203,0)),""),""))</f>
        <v/>
      </c>
      <c r="Q44" s="5" t="str">
        <f aca="false">IF(C44="","",IF(IFERROR(INDEX(05_Строки_КП!$O$4:$O$203,MATCH(C44,05_Строки_КП!$A$4:$A$203,0)),"")="READY",IFERROR(INDEX(05_Строки_КП!$M$4:$M$203,MATCH(C44,05_Строки_КП!$A$4:$A$203,0)),""),""))</f>
        <v/>
      </c>
      <c r="R44" s="7" t="str">
        <f aca="false">IF(OR(V44="SELECTED_READY",V44="COMPARABLE_READY"),O44*G44*H44+SUM(K44:N44),"")</f>
        <v/>
      </c>
      <c r="S44" s="4"/>
      <c r="T44" s="4"/>
      <c r="U44" s="6"/>
      <c r="V44" s="5" t="str">
        <f aca="false">IF(A44="","",IF(AND(COUNTIF(A$4:A$203,A44)=1,B44&lt;&gt;"",C44&lt;&gt;"",D44&lt;&gt;"",COUNTIF(05_Строки_КП!$A$4:$A$203,C44)=1,IFERROR(INDEX(05_Строки_КП!$C$4:$C$203,MATCH(C44,05_Строки_КП!$A$4:$A$203,0)),"")=D44,IFERROR(INDEX(05_Строки_КП!$O$4:$O$203,MATCH(C44,05_Строки_КП!$A$4:$A$203,0)),"")="READY",E44="COMPARABLE",F44&lt;&gt;"",COUNT(G44:H44)=2,G44&gt;0,H44&gt;0,I44&lt;&gt;"",J44&lt;&gt;"",COUNTIF(13_Источники!$A$4:$A$203,J44)=1,W44&lt;&gt;"",COUNTIF(13_Источники!$A$4:$A$203,W44)=1,COUNT(K44:N44)=4,ISNUMBER(O44),U44&lt;&gt;"",01_Основания!$B$8&lt;&gt;"",OR(01_Основания!$B$9="NET",01_Основания!$B$9="GROSS"),01_Основания!$B$10&lt;&gt;"",IF(AND(ISNUMBER(O44),ISNUMBER(G44),ISNUMBER(H44)),O44*G44*H44+SUM(K44:N44)&gt;=0,FALSE())),IF(S44="SELECTED",IF(AND(COUNTIFS(B$4:B$203,B44,S$4:S$203,"SELECTED")=1,T44&lt;&gt;""),"SELECTED_READY","SELECTION_ERROR"),"COMPARABLE_READY"),"INCOMPLETE / NOT_COMPARABLE"))</f>
        <v/>
      </c>
      <c r="W44" s="6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6"/>
      <c r="I45" s="4"/>
      <c r="J45" s="4"/>
      <c r="K45" s="6"/>
      <c r="L45" s="6"/>
      <c r="M45" s="6"/>
      <c r="N45" s="6"/>
      <c r="O45" s="7" t="str">
        <f aca="false">IF(C45="","",IF(IFERROR(INDEX(05_Строки_КП!$O$4:$O$203,MATCH(C45,05_Строки_КП!$A$4:$A$203,0)),"")="READY",IFERROR(INDEX(05_Строки_КП!$H$4:$H$203,MATCH(C45,05_Строки_КП!$A$4:$A$203,0)),""),""))</f>
        <v/>
      </c>
      <c r="P45" s="5" t="str">
        <f aca="false">IF(C45="","",IF(IFERROR(INDEX(05_Строки_КП!$O$4:$O$203,MATCH(C45,05_Строки_КП!$A$4:$A$203,0)),"")="READY",IFERROR(INDEX(05_Строки_КП!$L$4:$L$203,MATCH(C45,05_Строки_КП!$A$4:$A$203,0)),""),""))</f>
        <v/>
      </c>
      <c r="Q45" s="5" t="str">
        <f aca="false">IF(C45="","",IF(IFERROR(INDEX(05_Строки_КП!$O$4:$O$203,MATCH(C45,05_Строки_КП!$A$4:$A$203,0)),"")="READY",IFERROR(INDEX(05_Строки_КП!$M$4:$M$203,MATCH(C45,05_Строки_КП!$A$4:$A$203,0)),""),""))</f>
        <v/>
      </c>
      <c r="R45" s="7" t="str">
        <f aca="false">IF(OR(V45="SELECTED_READY",V45="COMPARABLE_READY"),O45*G45*H45+SUM(K45:N45),"")</f>
        <v/>
      </c>
      <c r="S45" s="4"/>
      <c r="T45" s="4"/>
      <c r="U45" s="6"/>
      <c r="V45" s="5" t="str">
        <f aca="false">IF(A45="","",IF(AND(COUNTIF(A$4:A$203,A45)=1,B45&lt;&gt;"",C45&lt;&gt;"",D45&lt;&gt;"",COUNTIF(05_Строки_КП!$A$4:$A$203,C45)=1,IFERROR(INDEX(05_Строки_КП!$C$4:$C$203,MATCH(C45,05_Строки_КП!$A$4:$A$203,0)),"")=D45,IFERROR(INDEX(05_Строки_КП!$O$4:$O$203,MATCH(C45,05_Строки_КП!$A$4:$A$203,0)),"")="READY",E45="COMPARABLE",F45&lt;&gt;"",COUNT(G45:H45)=2,G45&gt;0,H45&gt;0,I45&lt;&gt;"",J45&lt;&gt;"",COUNTIF(13_Источники!$A$4:$A$203,J45)=1,W45&lt;&gt;"",COUNTIF(13_Источники!$A$4:$A$203,W45)=1,COUNT(K45:N45)=4,ISNUMBER(O45),U45&lt;&gt;"",01_Основания!$B$8&lt;&gt;"",OR(01_Основания!$B$9="NET",01_Основания!$B$9="GROSS"),01_Основания!$B$10&lt;&gt;"",IF(AND(ISNUMBER(O45),ISNUMBER(G45),ISNUMBER(H45)),O45*G45*H45+SUM(K45:N45)&gt;=0,FALSE())),IF(S45="SELECTED",IF(AND(COUNTIFS(B$4:B$203,B45,S$4:S$203,"SELECTED")=1,T45&lt;&gt;""),"SELECTED_READY","SELECTION_ERROR"),"COMPARABLE_READY"),"INCOMPLETE / NOT_COMPARABLE"))</f>
        <v/>
      </c>
      <c r="W45" s="6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6"/>
      <c r="I46" s="4"/>
      <c r="J46" s="4"/>
      <c r="K46" s="6"/>
      <c r="L46" s="6"/>
      <c r="M46" s="6"/>
      <c r="N46" s="6"/>
      <c r="O46" s="7" t="str">
        <f aca="false">IF(C46="","",IF(IFERROR(INDEX(05_Строки_КП!$O$4:$O$203,MATCH(C46,05_Строки_КП!$A$4:$A$203,0)),"")="READY",IFERROR(INDEX(05_Строки_КП!$H$4:$H$203,MATCH(C46,05_Строки_КП!$A$4:$A$203,0)),""),""))</f>
        <v/>
      </c>
      <c r="P46" s="5" t="str">
        <f aca="false">IF(C46="","",IF(IFERROR(INDEX(05_Строки_КП!$O$4:$O$203,MATCH(C46,05_Строки_КП!$A$4:$A$203,0)),"")="READY",IFERROR(INDEX(05_Строки_КП!$L$4:$L$203,MATCH(C46,05_Строки_КП!$A$4:$A$203,0)),""),""))</f>
        <v/>
      </c>
      <c r="Q46" s="5" t="str">
        <f aca="false">IF(C46="","",IF(IFERROR(INDEX(05_Строки_КП!$O$4:$O$203,MATCH(C46,05_Строки_КП!$A$4:$A$203,0)),"")="READY",IFERROR(INDEX(05_Строки_КП!$M$4:$M$203,MATCH(C46,05_Строки_КП!$A$4:$A$203,0)),""),""))</f>
        <v/>
      </c>
      <c r="R46" s="7" t="str">
        <f aca="false">IF(OR(V46="SELECTED_READY",V46="COMPARABLE_READY"),O46*G46*H46+SUM(K46:N46),"")</f>
        <v/>
      </c>
      <c r="S46" s="4"/>
      <c r="T46" s="4"/>
      <c r="U46" s="6"/>
      <c r="V46" s="5" t="str">
        <f aca="false">IF(A46="","",IF(AND(COUNTIF(A$4:A$203,A46)=1,B46&lt;&gt;"",C46&lt;&gt;"",D46&lt;&gt;"",COUNTIF(05_Строки_КП!$A$4:$A$203,C46)=1,IFERROR(INDEX(05_Строки_КП!$C$4:$C$203,MATCH(C46,05_Строки_КП!$A$4:$A$203,0)),"")=D46,IFERROR(INDEX(05_Строки_КП!$O$4:$O$203,MATCH(C46,05_Строки_КП!$A$4:$A$203,0)),"")="READY",E46="COMPARABLE",F46&lt;&gt;"",COUNT(G46:H46)=2,G46&gt;0,H46&gt;0,I46&lt;&gt;"",J46&lt;&gt;"",COUNTIF(13_Источники!$A$4:$A$203,J46)=1,W46&lt;&gt;"",COUNTIF(13_Источники!$A$4:$A$203,W46)=1,COUNT(K46:N46)=4,ISNUMBER(O46),U46&lt;&gt;"",01_Основания!$B$8&lt;&gt;"",OR(01_Основания!$B$9="NET",01_Основания!$B$9="GROSS"),01_Основания!$B$10&lt;&gt;"",IF(AND(ISNUMBER(O46),ISNUMBER(G46),ISNUMBER(H46)),O46*G46*H46+SUM(K46:N46)&gt;=0,FALSE())),IF(S46="SELECTED",IF(AND(COUNTIFS(B$4:B$203,B46,S$4:S$203,"SELECTED")=1,T46&lt;&gt;""),"SELECTED_READY","SELECTION_ERROR"),"COMPARABLE_READY"),"INCOMPLETE / NOT_COMPARABLE"))</f>
        <v/>
      </c>
      <c r="W46" s="6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6"/>
      <c r="I47" s="4"/>
      <c r="J47" s="4"/>
      <c r="K47" s="6"/>
      <c r="L47" s="6"/>
      <c r="M47" s="6"/>
      <c r="N47" s="6"/>
      <c r="O47" s="7" t="str">
        <f aca="false">IF(C47="","",IF(IFERROR(INDEX(05_Строки_КП!$O$4:$O$203,MATCH(C47,05_Строки_КП!$A$4:$A$203,0)),"")="READY",IFERROR(INDEX(05_Строки_КП!$H$4:$H$203,MATCH(C47,05_Строки_КП!$A$4:$A$203,0)),""),""))</f>
        <v/>
      </c>
      <c r="P47" s="5" t="str">
        <f aca="false">IF(C47="","",IF(IFERROR(INDEX(05_Строки_КП!$O$4:$O$203,MATCH(C47,05_Строки_КП!$A$4:$A$203,0)),"")="READY",IFERROR(INDEX(05_Строки_КП!$L$4:$L$203,MATCH(C47,05_Строки_КП!$A$4:$A$203,0)),""),""))</f>
        <v/>
      </c>
      <c r="Q47" s="5" t="str">
        <f aca="false">IF(C47="","",IF(IFERROR(INDEX(05_Строки_КП!$O$4:$O$203,MATCH(C47,05_Строки_КП!$A$4:$A$203,0)),"")="READY",IFERROR(INDEX(05_Строки_КП!$M$4:$M$203,MATCH(C47,05_Строки_КП!$A$4:$A$203,0)),""),""))</f>
        <v/>
      </c>
      <c r="R47" s="7" t="str">
        <f aca="false">IF(OR(V47="SELECTED_READY",V47="COMPARABLE_READY"),O47*G47*H47+SUM(K47:N47),"")</f>
        <v/>
      </c>
      <c r="S47" s="4"/>
      <c r="T47" s="4"/>
      <c r="U47" s="6"/>
      <c r="V47" s="5" t="str">
        <f aca="false">IF(A47="","",IF(AND(COUNTIF(A$4:A$203,A47)=1,B47&lt;&gt;"",C47&lt;&gt;"",D47&lt;&gt;"",COUNTIF(05_Строки_КП!$A$4:$A$203,C47)=1,IFERROR(INDEX(05_Строки_КП!$C$4:$C$203,MATCH(C47,05_Строки_КП!$A$4:$A$203,0)),"")=D47,IFERROR(INDEX(05_Строки_КП!$O$4:$O$203,MATCH(C47,05_Строки_КП!$A$4:$A$203,0)),"")="READY",E47="COMPARABLE",F47&lt;&gt;"",COUNT(G47:H47)=2,G47&gt;0,H47&gt;0,I47&lt;&gt;"",J47&lt;&gt;"",COUNTIF(13_Источники!$A$4:$A$203,J47)=1,W47&lt;&gt;"",COUNTIF(13_Источники!$A$4:$A$203,W47)=1,COUNT(K47:N47)=4,ISNUMBER(O47),U47&lt;&gt;"",01_Основания!$B$8&lt;&gt;"",OR(01_Основания!$B$9="NET",01_Основания!$B$9="GROSS"),01_Основания!$B$10&lt;&gt;"",IF(AND(ISNUMBER(O47),ISNUMBER(G47),ISNUMBER(H47)),O47*G47*H47+SUM(K47:N47)&gt;=0,FALSE())),IF(S47="SELECTED",IF(AND(COUNTIFS(B$4:B$203,B47,S$4:S$203,"SELECTED")=1,T47&lt;&gt;""),"SELECTED_READY","SELECTION_ERROR"),"COMPARABLE_READY"),"INCOMPLETE / NOT_COMPARABLE"))</f>
        <v/>
      </c>
      <c r="W47" s="6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6"/>
      <c r="I48" s="4"/>
      <c r="J48" s="4"/>
      <c r="K48" s="6"/>
      <c r="L48" s="6"/>
      <c r="M48" s="6"/>
      <c r="N48" s="6"/>
      <c r="O48" s="7" t="str">
        <f aca="false">IF(C48="","",IF(IFERROR(INDEX(05_Строки_КП!$O$4:$O$203,MATCH(C48,05_Строки_КП!$A$4:$A$203,0)),"")="READY",IFERROR(INDEX(05_Строки_КП!$H$4:$H$203,MATCH(C48,05_Строки_КП!$A$4:$A$203,0)),""),""))</f>
        <v/>
      </c>
      <c r="P48" s="5" t="str">
        <f aca="false">IF(C48="","",IF(IFERROR(INDEX(05_Строки_КП!$O$4:$O$203,MATCH(C48,05_Строки_КП!$A$4:$A$203,0)),"")="READY",IFERROR(INDEX(05_Строки_КП!$L$4:$L$203,MATCH(C48,05_Строки_КП!$A$4:$A$203,0)),""),""))</f>
        <v/>
      </c>
      <c r="Q48" s="5" t="str">
        <f aca="false">IF(C48="","",IF(IFERROR(INDEX(05_Строки_КП!$O$4:$O$203,MATCH(C48,05_Строки_КП!$A$4:$A$203,0)),"")="READY",IFERROR(INDEX(05_Строки_КП!$M$4:$M$203,MATCH(C48,05_Строки_КП!$A$4:$A$203,0)),""),""))</f>
        <v/>
      </c>
      <c r="R48" s="7" t="str">
        <f aca="false">IF(OR(V48="SELECTED_READY",V48="COMPARABLE_READY"),O48*G48*H48+SUM(K48:N48),"")</f>
        <v/>
      </c>
      <c r="S48" s="4"/>
      <c r="T48" s="4"/>
      <c r="U48" s="6"/>
      <c r="V48" s="5" t="str">
        <f aca="false">IF(A48="","",IF(AND(COUNTIF(A$4:A$203,A48)=1,B48&lt;&gt;"",C48&lt;&gt;"",D48&lt;&gt;"",COUNTIF(05_Строки_КП!$A$4:$A$203,C48)=1,IFERROR(INDEX(05_Строки_КП!$C$4:$C$203,MATCH(C48,05_Строки_КП!$A$4:$A$203,0)),"")=D48,IFERROR(INDEX(05_Строки_КП!$O$4:$O$203,MATCH(C48,05_Строки_КП!$A$4:$A$203,0)),"")="READY",E48="COMPARABLE",F48&lt;&gt;"",COUNT(G48:H48)=2,G48&gt;0,H48&gt;0,I48&lt;&gt;"",J48&lt;&gt;"",COUNTIF(13_Источники!$A$4:$A$203,J48)=1,W48&lt;&gt;"",COUNTIF(13_Источники!$A$4:$A$203,W48)=1,COUNT(K48:N48)=4,ISNUMBER(O48),U48&lt;&gt;"",01_Основания!$B$8&lt;&gt;"",OR(01_Основания!$B$9="NET",01_Основания!$B$9="GROSS"),01_Основания!$B$10&lt;&gt;"",IF(AND(ISNUMBER(O48),ISNUMBER(G48),ISNUMBER(H48)),O48*G48*H48+SUM(K48:N48)&gt;=0,FALSE())),IF(S48="SELECTED",IF(AND(COUNTIFS(B$4:B$203,B48,S$4:S$203,"SELECTED")=1,T48&lt;&gt;""),"SELECTED_READY","SELECTION_ERROR"),"COMPARABLE_READY"),"INCOMPLETE / NOT_COMPARABLE"))</f>
        <v/>
      </c>
      <c r="W48" s="6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6"/>
      <c r="I49" s="4"/>
      <c r="J49" s="4"/>
      <c r="K49" s="6"/>
      <c r="L49" s="6"/>
      <c r="M49" s="6"/>
      <c r="N49" s="6"/>
      <c r="O49" s="7" t="str">
        <f aca="false">IF(C49="","",IF(IFERROR(INDEX(05_Строки_КП!$O$4:$O$203,MATCH(C49,05_Строки_КП!$A$4:$A$203,0)),"")="READY",IFERROR(INDEX(05_Строки_КП!$H$4:$H$203,MATCH(C49,05_Строки_КП!$A$4:$A$203,0)),""),""))</f>
        <v/>
      </c>
      <c r="P49" s="5" t="str">
        <f aca="false">IF(C49="","",IF(IFERROR(INDEX(05_Строки_КП!$O$4:$O$203,MATCH(C49,05_Строки_КП!$A$4:$A$203,0)),"")="READY",IFERROR(INDEX(05_Строки_КП!$L$4:$L$203,MATCH(C49,05_Строки_КП!$A$4:$A$203,0)),""),""))</f>
        <v/>
      </c>
      <c r="Q49" s="5" t="str">
        <f aca="false">IF(C49="","",IF(IFERROR(INDEX(05_Строки_КП!$O$4:$O$203,MATCH(C49,05_Строки_КП!$A$4:$A$203,0)),"")="READY",IFERROR(INDEX(05_Строки_КП!$M$4:$M$203,MATCH(C49,05_Строки_КП!$A$4:$A$203,0)),""),""))</f>
        <v/>
      </c>
      <c r="R49" s="7" t="str">
        <f aca="false">IF(OR(V49="SELECTED_READY",V49="COMPARABLE_READY"),O49*G49*H49+SUM(K49:N49),"")</f>
        <v/>
      </c>
      <c r="S49" s="4"/>
      <c r="T49" s="4"/>
      <c r="U49" s="6"/>
      <c r="V49" s="5" t="str">
        <f aca="false">IF(A49="","",IF(AND(COUNTIF(A$4:A$203,A49)=1,B49&lt;&gt;"",C49&lt;&gt;"",D49&lt;&gt;"",COUNTIF(05_Строки_КП!$A$4:$A$203,C49)=1,IFERROR(INDEX(05_Строки_КП!$C$4:$C$203,MATCH(C49,05_Строки_КП!$A$4:$A$203,0)),"")=D49,IFERROR(INDEX(05_Строки_КП!$O$4:$O$203,MATCH(C49,05_Строки_КП!$A$4:$A$203,0)),"")="READY",E49="COMPARABLE",F49&lt;&gt;"",COUNT(G49:H49)=2,G49&gt;0,H49&gt;0,I49&lt;&gt;"",J49&lt;&gt;"",COUNTIF(13_Источники!$A$4:$A$203,J49)=1,W49&lt;&gt;"",COUNTIF(13_Источники!$A$4:$A$203,W49)=1,COUNT(K49:N49)=4,ISNUMBER(O49),U49&lt;&gt;"",01_Основания!$B$8&lt;&gt;"",OR(01_Основания!$B$9="NET",01_Основания!$B$9="GROSS"),01_Основания!$B$10&lt;&gt;"",IF(AND(ISNUMBER(O49),ISNUMBER(G49),ISNUMBER(H49)),O49*G49*H49+SUM(K49:N49)&gt;=0,FALSE())),IF(S49="SELECTED",IF(AND(COUNTIFS(B$4:B$203,B49,S$4:S$203,"SELECTED")=1,T49&lt;&gt;""),"SELECTED_READY","SELECTION_ERROR"),"COMPARABLE_READY"),"INCOMPLETE / NOT_COMPARABLE"))</f>
        <v/>
      </c>
      <c r="W49" s="6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6"/>
      <c r="I50" s="4"/>
      <c r="J50" s="4"/>
      <c r="K50" s="6"/>
      <c r="L50" s="6"/>
      <c r="M50" s="6"/>
      <c r="N50" s="6"/>
      <c r="O50" s="7" t="str">
        <f aca="false">IF(C50="","",IF(IFERROR(INDEX(05_Строки_КП!$O$4:$O$203,MATCH(C50,05_Строки_КП!$A$4:$A$203,0)),"")="READY",IFERROR(INDEX(05_Строки_КП!$H$4:$H$203,MATCH(C50,05_Строки_КП!$A$4:$A$203,0)),""),""))</f>
        <v/>
      </c>
      <c r="P50" s="5" t="str">
        <f aca="false">IF(C50="","",IF(IFERROR(INDEX(05_Строки_КП!$O$4:$O$203,MATCH(C50,05_Строки_КП!$A$4:$A$203,0)),"")="READY",IFERROR(INDEX(05_Строки_КП!$L$4:$L$203,MATCH(C50,05_Строки_КП!$A$4:$A$203,0)),""),""))</f>
        <v/>
      </c>
      <c r="Q50" s="5" t="str">
        <f aca="false">IF(C50="","",IF(IFERROR(INDEX(05_Строки_КП!$O$4:$O$203,MATCH(C50,05_Строки_КП!$A$4:$A$203,0)),"")="READY",IFERROR(INDEX(05_Строки_КП!$M$4:$M$203,MATCH(C50,05_Строки_КП!$A$4:$A$203,0)),""),""))</f>
        <v/>
      </c>
      <c r="R50" s="7" t="str">
        <f aca="false">IF(OR(V50="SELECTED_READY",V50="COMPARABLE_READY"),O50*G50*H50+SUM(K50:N50),"")</f>
        <v/>
      </c>
      <c r="S50" s="4"/>
      <c r="T50" s="4"/>
      <c r="U50" s="6"/>
      <c r="V50" s="5" t="str">
        <f aca="false">IF(A50="","",IF(AND(COUNTIF(A$4:A$203,A50)=1,B50&lt;&gt;"",C50&lt;&gt;"",D50&lt;&gt;"",COUNTIF(05_Строки_КП!$A$4:$A$203,C50)=1,IFERROR(INDEX(05_Строки_КП!$C$4:$C$203,MATCH(C50,05_Строки_КП!$A$4:$A$203,0)),"")=D50,IFERROR(INDEX(05_Строки_КП!$O$4:$O$203,MATCH(C50,05_Строки_КП!$A$4:$A$203,0)),"")="READY",E50="COMPARABLE",F50&lt;&gt;"",COUNT(G50:H50)=2,G50&gt;0,H50&gt;0,I50&lt;&gt;"",J50&lt;&gt;"",COUNTIF(13_Источники!$A$4:$A$203,J50)=1,W50&lt;&gt;"",COUNTIF(13_Источники!$A$4:$A$203,W50)=1,COUNT(K50:N50)=4,ISNUMBER(O50),U50&lt;&gt;"",01_Основания!$B$8&lt;&gt;"",OR(01_Основания!$B$9="NET",01_Основания!$B$9="GROSS"),01_Основания!$B$10&lt;&gt;"",IF(AND(ISNUMBER(O50),ISNUMBER(G50),ISNUMBER(H50)),O50*G50*H50+SUM(K50:N50)&gt;=0,FALSE())),IF(S50="SELECTED",IF(AND(COUNTIFS(B$4:B$203,B50,S$4:S$203,"SELECTED")=1,T50&lt;&gt;""),"SELECTED_READY","SELECTION_ERROR"),"COMPARABLE_READY"),"INCOMPLETE / NOT_COMPARABLE"))</f>
        <v/>
      </c>
      <c r="W50" s="6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6"/>
      <c r="I51" s="4"/>
      <c r="J51" s="4"/>
      <c r="K51" s="6"/>
      <c r="L51" s="6"/>
      <c r="M51" s="6"/>
      <c r="N51" s="6"/>
      <c r="O51" s="7" t="str">
        <f aca="false">IF(C51="","",IF(IFERROR(INDEX(05_Строки_КП!$O$4:$O$203,MATCH(C51,05_Строки_КП!$A$4:$A$203,0)),"")="READY",IFERROR(INDEX(05_Строки_КП!$H$4:$H$203,MATCH(C51,05_Строки_КП!$A$4:$A$203,0)),""),""))</f>
        <v/>
      </c>
      <c r="P51" s="5" t="str">
        <f aca="false">IF(C51="","",IF(IFERROR(INDEX(05_Строки_КП!$O$4:$O$203,MATCH(C51,05_Строки_КП!$A$4:$A$203,0)),"")="READY",IFERROR(INDEX(05_Строки_КП!$L$4:$L$203,MATCH(C51,05_Строки_КП!$A$4:$A$203,0)),""),""))</f>
        <v/>
      </c>
      <c r="Q51" s="5" t="str">
        <f aca="false">IF(C51="","",IF(IFERROR(INDEX(05_Строки_КП!$O$4:$O$203,MATCH(C51,05_Строки_КП!$A$4:$A$203,0)),"")="READY",IFERROR(INDEX(05_Строки_КП!$M$4:$M$203,MATCH(C51,05_Строки_КП!$A$4:$A$203,0)),""),""))</f>
        <v/>
      </c>
      <c r="R51" s="7" t="str">
        <f aca="false">IF(OR(V51="SELECTED_READY",V51="COMPARABLE_READY"),O51*G51*H51+SUM(K51:N51),"")</f>
        <v/>
      </c>
      <c r="S51" s="4"/>
      <c r="T51" s="4"/>
      <c r="U51" s="6"/>
      <c r="V51" s="5" t="str">
        <f aca="false">IF(A51="","",IF(AND(COUNTIF(A$4:A$203,A51)=1,B51&lt;&gt;"",C51&lt;&gt;"",D51&lt;&gt;"",COUNTIF(05_Строки_КП!$A$4:$A$203,C51)=1,IFERROR(INDEX(05_Строки_КП!$C$4:$C$203,MATCH(C51,05_Строки_КП!$A$4:$A$203,0)),"")=D51,IFERROR(INDEX(05_Строки_КП!$O$4:$O$203,MATCH(C51,05_Строки_КП!$A$4:$A$203,0)),"")="READY",E51="COMPARABLE",F51&lt;&gt;"",COUNT(G51:H51)=2,G51&gt;0,H51&gt;0,I51&lt;&gt;"",J51&lt;&gt;"",COUNTIF(13_Источники!$A$4:$A$203,J51)=1,W51&lt;&gt;"",COUNTIF(13_Источники!$A$4:$A$203,W51)=1,COUNT(K51:N51)=4,ISNUMBER(O51),U51&lt;&gt;"",01_Основания!$B$8&lt;&gt;"",OR(01_Основания!$B$9="NET",01_Основания!$B$9="GROSS"),01_Основания!$B$10&lt;&gt;"",IF(AND(ISNUMBER(O51),ISNUMBER(G51),ISNUMBER(H51)),O51*G51*H51+SUM(K51:N51)&gt;=0,FALSE())),IF(S51="SELECTED",IF(AND(COUNTIFS(B$4:B$203,B51,S$4:S$203,"SELECTED")=1,T51&lt;&gt;""),"SELECTED_READY","SELECTION_ERROR"),"COMPARABLE_READY"),"INCOMPLETE / NOT_COMPARABLE"))</f>
        <v/>
      </c>
      <c r="W51" s="6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6"/>
      <c r="I52" s="4"/>
      <c r="J52" s="4"/>
      <c r="K52" s="6"/>
      <c r="L52" s="6"/>
      <c r="M52" s="6"/>
      <c r="N52" s="6"/>
      <c r="O52" s="7" t="str">
        <f aca="false">IF(C52="","",IF(IFERROR(INDEX(05_Строки_КП!$O$4:$O$203,MATCH(C52,05_Строки_КП!$A$4:$A$203,0)),"")="READY",IFERROR(INDEX(05_Строки_КП!$H$4:$H$203,MATCH(C52,05_Строки_КП!$A$4:$A$203,0)),""),""))</f>
        <v/>
      </c>
      <c r="P52" s="5" t="str">
        <f aca="false">IF(C52="","",IF(IFERROR(INDEX(05_Строки_КП!$O$4:$O$203,MATCH(C52,05_Строки_КП!$A$4:$A$203,0)),"")="READY",IFERROR(INDEX(05_Строки_КП!$L$4:$L$203,MATCH(C52,05_Строки_КП!$A$4:$A$203,0)),""),""))</f>
        <v/>
      </c>
      <c r="Q52" s="5" t="str">
        <f aca="false">IF(C52="","",IF(IFERROR(INDEX(05_Строки_КП!$O$4:$O$203,MATCH(C52,05_Строки_КП!$A$4:$A$203,0)),"")="READY",IFERROR(INDEX(05_Строки_КП!$M$4:$M$203,MATCH(C52,05_Строки_КП!$A$4:$A$203,0)),""),""))</f>
        <v/>
      </c>
      <c r="R52" s="7" t="str">
        <f aca="false">IF(OR(V52="SELECTED_READY",V52="COMPARABLE_READY"),O52*G52*H52+SUM(K52:N52),"")</f>
        <v/>
      </c>
      <c r="S52" s="4"/>
      <c r="T52" s="4"/>
      <c r="U52" s="6"/>
      <c r="V52" s="5" t="str">
        <f aca="false">IF(A52="","",IF(AND(COUNTIF(A$4:A$203,A52)=1,B52&lt;&gt;"",C52&lt;&gt;"",D52&lt;&gt;"",COUNTIF(05_Строки_КП!$A$4:$A$203,C52)=1,IFERROR(INDEX(05_Строки_КП!$C$4:$C$203,MATCH(C52,05_Строки_КП!$A$4:$A$203,0)),"")=D52,IFERROR(INDEX(05_Строки_КП!$O$4:$O$203,MATCH(C52,05_Строки_КП!$A$4:$A$203,0)),"")="READY",E52="COMPARABLE",F52&lt;&gt;"",COUNT(G52:H52)=2,G52&gt;0,H52&gt;0,I52&lt;&gt;"",J52&lt;&gt;"",COUNTIF(13_Источники!$A$4:$A$203,J52)=1,W52&lt;&gt;"",COUNTIF(13_Источники!$A$4:$A$203,W52)=1,COUNT(K52:N52)=4,ISNUMBER(O52),U52&lt;&gt;"",01_Основания!$B$8&lt;&gt;"",OR(01_Основания!$B$9="NET",01_Основания!$B$9="GROSS"),01_Основания!$B$10&lt;&gt;"",IF(AND(ISNUMBER(O52),ISNUMBER(G52),ISNUMBER(H52)),O52*G52*H52+SUM(K52:N52)&gt;=0,FALSE())),IF(S52="SELECTED",IF(AND(COUNTIFS(B$4:B$203,B52,S$4:S$203,"SELECTED")=1,T52&lt;&gt;""),"SELECTED_READY","SELECTION_ERROR"),"COMPARABLE_READY"),"INCOMPLETE / NOT_COMPARABLE"))</f>
        <v/>
      </c>
      <c r="W52" s="6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6"/>
      <c r="I53" s="4"/>
      <c r="J53" s="4"/>
      <c r="K53" s="6"/>
      <c r="L53" s="6"/>
      <c r="M53" s="6"/>
      <c r="N53" s="6"/>
      <c r="O53" s="7" t="str">
        <f aca="false">IF(C53="","",IF(IFERROR(INDEX(05_Строки_КП!$O$4:$O$203,MATCH(C53,05_Строки_КП!$A$4:$A$203,0)),"")="READY",IFERROR(INDEX(05_Строки_КП!$H$4:$H$203,MATCH(C53,05_Строки_КП!$A$4:$A$203,0)),""),""))</f>
        <v/>
      </c>
      <c r="P53" s="5" t="str">
        <f aca="false">IF(C53="","",IF(IFERROR(INDEX(05_Строки_КП!$O$4:$O$203,MATCH(C53,05_Строки_КП!$A$4:$A$203,0)),"")="READY",IFERROR(INDEX(05_Строки_КП!$L$4:$L$203,MATCH(C53,05_Строки_КП!$A$4:$A$203,0)),""),""))</f>
        <v/>
      </c>
      <c r="Q53" s="5" t="str">
        <f aca="false">IF(C53="","",IF(IFERROR(INDEX(05_Строки_КП!$O$4:$O$203,MATCH(C53,05_Строки_КП!$A$4:$A$203,0)),"")="READY",IFERROR(INDEX(05_Строки_КП!$M$4:$M$203,MATCH(C53,05_Строки_КП!$A$4:$A$203,0)),""),""))</f>
        <v/>
      </c>
      <c r="R53" s="7" t="str">
        <f aca="false">IF(OR(V53="SELECTED_READY",V53="COMPARABLE_READY"),O53*G53*H53+SUM(K53:N53),"")</f>
        <v/>
      </c>
      <c r="S53" s="4"/>
      <c r="T53" s="4"/>
      <c r="U53" s="6"/>
      <c r="V53" s="5" t="str">
        <f aca="false">IF(A53="","",IF(AND(COUNTIF(A$4:A$203,A53)=1,B53&lt;&gt;"",C53&lt;&gt;"",D53&lt;&gt;"",COUNTIF(05_Строки_КП!$A$4:$A$203,C53)=1,IFERROR(INDEX(05_Строки_КП!$C$4:$C$203,MATCH(C53,05_Строки_КП!$A$4:$A$203,0)),"")=D53,IFERROR(INDEX(05_Строки_КП!$O$4:$O$203,MATCH(C53,05_Строки_КП!$A$4:$A$203,0)),"")="READY",E53="COMPARABLE",F53&lt;&gt;"",COUNT(G53:H53)=2,G53&gt;0,H53&gt;0,I53&lt;&gt;"",J53&lt;&gt;"",COUNTIF(13_Источники!$A$4:$A$203,J53)=1,W53&lt;&gt;"",COUNTIF(13_Источники!$A$4:$A$203,W53)=1,COUNT(K53:N53)=4,ISNUMBER(O53),U53&lt;&gt;"",01_Основания!$B$8&lt;&gt;"",OR(01_Основания!$B$9="NET",01_Основания!$B$9="GROSS"),01_Основания!$B$10&lt;&gt;"",IF(AND(ISNUMBER(O53),ISNUMBER(G53),ISNUMBER(H53)),O53*G53*H53+SUM(K53:N53)&gt;=0,FALSE())),IF(S53="SELECTED",IF(AND(COUNTIFS(B$4:B$203,B53,S$4:S$203,"SELECTED")=1,T53&lt;&gt;""),"SELECTED_READY","SELECTION_ERROR"),"COMPARABLE_READY"),"INCOMPLETE / NOT_COMPARABLE"))</f>
        <v/>
      </c>
      <c r="W53" s="6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6"/>
      <c r="I54" s="4"/>
      <c r="J54" s="4"/>
      <c r="K54" s="6"/>
      <c r="L54" s="6"/>
      <c r="M54" s="6"/>
      <c r="N54" s="6"/>
      <c r="O54" s="7" t="str">
        <f aca="false">IF(C54="","",IF(IFERROR(INDEX(05_Строки_КП!$O$4:$O$203,MATCH(C54,05_Строки_КП!$A$4:$A$203,0)),"")="READY",IFERROR(INDEX(05_Строки_КП!$H$4:$H$203,MATCH(C54,05_Строки_КП!$A$4:$A$203,0)),""),""))</f>
        <v/>
      </c>
      <c r="P54" s="5" t="str">
        <f aca="false">IF(C54="","",IF(IFERROR(INDEX(05_Строки_КП!$O$4:$O$203,MATCH(C54,05_Строки_КП!$A$4:$A$203,0)),"")="READY",IFERROR(INDEX(05_Строки_КП!$L$4:$L$203,MATCH(C54,05_Строки_КП!$A$4:$A$203,0)),""),""))</f>
        <v/>
      </c>
      <c r="Q54" s="5" t="str">
        <f aca="false">IF(C54="","",IF(IFERROR(INDEX(05_Строки_КП!$O$4:$O$203,MATCH(C54,05_Строки_КП!$A$4:$A$203,0)),"")="READY",IFERROR(INDEX(05_Строки_КП!$M$4:$M$203,MATCH(C54,05_Строки_КП!$A$4:$A$203,0)),""),""))</f>
        <v/>
      </c>
      <c r="R54" s="7" t="str">
        <f aca="false">IF(OR(V54="SELECTED_READY",V54="COMPARABLE_READY"),O54*G54*H54+SUM(K54:N54),"")</f>
        <v/>
      </c>
      <c r="S54" s="4"/>
      <c r="T54" s="4"/>
      <c r="U54" s="6"/>
      <c r="V54" s="5" t="str">
        <f aca="false">IF(A54="","",IF(AND(COUNTIF(A$4:A$203,A54)=1,B54&lt;&gt;"",C54&lt;&gt;"",D54&lt;&gt;"",COUNTIF(05_Строки_КП!$A$4:$A$203,C54)=1,IFERROR(INDEX(05_Строки_КП!$C$4:$C$203,MATCH(C54,05_Строки_КП!$A$4:$A$203,0)),"")=D54,IFERROR(INDEX(05_Строки_КП!$O$4:$O$203,MATCH(C54,05_Строки_КП!$A$4:$A$203,0)),"")="READY",E54="COMPARABLE",F54&lt;&gt;"",COUNT(G54:H54)=2,G54&gt;0,H54&gt;0,I54&lt;&gt;"",J54&lt;&gt;"",COUNTIF(13_Источники!$A$4:$A$203,J54)=1,W54&lt;&gt;"",COUNTIF(13_Источники!$A$4:$A$203,W54)=1,COUNT(K54:N54)=4,ISNUMBER(O54),U54&lt;&gt;"",01_Основания!$B$8&lt;&gt;"",OR(01_Основания!$B$9="NET",01_Основания!$B$9="GROSS"),01_Основания!$B$10&lt;&gt;"",IF(AND(ISNUMBER(O54),ISNUMBER(G54),ISNUMBER(H54)),O54*G54*H54+SUM(K54:N54)&gt;=0,FALSE())),IF(S54="SELECTED",IF(AND(COUNTIFS(B$4:B$203,B54,S$4:S$203,"SELECTED")=1,T54&lt;&gt;""),"SELECTED_READY","SELECTION_ERROR"),"COMPARABLE_READY"),"INCOMPLETE / NOT_COMPARABLE"))</f>
        <v/>
      </c>
      <c r="W54" s="6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6"/>
      <c r="I55" s="4"/>
      <c r="J55" s="4"/>
      <c r="K55" s="6"/>
      <c r="L55" s="6"/>
      <c r="M55" s="6"/>
      <c r="N55" s="6"/>
      <c r="O55" s="7" t="str">
        <f aca="false">IF(C55="","",IF(IFERROR(INDEX(05_Строки_КП!$O$4:$O$203,MATCH(C55,05_Строки_КП!$A$4:$A$203,0)),"")="READY",IFERROR(INDEX(05_Строки_КП!$H$4:$H$203,MATCH(C55,05_Строки_КП!$A$4:$A$203,0)),""),""))</f>
        <v/>
      </c>
      <c r="P55" s="5" t="str">
        <f aca="false">IF(C55="","",IF(IFERROR(INDEX(05_Строки_КП!$O$4:$O$203,MATCH(C55,05_Строки_КП!$A$4:$A$203,0)),"")="READY",IFERROR(INDEX(05_Строки_КП!$L$4:$L$203,MATCH(C55,05_Строки_КП!$A$4:$A$203,0)),""),""))</f>
        <v/>
      </c>
      <c r="Q55" s="5" t="str">
        <f aca="false">IF(C55="","",IF(IFERROR(INDEX(05_Строки_КП!$O$4:$O$203,MATCH(C55,05_Строки_КП!$A$4:$A$203,0)),"")="READY",IFERROR(INDEX(05_Строки_КП!$M$4:$M$203,MATCH(C55,05_Строки_КП!$A$4:$A$203,0)),""),""))</f>
        <v/>
      </c>
      <c r="R55" s="7" t="str">
        <f aca="false">IF(OR(V55="SELECTED_READY",V55="COMPARABLE_READY"),O55*G55*H55+SUM(K55:N55),"")</f>
        <v/>
      </c>
      <c r="S55" s="4"/>
      <c r="T55" s="4"/>
      <c r="U55" s="6"/>
      <c r="V55" s="5" t="str">
        <f aca="false">IF(A55="","",IF(AND(COUNTIF(A$4:A$203,A55)=1,B55&lt;&gt;"",C55&lt;&gt;"",D55&lt;&gt;"",COUNTIF(05_Строки_КП!$A$4:$A$203,C55)=1,IFERROR(INDEX(05_Строки_КП!$C$4:$C$203,MATCH(C55,05_Строки_КП!$A$4:$A$203,0)),"")=D55,IFERROR(INDEX(05_Строки_КП!$O$4:$O$203,MATCH(C55,05_Строки_КП!$A$4:$A$203,0)),"")="READY",E55="COMPARABLE",F55&lt;&gt;"",COUNT(G55:H55)=2,G55&gt;0,H55&gt;0,I55&lt;&gt;"",J55&lt;&gt;"",COUNTIF(13_Источники!$A$4:$A$203,J55)=1,W55&lt;&gt;"",COUNTIF(13_Источники!$A$4:$A$203,W55)=1,COUNT(K55:N55)=4,ISNUMBER(O55),U55&lt;&gt;"",01_Основания!$B$8&lt;&gt;"",OR(01_Основания!$B$9="NET",01_Основания!$B$9="GROSS"),01_Основания!$B$10&lt;&gt;"",IF(AND(ISNUMBER(O55),ISNUMBER(G55),ISNUMBER(H55)),O55*G55*H55+SUM(K55:N55)&gt;=0,FALSE())),IF(S55="SELECTED",IF(AND(COUNTIFS(B$4:B$203,B55,S$4:S$203,"SELECTED")=1,T55&lt;&gt;""),"SELECTED_READY","SELECTION_ERROR"),"COMPARABLE_READY"),"INCOMPLETE / NOT_COMPARABLE"))</f>
        <v/>
      </c>
      <c r="W55" s="6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6"/>
      <c r="I56" s="4"/>
      <c r="J56" s="4"/>
      <c r="K56" s="6"/>
      <c r="L56" s="6"/>
      <c r="M56" s="6"/>
      <c r="N56" s="6"/>
      <c r="O56" s="7" t="str">
        <f aca="false">IF(C56="","",IF(IFERROR(INDEX(05_Строки_КП!$O$4:$O$203,MATCH(C56,05_Строки_КП!$A$4:$A$203,0)),"")="READY",IFERROR(INDEX(05_Строки_КП!$H$4:$H$203,MATCH(C56,05_Строки_КП!$A$4:$A$203,0)),""),""))</f>
        <v/>
      </c>
      <c r="P56" s="5" t="str">
        <f aca="false">IF(C56="","",IF(IFERROR(INDEX(05_Строки_КП!$O$4:$O$203,MATCH(C56,05_Строки_КП!$A$4:$A$203,0)),"")="READY",IFERROR(INDEX(05_Строки_КП!$L$4:$L$203,MATCH(C56,05_Строки_КП!$A$4:$A$203,0)),""),""))</f>
        <v/>
      </c>
      <c r="Q56" s="5" t="str">
        <f aca="false">IF(C56="","",IF(IFERROR(INDEX(05_Строки_КП!$O$4:$O$203,MATCH(C56,05_Строки_КП!$A$4:$A$203,0)),"")="READY",IFERROR(INDEX(05_Строки_КП!$M$4:$M$203,MATCH(C56,05_Строки_КП!$A$4:$A$203,0)),""),""))</f>
        <v/>
      </c>
      <c r="R56" s="7" t="str">
        <f aca="false">IF(OR(V56="SELECTED_READY",V56="COMPARABLE_READY"),O56*G56*H56+SUM(K56:N56),"")</f>
        <v/>
      </c>
      <c r="S56" s="4"/>
      <c r="T56" s="4"/>
      <c r="U56" s="6"/>
      <c r="V56" s="5" t="str">
        <f aca="false">IF(A56="","",IF(AND(COUNTIF(A$4:A$203,A56)=1,B56&lt;&gt;"",C56&lt;&gt;"",D56&lt;&gt;"",COUNTIF(05_Строки_КП!$A$4:$A$203,C56)=1,IFERROR(INDEX(05_Строки_КП!$C$4:$C$203,MATCH(C56,05_Строки_КП!$A$4:$A$203,0)),"")=D56,IFERROR(INDEX(05_Строки_КП!$O$4:$O$203,MATCH(C56,05_Строки_КП!$A$4:$A$203,0)),"")="READY",E56="COMPARABLE",F56&lt;&gt;"",COUNT(G56:H56)=2,G56&gt;0,H56&gt;0,I56&lt;&gt;"",J56&lt;&gt;"",COUNTIF(13_Источники!$A$4:$A$203,J56)=1,W56&lt;&gt;"",COUNTIF(13_Источники!$A$4:$A$203,W56)=1,COUNT(K56:N56)=4,ISNUMBER(O56),U56&lt;&gt;"",01_Основания!$B$8&lt;&gt;"",OR(01_Основания!$B$9="NET",01_Основания!$B$9="GROSS"),01_Основания!$B$10&lt;&gt;"",IF(AND(ISNUMBER(O56),ISNUMBER(G56),ISNUMBER(H56)),O56*G56*H56+SUM(K56:N56)&gt;=0,FALSE())),IF(S56="SELECTED",IF(AND(COUNTIFS(B$4:B$203,B56,S$4:S$203,"SELECTED")=1,T56&lt;&gt;""),"SELECTED_READY","SELECTION_ERROR"),"COMPARABLE_READY"),"INCOMPLETE / NOT_COMPARABLE"))</f>
        <v/>
      </c>
      <c r="W56" s="6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6"/>
      <c r="I57" s="4"/>
      <c r="J57" s="4"/>
      <c r="K57" s="6"/>
      <c r="L57" s="6"/>
      <c r="M57" s="6"/>
      <c r="N57" s="6"/>
      <c r="O57" s="7" t="str">
        <f aca="false">IF(C57="","",IF(IFERROR(INDEX(05_Строки_КП!$O$4:$O$203,MATCH(C57,05_Строки_КП!$A$4:$A$203,0)),"")="READY",IFERROR(INDEX(05_Строки_КП!$H$4:$H$203,MATCH(C57,05_Строки_КП!$A$4:$A$203,0)),""),""))</f>
        <v/>
      </c>
      <c r="P57" s="5" t="str">
        <f aca="false">IF(C57="","",IF(IFERROR(INDEX(05_Строки_КП!$O$4:$O$203,MATCH(C57,05_Строки_КП!$A$4:$A$203,0)),"")="READY",IFERROR(INDEX(05_Строки_КП!$L$4:$L$203,MATCH(C57,05_Строки_КП!$A$4:$A$203,0)),""),""))</f>
        <v/>
      </c>
      <c r="Q57" s="5" t="str">
        <f aca="false">IF(C57="","",IF(IFERROR(INDEX(05_Строки_КП!$O$4:$O$203,MATCH(C57,05_Строки_КП!$A$4:$A$203,0)),"")="READY",IFERROR(INDEX(05_Строки_КП!$M$4:$M$203,MATCH(C57,05_Строки_КП!$A$4:$A$203,0)),""),""))</f>
        <v/>
      </c>
      <c r="R57" s="7" t="str">
        <f aca="false">IF(OR(V57="SELECTED_READY",V57="COMPARABLE_READY"),O57*G57*H57+SUM(K57:N57),"")</f>
        <v/>
      </c>
      <c r="S57" s="4"/>
      <c r="T57" s="4"/>
      <c r="U57" s="6"/>
      <c r="V57" s="5" t="str">
        <f aca="false">IF(A57="","",IF(AND(COUNTIF(A$4:A$203,A57)=1,B57&lt;&gt;"",C57&lt;&gt;"",D57&lt;&gt;"",COUNTIF(05_Строки_КП!$A$4:$A$203,C57)=1,IFERROR(INDEX(05_Строки_КП!$C$4:$C$203,MATCH(C57,05_Строки_КП!$A$4:$A$203,0)),"")=D57,IFERROR(INDEX(05_Строки_КП!$O$4:$O$203,MATCH(C57,05_Строки_КП!$A$4:$A$203,0)),"")="READY",E57="COMPARABLE",F57&lt;&gt;"",COUNT(G57:H57)=2,G57&gt;0,H57&gt;0,I57&lt;&gt;"",J57&lt;&gt;"",COUNTIF(13_Источники!$A$4:$A$203,J57)=1,W57&lt;&gt;"",COUNTIF(13_Источники!$A$4:$A$203,W57)=1,COUNT(K57:N57)=4,ISNUMBER(O57),U57&lt;&gt;"",01_Основания!$B$8&lt;&gt;"",OR(01_Основания!$B$9="NET",01_Основания!$B$9="GROSS"),01_Основания!$B$10&lt;&gt;"",IF(AND(ISNUMBER(O57),ISNUMBER(G57),ISNUMBER(H57)),O57*G57*H57+SUM(K57:N57)&gt;=0,FALSE())),IF(S57="SELECTED",IF(AND(COUNTIFS(B$4:B$203,B57,S$4:S$203,"SELECTED")=1,T57&lt;&gt;""),"SELECTED_READY","SELECTION_ERROR"),"COMPARABLE_READY"),"INCOMPLETE / NOT_COMPARABLE"))</f>
        <v/>
      </c>
      <c r="W57" s="6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6"/>
      <c r="I58" s="4"/>
      <c r="J58" s="4"/>
      <c r="K58" s="6"/>
      <c r="L58" s="6"/>
      <c r="M58" s="6"/>
      <c r="N58" s="6"/>
      <c r="O58" s="7" t="str">
        <f aca="false">IF(C58="","",IF(IFERROR(INDEX(05_Строки_КП!$O$4:$O$203,MATCH(C58,05_Строки_КП!$A$4:$A$203,0)),"")="READY",IFERROR(INDEX(05_Строки_КП!$H$4:$H$203,MATCH(C58,05_Строки_КП!$A$4:$A$203,0)),""),""))</f>
        <v/>
      </c>
      <c r="P58" s="5" t="str">
        <f aca="false">IF(C58="","",IF(IFERROR(INDEX(05_Строки_КП!$O$4:$O$203,MATCH(C58,05_Строки_КП!$A$4:$A$203,0)),"")="READY",IFERROR(INDEX(05_Строки_КП!$L$4:$L$203,MATCH(C58,05_Строки_КП!$A$4:$A$203,0)),""),""))</f>
        <v/>
      </c>
      <c r="Q58" s="5" t="str">
        <f aca="false">IF(C58="","",IF(IFERROR(INDEX(05_Строки_КП!$O$4:$O$203,MATCH(C58,05_Строки_КП!$A$4:$A$203,0)),"")="READY",IFERROR(INDEX(05_Строки_КП!$M$4:$M$203,MATCH(C58,05_Строки_КП!$A$4:$A$203,0)),""),""))</f>
        <v/>
      </c>
      <c r="R58" s="7" t="str">
        <f aca="false">IF(OR(V58="SELECTED_READY",V58="COMPARABLE_READY"),O58*G58*H58+SUM(K58:N58),"")</f>
        <v/>
      </c>
      <c r="S58" s="4"/>
      <c r="T58" s="4"/>
      <c r="U58" s="6"/>
      <c r="V58" s="5" t="str">
        <f aca="false">IF(A58="","",IF(AND(COUNTIF(A$4:A$203,A58)=1,B58&lt;&gt;"",C58&lt;&gt;"",D58&lt;&gt;"",COUNTIF(05_Строки_КП!$A$4:$A$203,C58)=1,IFERROR(INDEX(05_Строки_КП!$C$4:$C$203,MATCH(C58,05_Строки_КП!$A$4:$A$203,0)),"")=D58,IFERROR(INDEX(05_Строки_КП!$O$4:$O$203,MATCH(C58,05_Строки_КП!$A$4:$A$203,0)),"")="READY",E58="COMPARABLE",F58&lt;&gt;"",COUNT(G58:H58)=2,G58&gt;0,H58&gt;0,I58&lt;&gt;"",J58&lt;&gt;"",COUNTIF(13_Источники!$A$4:$A$203,J58)=1,W58&lt;&gt;"",COUNTIF(13_Источники!$A$4:$A$203,W58)=1,COUNT(K58:N58)=4,ISNUMBER(O58),U58&lt;&gt;"",01_Основания!$B$8&lt;&gt;"",OR(01_Основания!$B$9="NET",01_Основания!$B$9="GROSS"),01_Основания!$B$10&lt;&gt;"",IF(AND(ISNUMBER(O58),ISNUMBER(G58),ISNUMBER(H58)),O58*G58*H58+SUM(K58:N58)&gt;=0,FALSE())),IF(S58="SELECTED",IF(AND(COUNTIFS(B$4:B$203,B58,S$4:S$203,"SELECTED")=1,T58&lt;&gt;""),"SELECTED_READY","SELECTION_ERROR"),"COMPARABLE_READY"),"INCOMPLETE / NOT_COMPARABLE"))</f>
        <v/>
      </c>
      <c r="W58" s="6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6"/>
      <c r="I59" s="4"/>
      <c r="J59" s="4"/>
      <c r="K59" s="6"/>
      <c r="L59" s="6"/>
      <c r="M59" s="6"/>
      <c r="N59" s="6"/>
      <c r="O59" s="7" t="str">
        <f aca="false">IF(C59="","",IF(IFERROR(INDEX(05_Строки_КП!$O$4:$O$203,MATCH(C59,05_Строки_КП!$A$4:$A$203,0)),"")="READY",IFERROR(INDEX(05_Строки_КП!$H$4:$H$203,MATCH(C59,05_Строки_КП!$A$4:$A$203,0)),""),""))</f>
        <v/>
      </c>
      <c r="P59" s="5" t="str">
        <f aca="false">IF(C59="","",IF(IFERROR(INDEX(05_Строки_КП!$O$4:$O$203,MATCH(C59,05_Строки_КП!$A$4:$A$203,0)),"")="READY",IFERROR(INDEX(05_Строки_КП!$L$4:$L$203,MATCH(C59,05_Строки_КП!$A$4:$A$203,0)),""),""))</f>
        <v/>
      </c>
      <c r="Q59" s="5" t="str">
        <f aca="false">IF(C59="","",IF(IFERROR(INDEX(05_Строки_КП!$O$4:$O$203,MATCH(C59,05_Строки_КП!$A$4:$A$203,0)),"")="READY",IFERROR(INDEX(05_Строки_КП!$M$4:$M$203,MATCH(C59,05_Строки_КП!$A$4:$A$203,0)),""),""))</f>
        <v/>
      </c>
      <c r="R59" s="7" t="str">
        <f aca="false">IF(OR(V59="SELECTED_READY",V59="COMPARABLE_READY"),O59*G59*H59+SUM(K59:N59),"")</f>
        <v/>
      </c>
      <c r="S59" s="4"/>
      <c r="T59" s="4"/>
      <c r="U59" s="6"/>
      <c r="V59" s="5" t="str">
        <f aca="false">IF(A59="","",IF(AND(COUNTIF(A$4:A$203,A59)=1,B59&lt;&gt;"",C59&lt;&gt;"",D59&lt;&gt;"",COUNTIF(05_Строки_КП!$A$4:$A$203,C59)=1,IFERROR(INDEX(05_Строки_КП!$C$4:$C$203,MATCH(C59,05_Строки_КП!$A$4:$A$203,0)),"")=D59,IFERROR(INDEX(05_Строки_КП!$O$4:$O$203,MATCH(C59,05_Строки_КП!$A$4:$A$203,0)),"")="READY",E59="COMPARABLE",F59&lt;&gt;"",COUNT(G59:H59)=2,G59&gt;0,H59&gt;0,I59&lt;&gt;"",J59&lt;&gt;"",COUNTIF(13_Источники!$A$4:$A$203,J59)=1,W59&lt;&gt;"",COUNTIF(13_Источники!$A$4:$A$203,W59)=1,COUNT(K59:N59)=4,ISNUMBER(O59),U59&lt;&gt;"",01_Основания!$B$8&lt;&gt;"",OR(01_Основания!$B$9="NET",01_Основания!$B$9="GROSS"),01_Основания!$B$10&lt;&gt;"",IF(AND(ISNUMBER(O59),ISNUMBER(G59),ISNUMBER(H59)),O59*G59*H59+SUM(K59:N59)&gt;=0,FALSE())),IF(S59="SELECTED",IF(AND(COUNTIFS(B$4:B$203,B59,S$4:S$203,"SELECTED")=1,T59&lt;&gt;""),"SELECTED_READY","SELECTION_ERROR"),"COMPARABLE_READY"),"INCOMPLETE / NOT_COMPARABLE"))</f>
        <v/>
      </c>
      <c r="W59" s="6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6"/>
      <c r="I60" s="4"/>
      <c r="J60" s="4"/>
      <c r="K60" s="6"/>
      <c r="L60" s="6"/>
      <c r="M60" s="6"/>
      <c r="N60" s="6"/>
      <c r="O60" s="7" t="str">
        <f aca="false">IF(C60="","",IF(IFERROR(INDEX(05_Строки_КП!$O$4:$O$203,MATCH(C60,05_Строки_КП!$A$4:$A$203,0)),"")="READY",IFERROR(INDEX(05_Строки_КП!$H$4:$H$203,MATCH(C60,05_Строки_КП!$A$4:$A$203,0)),""),""))</f>
        <v/>
      </c>
      <c r="P60" s="5" t="str">
        <f aca="false">IF(C60="","",IF(IFERROR(INDEX(05_Строки_КП!$O$4:$O$203,MATCH(C60,05_Строки_КП!$A$4:$A$203,0)),"")="READY",IFERROR(INDEX(05_Строки_КП!$L$4:$L$203,MATCH(C60,05_Строки_КП!$A$4:$A$203,0)),""),""))</f>
        <v/>
      </c>
      <c r="Q60" s="5" t="str">
        <f aca="false">IF(C60="","",IF(IFERROR(INDEX(05_Строки_КП!$O$4:$O$203,MATCH(C60,05_Строки_КП!$A$4:$A$203,0)),"")="READY",IFERROR(INDEX(05_Строки_КП!$M$4:$M$203,MATCH(C60,05_Строки_КП!$A$4:$A$203,0)),""),""))</f>
        <v/>
      </c>
      <c r="R60" s="7" t="str">
        <f aca="false">IF(OR(V60="SELECTED_READY",V60="COMPARABLE_READY"),O60*G60*H60+SUM(K60:N60),"")</f>
        <v/>
      </c>
      <c r="S60" s="4"/>
      <c r="T60" s="4"/>
      <c r="U60" s="6"/>
      <c r="V60" s="5" t="str">
        <f aca="false">IF(A60="","",IF(AND(COUNTIF(A$4:A$203,A60)=1,B60&lt;&gt;"",C60&lt;&gt;"",D60&lt;&gt;"",COUNTIF(05_Строки_КП!$A$4:$A$203,C60)=1,IFERROR(INDEX(05_Строки_КП!$C$4:$C$203,MATCH(C60,05_Строки_КП!$A$4:$A$203,0)),"")=D60,IFERROR(INDEX(05_Строки_КП!$O$4:$O$203,MATCH(C60,05_Строки_КП!$A$4:$A$203,0)),"")="READY",E60="COMPARABLE",F60&lt;&gt;"",COUNT(G60:H60)=2,G60&gt;0,H60&gt;0,I60&lt;&gt;"",J60&lt;&gt;"",COUNTIF(13_Источники!$A$4:$A$203,J60)=1,W60&lt;&gt;"",COUNTIF(13_Источники!$A$4:$A$203,W60)=1,COUNT(K60:N60)=4,ISNUMBER(O60),U60&lt;&gt;"",01_Основания!$B$8&lt;&gt;"",OR(01_Основания!$B$9="NET",01_Основания!$B$9="GROSS"),01_Основания!$B$10&lt;&gt;"",IF(AND(ISNUMBER(O60),ISNUMBER(G60),ISNUMBER(H60)),O60*G60*H60+SUM(K60:N60)&gt;=0,FALSE())),IF(S60="SELECTED",IF(AND(COUNTIFS(B$4:B$203,B60,S$4:S$203,"SELECTED")=1,T60&lt;&gt;""),"SELECTED_READY","SELECTION_ERROR"),"COMPARABLE_READY"),"INCOMPLETE / NOT_COMPARABLE"))</f>
        <v/>
      </c>
      <c r="W60" s="6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6"/>
      <c r="I61" s="4"/>
      <c r="J61" s="4"/>
      <c r="K61" s="6"/>
      <c r="L61" s="6"/>
      <c r="M61" s="6"/>
      <c r="N61" s="6"/>
      <c r="O61" s="7" t="str">
        <f aca="false">IF(C61="","",IF(IFERROR(INDEX(05_Строки_КП!$O$4:$O$203,MATCH(C61,05_Строки_КП!$A$4:$A$203,0)),"")="READY",IFERROR(INDEX(05_Строки_КП!$H$4:$H$203,MATCH(C61,05_Строки_КП!$A$4:$A$203,0)),""),""))</f>
        <v/>
      </c>
      <c r="P61" s="5" t="str">
        <f aca="false">IF(C61="","",IF(IFERROR(INDEX(05_Строки_КП!$O$4:$O$203,MATCH(C61,05_Строки_КП!$A$4:$A$203,0)),"")="READY",IFERROR(INDEX(05_Строки_КП!$L$4:$L$203,MATCH(C61,05_Строки_КП!$A$4:$A$203,0)),""),""))</f>
        <v/>
      </c>
      <c r="Q61" s="5" t="str">
        <f aca="false">IF(C61="","",IF(IFERROR(INDEX(05_Строки_КП!$O$4:$O$203,MATCH(C61,05_Строки_КП!$A$4:$A$203,0)),"")="READY",IFERROR(INDEX(05_Строки_КП!$M$4:$M$203,MATCH(C61,05_Строки_КП!$A$4:$A$203,0)),""),""))</f>
        <v/>
      </c>
      <c r="R61" s="7" t="str">
        <f aca="false">IF(OR(V61="SELECTED_READY",V61="COMPARABLE_READY"),O61*G61*H61+SUM(K61:N61),"")</f>
        <v/>
      </c>
      <c r="S61" s="4"/>
      <c r="T61" s="4"/>
      <c r="U61" s="6"/>
      <c r="V61" s="5" t="str">
        <f aca="false">IF(A61="","",IF(AND(COUNTIF(A$4:A$203,A61)=1,B61&lt;&gt;"",C61&lt;&gt;"",D61&lt;&gt;"",COUNTIF(05_Строки_КП!$A$4:$A$203,C61)=1,IFERROR(INDEX(05_Строки_КП!$C$4:$C$203,MATCH(C61,05_Строки_КП!$A$4:$A$203,0)),"")=D61,IFERROR(INDEX(05_Строки_КП!$O$4:$O$203,MATCH(C61,05_Строки_КП!$A$4:$A$203,0)),"")="READY",E61="COMPARABLE",F61&lt;&gt;"",COUNT(G61:H61)=2,G61&gt;0,H61&gt;0,I61&lt;&gt;"",J61&lt;&gt;"",COUNTIF(13_Источники!$A$4:$A$203,J61)=1,W61&lt;&gt;"",COUNTIF(13_Источники!$A$4:$A$203,W61)=1,COUNT(K61:N61)=4,ISNUMBER(O61),U61&lt;&gt;"",01_Основания!$B$8&lt;&gt;"",OR(01_Основания!$B$9="NET",01_Основания!$B$9="GROSS"),01_Основания!$B$10&lt;&gt;"",IF(AND(ISNUMBER(O61),ISNUMBER(G61),ISNUMBER(H61)),O61*G61*H61+SUM(K61:N61)&gt;=0,FALSE())),IF(S61="SELECTED",IF(AND(COUNTIFS(B$4:B$203,B61,S$4:S$203,"SELECTED")=1,T61&lt;&gt;""),"SELECTED_READY","SELECTION_ERROR"),"COMPARABLE_READY"),"INCOMPLETE / NOT_COMPARABLE"))</f>
        <v/>
      </c>
      <c r="W61" s="6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6"/>
      <c r="I62" s="4"/>
      <c r="J62" s="4"/>
      <c r="K62" s="6"/>
      <c r="L62" s="6"/>
      <c r="M62" s="6"/>
      <c r="N62" s="6"/>
      <c r="O62" s="7" t="str">
        <f aca="false">IF(C62="","",IF(IFERROR(INDEX(05_Строки_КП!$O$4:$O$203,MATCH(C62,05_Строки_КП!$A$4:$A$203,0)),"")="READY",IFERROR(INDEX(05_Строки_КП!$H$4:$H$203,MATCH(C62,05_Строки_КП!$A$4:$A$203,0)),""),""))</f>
        <v/>
      </c>
      <c r="P62" s="5" t="str">
        <f aca="false">IF(C62="","",IF(IFERROR(INDEX(05_Строки_КП!$O$4:$O$203,MATCH(C62,05_Строки_КП!$A$4:$A$203,0)),"")="READY",IFERROR(INDEX(05_Строки_КП!$L$4:$L$203,MATCH(C62,05_Строки_КП!$A$4:$A$203,0)),""),""))</f>
        <v/>
      </c>
      <c r="Q62" s="5" t="str">
        <f aca="false">IF(C62="","",IF(IFERROR(INDEX(05_Строки_КП!$O$4:$O$203,MATCH(C62,05_Строки_КП!$A$4:$A$203,0)),"")="READY",IFERROR(INDEX(05_Строки_КП!$M$4:$M$203,MATCH(C62,05_Строки_КП!$A$4:$A$203,0)),""),""))</f>
        <v/>
      </c>
      <c r="R62" s="7" t="str">
        <f aca="false">IF(OR(V62="SELECTED_READY",V62="COMPARABLE_READY"),O62*G62*H62+SUM(K62:N62),"")</f>
        <v/>
      </c>
      <c r="S62" s="4"/>
      <c r="T62" s="4"/>
      <c r="U62" s="6"/>
      <c r="V62" s="5" t="str">
        <f aca="false">IF(A62="","",IF(AND(COUNTIF(A$4:A$203,A62)=1,B62&lt;&gt;"",C62&lt;&gt;"",D62&lt;&gt;"",COUNTIF(05_Строки_КП!$A$4:$A$203,C62)=1,IFERROR(INDEX(05_Строки_КП!$C$4:$C$203,MATCH(C62,05_Строки_КП!$A$4:$A$203,0)),"")=D62,IFERROR(INDEX(05_Строки_КП!$O$4:$O$203,MATCH(C62,05_Строки_КП!$A$4:$A$203,0)),"")="READY",E62="COMPARABLE",F62&lt;&gt;"",COUNT(G62:H62)=2,G62&gt;0,H62&gt;0,I62&lt;&gt;"",J62&lt;&gt;"",COUNTIF(13_Источники!$A$4:$A$203,J62)=1,W62&lt;&gt;"",COUNTIF(13_Источники!$A$4:$A$203,W62)=1,COUNT(K62:N62)=4,ISNUMBER(O62),U62&lt;&gt;"",01_Основания!$B$8&lt;&gt;"",OR(01_Основания!$B$9="NET",01_Основания!$B$9="GROSS"),01_Основания!$B$10&lt;&gt;"",IF(AND(ISNUMBER(O62),ISNUMBER(G62),ISNUMBER(H62)),O62*G62*H62+SUM(K62:N62)&gt;=0,FALSE())),IF(S62="SELECTED",IF(AND(COUNTIFS(B$4:B$203,B62,S$4:S$203,"SELECTED")=1,T62&lt;&gt;""),"SELECTED_READY","SELECTION_ERROR"),"COMPARABLE_READY"),"INCOMPLETE / NOT_COMPARABLE"))</f>
        <v/>
      </c>
      <c r="W62" s="6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6"/>
      <c r="I63" s="4"/>
      <c r="J63" s="4"/>
      <c r="K63" s="6"/>
      <c r="L63" s="6"/>
      <c r="M63" s="6"/>
      <c r="N63" s="6"/>
      <c r="O63" s="7" t="str">
        <f aca="false">IF(C63="","",IF(IFERROR(INDEX(05_Строки_КП!$O$4:$O$203,MATCH(C63,05_Строки_КП!$A$4:$A$203,0)),"")="READY",IFERROR(INDEX(05_Строки_КП!$H$4:$H$203,MATCH(C63,05_Строки_КП!$A$4:$A$203,0)),""),""))</f>
        <v/>
      </c>
      <c r="P63" s="5" t="str">
        <f aca="false">IF(C63="","",IF(IFERROR(INDEX(05_Строки_КП!$O$4:$O$203,MATCH(C63,05_Строки_КП!$A$4:$A$203,0)),"")="READY",IFERROR(INDEX(05_Строки_КП!$L$4:$L$203,MATCH(C63,05_Строки_КП!$A$4:$A$203,0)),""),""))</f>
        <v/>
      </c>
      <c r="Q63" s="5" t="str">
        <f aca="false">IF(C63="","",IF(IFERROR(INDEX(05_Строки_КП!$O$4:$O$203,MATCH(C63,05_Строки_КП!$A$4:$A$203,0)),"")="READY",IFERROR(INDEX(05_Строки_КП!$M$4:$M$203,MATCH(C63,05_Строки_КП!$A$4:$A$203,0)),""),""))</f>
        <v/>
      </c>
      <c r="R63" s="7" t="str">
        <f aca="false">IF(OR(V63="SELECTED_READY",V63="COMPARABLE_READY"),O63*G63*H63+SUM(K63:N63),"")</f>
        <v/>
      </c>
      <c r="S63" s="4"/>
      <c r="T63" s="4"/>
      <c r="U63" s="6"/>
      <c r="V63" s="5" t="str">
        <f aca="false">IF(A63="","",IF(AND(COUNTIF(A$4:A$203,A63)=1,B63&lt;&gt;"",C63&lt;&gt;"",D63&lt;&gt;"",COUNTIF(05_Строки_КП!$A$4:$A$203,C63)=1,IFERROR(INDEX(05_Строки_КП!$C$4:$C$203,MATCH(C63,05_Строки_КП!$A$4:$A$203,0)),"")=D63,IFERROR(INDEX(05_Строки_КП!$O$4:$O$203,MATCH(C63,05_Строки_КП!$A$4:$A$203,0)),"")="READY",E63="COMPARABLE",F63&lt;&gt;"",COUNT(G63:H63)=2,G63&gt;0,H63&gt;0,I63&lt;&gt;"",J63&lt;&gt;"",COUNTIF(13_Источники!$A$4:$A$203,J63)=1,W63&lt;&gt;"",COUNTIF(13_Источники!$A$4:$A$203,W63)=1,COUNT(K63:N63)=4,ISNUMBER(O63),U63&lt;&gt;"",01_Основания!$B$8&lt;&gt;"",OR(01_Основания!$B$9="NET",01_Основания!$B$9="GROSS"),01_Основания!$B$10&lt;&gt;"",IF(AND(ISNUMBER(O63),ISNUMBER(G63),ISNUMBER(H63)),O63*G63*H63+SUM(K63:N63)&gt;=0,FALSE())),IF(S63="SELECTED",IF(AND(COUNTIFS(B$4:B$203,B63,S$4:S$203,"SELECTED")=1,T63&lt;&gt;""),"SELECTED_READY","SELECTION_ERROR"),"COMPARABLE_READY"),"INCOMPLETE / NOT_COMPARABLE"))</f>
        <v/>
      </c>
      <c r="W63" s="6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6"/>
      <c r="I64" s="4"/>
      <c r="J64" s="4"/>
      <c r="K64" s="6"/>
      <c r="L64" s="6"/>
      <c r="M64" s="6"/>
      <c r="N64" s="6"/>
      <c r="O64" s="7" t="str">
        <f aca="false">IF(C64="","",IF(IFERROR(INDEX(05_Строки_КП!$O$4:$O$203,MATCH(C64,05_Строки_КП!$A$4:$A$203,0)),"")="READY",IFERROR(INDEX(05_Строки_КП!$H$4:$H$203,MATCH(C64,05_Строки_КП!$A$4:$A$203,0)),""),""))</f>
        <v/>
      </c>
      <c r="P64" s="5" t="str">
        <f aca="false">IF(C64="","",IF(IFERROR(INDEX(05_Строки_КП!$O$4:$O$203,MATCH(C64,05_Строки_КП!$A$4:$A$203,0)),"")="READY",IFERROR(INDEX(05_Строки_КП!$L$4:$L$203,MATCH(C64,05_Строки_КП!$A$4:$A$203,0)),""),""))</f>
        <v/>
      </c>
      <c r="Q64" s="5" t="str">
        <f aca="false">IF(C64="","",IF(IFERROR(INDEX(05_Строки_КП!$O$4:$O$203,MATCH(C64,05_Строки_КП!$A$4:$A$203,0)),"")="READY",IFERROR(INDEX(05_Строки_КП!$M$4:$M$203,MATCH(C64,05_Строки_КП!$A$4:$A$203,0)),""),""))</f>
        <v/>
      </c>
      <c r="R64" s="7" t="str">
        <f aca="false">IF(OR(V64="SELECTED_READY",V64="COMPARABLE_READY"),O64*G64*H64+SUM(K64:N64),"")</f>
        <v/>
      </c>
      <c r="S64" s="4"/>
      <c r="T64" s="4"/>
      <c r="U64" s="6"/>
      <c r="V64" s="5" t="str">
        <f aca="false">IF(A64="","",IF(AND(COUNTIF(A$4:A$203,A64)=1,B64&lt;&gt;"",C64&lt;&gt;"",D64&lt;&gt;"",COUNTIF(05_Строки_КП!$A$4:$A$203,C64)=1,IFERROR(INDEX(05_Строки_КП!$C$4:$C$203,MATCH(C64,05_Строки_КП!$A$4:$A$203,0)),"")=D64,IFERROR(INDEX(05_Строки_КП!$O$4:$O$203,MATCH(C64,05_Строки_КП!$A$4:$A$203,0)),"")="READY",E64="COMPARABLE",F64&lt;&gt;"",COUNT(G64:H64)=2,G64&gt;0,H64&gt;0,I64&lt;&gt;"",J64&lt;&gt;"",COUNTIF(13_Источники!$A$4:$A$203,J64)=1,W64&lt;&gt;"",COUNTIF(13_Источники!$A$4:$A$203,W64)=1,COUNT(K64:N64)=4,ISNUMBER(O64),U64&lt;&gt;"",01_Основания!$B$8&lt;&gt;"",OR(01_Основания!$B$9="NET",01_Основания!$B$9="GROSS"),01_Основания!$B$10&lt;&gt;"",IF(AND(ISNUMBER(O64),ISNUMBER(G64),ISNUMBER(H64)),O64*G64*H64+SUM(K64:N64)&gt;=0,FALSE())),IF(S64="SELECTED",IF(AND(COUNTIFS(B$4:B$203,B64,S$4:S$203,"SELECTED")=1,T64&lt;&gt;""),"SELECTED_READY","SELECTION_ERROR"),"COMPARABLE_READY"),"INCOMPLETE / NOT_COMPARABLE"))</f>
        <v/>
      </c>
      <c r="W64" s="6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6"/>
      <c r="I65" s="4"/>
      <c r="J65" s="4"/>
      <c r="K65" s="6"/>
      <c r="L65" s="6"/>
      <c r="M65" s="6"/>
      <c r="N65" s="6"/>
      <c r="O65" s="7" t="str">
        <f aca="false">IF(C65="","",IF(IFERROR(INDEX(05_Строки_КП!$O$4:$O$203,MATCH(C65,05_Строки_КП!$A$4:$A$203,0)),"")="READY",IFERROR(INDEX(05_Строки_КП!$H$4:$H$203,MATCH(C65,05_Строки_КП!$A$4:$A$203,0)),""),""))</f>
        <v/>
      </c>
      <c r="P65" s="5" t="str">
        <f aca="false">IF(C65="","",IF(IFERROR(INDEX(05_Строки_КП!$O$4:$O$203,MATCH(C65,05_Строки_КП!$A$4:$A$203,0)),"")="READY",IFERROR(INDEX(05_Строки_КП!$L$4:$L$203,MATCH(C65,05_Строки_КП!$A$4:$A$203,0)),""),""))</f>
        <v/>
      </c>
      <c r="Q65" s="5" t="str">
        <f aca="false">IF(C65="","",IF(IFERROR(INDEX(05_Строки_КП!$O$4:$O$203,MATCH(C65,05_Строки_КП!$A$4:$A$203,0)),"")="READY",IFERROR(INDEX(05_Строки_КП!$M$4:$M$203,MATCH(C65,05_Строки_КП!$A$4:$A$203,0)),""),""))</f>
        <v/>
      </c>
      <c r="R65" s="7" t="str">
        <f aca="false">IF(OR(V65="SELECTED_READY",V65="COMPARABLE_READY"),O65*G65*H65+SUM(K65:N65),"")</f>
        <v/>
      </c>
      <c r="S65" s="4"/>
      <c r="T65" s="4"/>
      <c r="U65" s="6"/>
      <c r="V65" s="5" t="str">
        <f aca="false">IF(A65="","",IF(AND(COUNTIF(A$4:A$203,A65)=1,B65&lt;&gt;"",C65&lt;&gt;"",D65&lt;&gt;"",COUNTIF(05_Строки_КП!$A$4:$A$203,C65)=1,IFERROR(INDEX(05_Строки_КП!$C$4:$C$203,MATCH(C65,05_Строки_КП!$A$4:$A$203,0)),"")=D65,IFERROR(INDEX(05_Строки_КП!$O$4:$O$203,MATCH(C65,05_Строки_КП!$A$4:$A$203,0)),"")="READY",E65="COMPARABLE",F65&lt;&gt;"",COUNT(G65:H65)=2,G65&gt;0,H65&gt;0,I65&lt;&gt;"",J65&lt;&gt;"",COUNTIF(13_Источники!$A$4:$A$203,J65)=1,W65&lt;&gt;"",COUNTIF(13_Источники!$A$4:$A$203,W65)=1,COUNT(K65:N65)=4,ISNUMBER(O65),U65&lt;&gt;"",01_Основания!$B$8&lt;&gt;"",OR(01_Основания!$B$9="NET",01_Основания!$B$9="GROSS"),01_Основания!$B$10&lt;&gt;"",IF(AND(ISNUMBER(O65),ISNUMBER(G65),ISNUMBER(H65)),O65*G65*H65+SUM(K65:N65)&gt;=0,FALSE())),IF(S65="SELECTED",IF(AND(COUNTIFS(B$4:B$203,B65,S$4:S$203,"SELECTED")=1,T65&lt;&gt;""),"SELECTED_READY","SELECTION_ERROR"),"COMPARABLE_READY"),"INCOMPLETE / NOT_COMPARABLE"))</f>
        <v/>
      </c>
      <c r="W65" s="6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6"/>
      <c r="I66" s="4"/>
      <c r="J66" s="4"/>
      <c r="K66" s="6"/>
      <c r="L66" s="6"/>
      <c r="M66" s="6"/>
      <c r="N66" s="6"/>
      <c r="O66" s="7" t="str">
        <f aca="false">IF(C66="","",IF(IFERROR(INDEX(05_Строки_КП!$O$4:$O$203,MATCH(C66,05_Строки_КП!$A$4:$A$203,0)),"")="READY",IFERROR(INDEX(05_Строки_КП!$H$4:$H$203,MATCH(C66,05_Строки_КП!$A$4:$A$203,0)),""),""))</f>
        <v/>
      </c>
      <c r="P66" s="5" t="str">
        <f aca="false">IF(C66="","",IF(IFERROR(INDEX(05_Строки_КП!$O$4:$O$203,MATCH(C66,05_Строки_КП!$A$4:$A$203,0)),"")="READY",IFERROR(INDEX(05_Строки_КП!$L$4:$L$203,MATCH(C66,05_Строки_КП!$A$4:$A$203,0)),""),""))</f>
        <v/>
      </c>
      <c r="Q66" s="5" t="str">
        <f aca="false">IF(C66="","",IF(IFERROR(INDEX(05_Строки_КП!$O$4:$O$203,MATCH(C66,05_Строки_КП!$A$4:$A$203,0)),"")="READY",IFERROR(INDEX(05_Строки_КП!$M$4:$M$203,MATCH(C66,05_Строки_КП!$A$4:$A$203,0)),""),""))</f>
        <v/>
      </c>
      <c r="R66" s="7" t="str">
        <f aca="false">IF(OR(V66="SELECTED_READY",V66="COMPARABLE_READY"),O66*G66*H66+SUM(K66:N66),"")</f>
        <v/>
      </c>
      <c r="S66" s="4"/>
      <c r="T66" s="4"/>
      <c r="U66" s="6"/>
      <c r="V66" s="5" t="str">
        <f aca="false">IF(A66="","",IF(AND(COUNTIF(A$4:A$203,A66)=1,B66&lt;&gt;"",C66&lt;&gt;"",D66&lt;&gt;"",COUNTIF(05_Строки_КП!$A$4:$A$203,C66)=1,IFERROR(INDEX(05_Строки_КП!$C$4:$C$203,MATCH(C66,05_Строки_КП!$A$4:$A$203,0)),"")=D66,IFERROR(INDEX(05_Строки_КП!$O$4:$O$203,MATCH(C66,05_Строки_КП!$A$4:$A$203,0)),"")="READY",E66="COMPARABLE",F66&lt;&gt;"",COUNT(G66:H66)=2,G66&gt;0,H66&gt;0,I66&lt;&gt;"",J66&lt;&gt;"",COUNTIF(13_Источники!$A$4:$A$203,J66)=1,W66&lt;&gt;"",COUNTIF(13_Источники!$A$4:$A$203,W66)=1,COUNT(K66:N66)=4,ISNUMBER(O66),U66&lt;&gt;"",01_Основания!$B$8&lt;&gt;"",OR(01_Основания!$B$9="NET",01_Основания!$B$9="GROSS"),01_Основания!$B$10&lt;&gt;"",IF(AND(ISNUMBER(O66),ISNUMBER(G66),ISNUMBER(H66)),O66*G66*H66+SUM(K66:N66)&gt;=0,FALSE())),IF(S66="SELECTED",IF(AND(COUNTIFS(B$4:B$203,B66,S$4:S$203,"SELECTED")=1,T66&lt;&gt;""),"SELECTED_READY","SELECTION_ERROR"),"COMPARABLE_READY"),"INCOMPLETE / NOT_COMPARABLE"))</f>
        <v/>
      </c>
      <c r="W66" s="6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6"/>
      <c r="I67" s="4"/>
      <c r="J67" s="4"/>
      <c r="K67" s="6"/>
      <c r="L67" s="6"/>
      <c r="M67" s="6"/>
      <c r="N67" s="6"/>
      <c r="O67" s="7" t="str">
        <f aca="false">IF(C67="","",IF(IFERROR(INDEX(05_Строки_КП!$O$4:$O$203,MATCH(C67,05_Строки_КП!$A$4:$A$203,0)),"")="READY",IFERROR(INDEX(05_Строки_КП!$H$4:$H$203,MATCH(C67,05_Строки_КП!$A$4:$A$203,0)),""),""))</f>
        <v/>
      </c>
      <c r="P67" s="5" t="str">
        <f aca="false">IF(C67="","",IF(IFERROR(INDEX(05_Строки_КП!$O$4:$O$203,MATCH(C67,05_Строки_КП!$A$4:$A$203,0)),"")="READY",IFERROR(INDEX(05_Строки_КП!$L$4:$L$203,MATCH(C67,05_Строки_КП!$A$4:$A$203,0)),""),""))</f>
        <v/>
      </c>
      <c r="Q67" s="5" t="str">
        <f aca="false">IF(C67="","",IF(IFERROR(INDEX(05_Строки_КП!$O$4:$O$203,MATCH(C67,05_Строки_КП!$A$4:$A$203,0)),"")="READY",IFERROR(INDEX(05_Строки_КП!$M$4:$M$203,MATCH(C67,05_Строки_КП!$A$4:$A$203,0)),""),""))</f>
        <v/>
      </c>
      <c r="R67" s="7" t="str">
        <f aca="false">IF(OR(V67="SELECTED_READY",V67="COMPARABLE_READY"),O67*G67*H67+SUM(K67:N67),"")</f>
        <v/>
      </c>
      <c r="S67" s="4"/>
      <c r="T67" s="4"/>
      <c r="U67" s="6"/>
      <c r="V67" s="5" t="str">
        <f aca="false">IF(A67="","",IF(AND(COUNTIF(A$4:A$203,A67)=1,B67&lt;&gt;"",C67&lt;&gt;"",D67&lt;&gt;"",COUNTIF(05_Строки_КП!$A$4:$A$203,C67)=1,IFERROR(INDEX(05_Строки_КП!$C$4:$C$203,MATCH(C67,05_Строки_КП!$A$4:$A$203,0)),"")=D67,IFERROR(INDEX(05_Строки_КП!$O$4:$O$203,MATCH(C67,05_Строки_КП!$A$4:$A$203,0)),"")="READY",E67="COMPARABLE",F67&lt;&gt;"",COUNT(G67:H67)=2,G67&gt;0,H67&gt;0,I67&lt;&gt;"",J67&lt;&gt;"",COUNTIF(13_Источники!$A$4:$A$203,J67)=1,W67&lt;&gt;"",COUNTIF(13_Источники!$A$4:$A$203,W67)=1,COUNT(K67:N67)=4,ISNUMBER(O67),U67&lt;&gt;"",01_Основания!$B$8&lt;&gt;"",OR(01_Основания!$B$9="NET",01_Основания!$B$9="GROSS"),01_Основания!$B$10&lt;&gt;"",IF(AND(ISNUMBER(O67),ISNUMBER(G67),ISNUMBER(H67)),O67*G67*H67+SUM(K67:N67)&gt;=0,FALSE())),IF(S67="SELECTED",IF(AND(COUNTIFS(B$4:B$203,B67,S$4:S$203,"SELECTED")=1,T67&lt;&gt;""),"SELECTED_READY","SELECTION_ERROR"),"COMPARABLE_READY"),"INCOMPLETE / NOT_COMPARABLE"))</f>
        <v/>
      </c>
      <c r="W67" s="6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6"/>
      <c r="I68" s="4"/>
      <c r="J68" s="4"/>
      <c r="K68" s="6"/>
      <c r="L68" s="6"/>
      <c r="M68" s="6"/>
      <c r="N68" s="6"/>
      <c r="O68" s="7" t="str">
        <f aca="false">IF(C68="","",IF(IFERROR(INDEX(05_Строки_КП!$O$4:$O$203,MATCH(C68,05_Строки_КП!$A$4:$A$203,0)),"")="READY",IFERROR(INDEX(05_Строки_КП!$H$4:$H$203,MATCH(C68,05_Строки_КП!$A$4:$A$203,0)),""),""))</f>
        <v/>
      </c>
      <c r="P68" s="5" t="str">
        <f aca="false">IF(C68="","",IF(IFERROR(INDEX(05_Строки_КП!$O$4:$O$203,MATCH(C68,05_Строки_КП!$A$4:$A$203,0)),"")="READY",IFERROR(INDEX(05_Строки_КП!$L$4:$L$203,MATCH(C68,05_Строки_КП!$A$4:$A$203,0)),""),""))</f>
        <v/>
      </c>
      <c r="Q68" s="5" t="str">
        <f aca="false">IF(C68="","",IF(IFERROR(INDEX(05_Строки_КП!$O$4:$O$203,MATCH(C68,05_Строки_КП!$A$4:$A$203,0)),"")="READY",IFERROR(INDEX(05_Строки_КП!$M$4:$M$203,MATCH(C68,05_Строки_КП!$A$4:$A$203,0)),""),""))</f>
        <v/>
      </c>
      <c r="R68" s="7" t="str">
        <f aca="false">IF(OR(V68="SELECTED_READY",V68="COMPARABLE_READY"),O68*G68*H68+SUM(K68:N68),"")</f>
        <v/>
      </c>
      <c r="S68" s="4"/>
      <c r="T68" s="4"/>
      <c r="U68" s="6"/>
      <c r="V68" s="5" t="str">
        <f aca="false">IF(A68="","",IF(AND(COUNTIF(A$4:A$203,A68)=1,B68&lt;&gt;"",C68&lt;&gt;"",D68&lt;&gt;"",COUNTIF(05_Строки_КП!$A$4:$A$203,C68)=1,IFERROR(INDEX(05_Строки_КП!$C$4:$C$203,MATCH(C68,05_Строки_КП!$A$4:$A$203,0)),"")=D68,IFERROR(INDEX(05_Строки_КП!$O$4:$O$203,MATCH(C68,05_Строки_КП!$A$4:$A$203,0)),"")="READY",E68="COMPARABLE",F68&lt;&gt;"",COUNT(G68:H68)=2,G68&gt;0,H68&gt;0,I68&lt;&gt;"",J68&lt;&gt;"",COUNTIF(13_Источники!$A$4:$A$203,J68)=1,W68&lt;&gt;"",COUNTIF(13_Источники!$A$4:$A$203,W68)=1,COUNT(K68:N68)=4,ISNUMBER(O68),U68&lt;&gt;"",01_Основания!$B$8&lt;&gt;"",OR(01_Основания!$B$9="NET",01_Основания!$B$9="GROSS"),01_Основания!$B$10&lt;&gt;"",IF(AND(ISNUMBER(O68),ISNUMBER(G68),ISNUMBER(H68)),O68*G68*H68+SUM(K68:N68)&gt;=0,FALSE())),IF(S68="SELECTED",IF(AND(COUNTIFS(B$4:B$203,B68,S$4:S$203,"SELECTED")=1,T68&lt;&gt;""),"SELECTED_READY","SELECTION_ERROR"),"COMPARABLE_READY"),"INCOMPLETE / NOT_COMPARABLE"))</f>
        <v/>
      </c>
      <c r="W68" s="6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6"/>
      <c r="I69" s="4"/>
      <c r="J69" s="4"/>
      <c r="K69" s="6"/>
      <c r="L69" s="6"/>
      <c r="M69" s="6"/>
      <c r="N69" s="6"/>
      <c r="O69" s="7" t="str">
        <f aca="false">IF(C69="","",IF(IFERROR(INDEX(05_Строки_КП!$O$4:$O$203,MATCH(C69,05_Строки_КП!$A$4:$A$203,0)),"")="READY",IFERROR(INDEX(05_Строки_КП!$H$4:$H$203,MATCH(C69,05_Строки_КП!$A$4:$A$203,0)),""),""))</f>
        <v/>
      </c>
      <c r="P69" s="5" t="str">
        <f aca="false">IF(C69="","",IF(IFERROR(INDEX(05_Строки_КП!$O$4:$O$203,MATCH(C69,05_Строки_КП!$A$4:$A$203,0)),"")="READY",IFERROR(INDEX(05_Строки_КП!$L$4:$L$203,MATCH(C69,05_Строки_КП!$A$4:$A$203,0)),""),""))</f>
        <v/>
      </c>
      <c r="Q69" s="5" t="str">
        <f aca="false">IF(C69="","",IF(IFERROR(INDEX(05_Строки_КП!$O$4:$O$203,MATCH(C69,05_Строки_КП!$A$4:$A$203,0)),"")="READY",IFERROR(INDEX(05_Строки_КП!$M$4:$M$203,MATCH(C69,05_Строки_КП!$A$4:$A$203,0)),""),""))</f>
        <v/>
      </c>
      <c r="R69" s="7" t="str">
        <f aca="false">IF(OR(V69="SELECTED_READY",V69="COMPARABLE_READY"),O69*G69*H69+SUM(K69:N69),"")</f>
        <v/>
      </c>
      <c r="S69" s="4"/>
      <c r="T69" s="4"/>
      <c r="U69" s="6"/>
      <c r="V69" s="5" t="str">
        <f aca="false">IF(A69="","",IF(AND(COUNTIF(A$4:A$203,A69)=1,B69&lt;&gt;"",C69&lt;&gt;"",D69&lt;&gt;"",COUNTIF(05_Строки_КП!$A$4:$A$203,C69)=1,IFERROR(INDEX(05_Строки_КП!$C$4:$C$203,MATCH(C69,05_Строки_КП!$A$4:$A$203,0)),"")=D69,IFERROR(INDEX(05_Строки_КП!$O$4:$O$203,MATCH(C69,05_Строки_КП!$A$4:$A$203,0)),"")="READY",E69="COMPARABLE",F69&lt;&gt;"",COUNT(G69:H69)=2,G69&gt;0,H69&gt;0,I69&lt;&gt;"",J69&lt;&gt;"",COUNTIF(13_Источники!$A$4:$A$203,J69)=1,W69&lt;&gt;"",COUNTIF(13_Источники!$A$4:$A$203,W69)=1,COUNT(K69:N69)=4,ISNUMBER(O69),U69&lt;&gt;"",01_Основания!$B$8&lt;&gt;"",OR(01_Основания!$B$9="NET",01_Основания!$B$9="GROSS"),01_Основания!$B$10&lt;&gt;"",IF(AND(ISNUMBER(O69),ISNUMBER(G69),ISNUMBER(H69)),O69*G69*H69+SUM(K69:N69)&gt;=0,FALSE())),IF(S69="SELECTED",IF(AND(COUNTIFS(B$4:B$203,B69,S$4:S$203,"SELECTED")=1,T69&lt;&gt;""),"SELECTED_READY","SELECTION_ERROR"),"COMPARABLE_READY"),"INCOMPLETE / NOT_COMPARABLE"))</f>
        <v/>
      </c>
      <c r="W69" s="6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6"/>
      <c r="I70" s="4"/>
      <c r="J70" s="4"/>
      <c r="K70" s="6"/>
      <c r="L70" s="6"/>
      <c r="M70" s="6"/>
      <c r="N70" s="6"/>
      <c r="O70" s="7" t="str">
        <f aca="false">IF(C70="","",IF(IFERROR(INDEX(05_Строки_КП!$O$4:$O$203,MATCH(C70,05_Строки_КП!$A$4:$A$203,0)),"")="READY",IFERROR(INDEX(05_Строки_КП!$H$4:$H$203,MATCH(C70,05_Строки_КП!$A$4:$A$203,0)),""),""))</f>
        <v/>
      </c>
      <c r="P70" s="5" t="str">
        <f aca="false">IF(C70="","",IF(IFERROR(INDEX(05_Строки_КП!$O$4:$O$203,MATCH(C70,05_Строки_КП!$A$4:$A$203,0)),"")="READY",IFERROR(INDEX(05_Строки_КП!$L$4:$L$203,MATCH(C70,05_Строки_КП!$A$4:$A$203,0)),""),""))</f>
        <v/>
      </c>
      <c r="Q70" s="5" t="str">
        <f aca="false">IF(C70="","",IF(IFERROR(INDEX(05_Строки_КП!$O$4:$O$203,MATCH(C70,05_Строки_КП!$A$4:$A$203,0)),"")="READY",IFERROR(INDEX(05_Строки_КП!$M$4:$M$203,MATCH(C70,05_Строки_КП!$A$4:$A$203,0)),""),""))</f>
        <v/>
      </c>
      <c r="R70" s="7" t="str">
        <f aca="false">IF(OR(V70="SELECTED_READY",V70="COMPARABLE_READY"),O70*G70*H70+SUM(K70:N70),"")</f>
        <v/>
      </c>
      <c r="S70" s="4"/>
      <c r="T70" s="4"/>
      <c r="U70" s="6"/>
      <c r="V70" s="5" t="str">
        <f aca="false">IF(A70="","",IF(AND(COUNTIF(A$4:A$203,A70)=1,B70&lt;&gt;"",C70&lt;&gt;"",D70&lt;&gt;"",COUNTIF(05_Строки_КП!$A$4:$A$203,C70)=1,IFERROR(INDEX(05_Строки_КП!$C$4:$C$203,MATCH(C70,05_Строки_КП!$A$4:$A$203,0)),"")=D70,IFERROR(INDEX(05_Строки_КП!$O$4:$O$203,MATCH(C70,05_Строки_КП!$A$4:$A$203,0)),"")="READY",E70="COMPARABLE",F70&lt;&gt;"",COUNT(G70:H70)=2,G70&gt;0,H70&gt;0,I70&lt;&gt;"",J70&lt;&gt;"",COUNTIF(13_Источники!$A$4:$A$203,J70)=1,W70&lt;&gt;"",COUNTIF(13_Источники!$A$4:$A$203,W70)=1,COUNT(K70:N70)=4,ISNUMBER(O70),U70&lt;&gt;"",01_Основания!$B$8&lt;&gt;"",OR(01_Основания!$B$9="NET",01_Основания!$B$9="GROSS"),01_Основания!$B$10&lt;&gt;"",IF(AND(ISNUMBER(O70),ISNUMBER(G70),ISNUMBER(H70)),O70*G70*H70+SUM(K70:N70)&gt;=0,FALSE())),IF(S70="SELECTED",IF(AND(COUNTIFS(B$4:B$203,B70,S$4:S$203,"SELECTED")=1,T70&lt;&gt;""),"SELECTED_READY","SELECTION_ERROR"),"COMPARABLE_READY"),"INCOMPLETE / NOT_COMPARABLE"))</f>
        <v/>
      </c>
      <c r="W70" s="6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6"/>
      <c r="I71" s="4"/>
      <c r="J71" s="4"/>
      <c r="K71" s="6"/>
      <c r="L71" s="6"/>
      <c r="M71" s="6"/>
      <c r="N71" s="6"/>
      <c r="O71" s="7" t="str">
        <f aca="false">IF(C71="","",IF(IFERROR(INDEX(05_Строки_КП!$O$4:$O$203,MATCH(C71,05_Строки_КП!$A$4:$A$203,0)),"")="READY",IFERROR(INDEX(05_Строки_КП!$H$4:$H$203,MATCH(C71,05_Строки_КП!$A$4:$A$203,0)),""),""))</f>
        <v/>
      </c>
      <c r="P71" s="5" t="str">
        <f aca="false">IF(C71="","",IF(IFERROR(INDEX(05_Строки_КП!$O$4:$O$203,MATCH(C71,05_Строки_КП!$A$4:$A$203,0)),"")="READY",IFERROR(INDEX(05_Строки_КП!$L$4:$L$203,MATCH(C71,05_Строки_КП!$A$4:$A$203,0)),""),""))</f>
        <v/>
      </c>
      <c r="Q71" s="5" t="str">
        <f aca="false">IF(C71="","",IF(IFERROR(INDEX(05_Строки_КП!$O$4:$O$203,MATCH(C71,05_Строки_КП!$A$4:$A$203,0)),"")="READY",IFERROR(INDEX(05_Строки_КП!$M$4:$M$203,MATCH(C71,05_Строки_КП!$A$4:$A$203,0)),""),""))</f>
        <v/>
      </c>
      <c r="R71" s="7" t="str">
        <f aca="false">IF(OR(V71="SELECTED_READY",V71="COMPARABLE_READY"),O71*G71*H71+SUM(K71:N71),"")</f>
        <v/>
      </c>
      <c r="S71" s="4"/>
      <c r="T71" s="4"/>
      <c r="U71" s="6"/>
      <c r="V71" s="5" t="str">
        <f aca="false">IF(A71="","",IF(AND(COUNTIF(A$4:A$203,A71)=1,B71&lt;&gt;"",C71&lt;&gt;"",D71&lt;&gt;"",COUNTIF(05_Строки_КП!$A$4:$A$203,C71)=1,IFERROR(INDEX(05_Строки_КП!$C$4:$C$203,MATCH(C71,05_Строки_КП!$A$4:$A$203,0)),"")=D71,IFERROR(INDEX(05_Строки_КП!$O$4:$O$203,MATCH(C71,05_Строки_КП!$A$4:$A$203,0)),"")="READY",E71="COMPARABLE",F71&lt;&gt;"",COUNT(G71:H71)=2,G71&gt;0,H71&gt;0,I71&lt;&gt;"",J71&lt;&gt;"",COUNTIF(13_Источники!$A$4:$A$203,J71)=1,W71&lt;&gt;"",COUNTIF(13_Источники!$A$4:$A$203,W71)=1,COUNT(K71:N71)=4,ISNUMBER(O71),U71&lt;&gt;"",01_Основания!$B$8&lt;&gt;"",OR(01_Основания!$B$9="NET",01_Основания!$B$9="GROSS"),01_Основания!$B$10&lt;&gt;"",IF(AND(ISNUMBER(O71),ISNUMBER(G71),ISNUMBER(H71)),O71*G71*H71+SUM(K71:N71)&gt;=0,FALSE())),IF(S71="SELECTED",IF(AND(COUNTIFS(B$4:B$203,B71,S$4:S$203,"SELECTED")=1,T71&lt;&gt;""),"SELECTED_READY","SELECTION_ERROR"),"COMPARABLE_READY"),"INCOMPLETE / NOT_COMPARABLE"))</f>
        <v/>
      </c>
      <c r="W71" s="6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6"/>
      <c r="I72" s="4"/>
      <c r="J72" s="4"/>
      <c r="K72" s="6"/>
      <c r="L72" s="6"/>
      <c r="M72" s="6"/>
      <c r="N72" s="6"/>
      <c r="O72" s="7" t="str">
        <f aca="false">IF(C72="","",IF(IFERROR(INDEX(05_Строки_КП!$O$4:$O$203,MATCH(C72,05_Строки_КП!$A$4:$A$203,0)),"")="READY",IFERROR(INDEX(05_Строки_КП!$H$4:$H$203,MATCH(C72,05_Строки_КП!$A$4:$A$203,0)),""),""))</f>
        <v/>
      </c>
      <c r="P72" s="5" t="str">
        <f aca="false">IF(C72="","",IF(IFERROR(INDEX(05_Строки_КП!$O$4:$O$203,MATCH(C72,05_Строки_КП!$A$4:$A$203,0)),"")="READY",IFERROR(INDEX(05_Строки_КП!$L$4:$L$203,MATCH(C72,05_Строки_КП!$A$4:$A$203,0)),""),""))</f>
        <v/>
      </c>
      <c r="Q72" s="5" t="str">
        <f aca="false">IF(C72="","",IF(IFERROR(INDEX(05_Строки_КП!$O$4:$O$203,MATCH(C72,05_Строки_КП!$A$4:$A$203,0)),"")="READY",IFERROR(INDEX(05_Строки_КП!$M$4:$M$203,MATCH(C72,05_Строки_КП!$A$4:$A$203,0)),""),""))</f>
        <v/>
      </c>
      <c r="R72" s="7" t="str">
        <f aca="false">IF(OR(V72="SELECTED_READY",V72="COMPARABLE_READY"),O72*G72*H72+SUM(K72:N72),"")</f>
        <v/>
      </c>
      <c r="S72" s="4"/>
      <c r="T72" s="4"/>
      <c r="U72" s="6"/>
      <c r="V72" s="5" t="str">
        <f aca="false">IF(A72="","",IF(AND(COUNTIF(A$4:A$203,A72)=1,B72&lt;&gt;"",C72&lt;&gt;"",D72&lt;&gt;"",COUNTIF(05_Строки_КП!$A$4:$A$203,C72)=1,IFERROR(INDEX(05_Строки_КП!$C$4:$C$203,MATCH(C72,05_Строки_КП!$A$4:$A$203,0)),"")=D72,IFERROR(INDEX(05_Строки_КП!$O$4:$O$203,MATCH(C72,05_Строки_КП!$A$4:$A$203,0)),"")="READY",E72="COMPARABLE",F72&lt;&gt;"",COUNT(G72:H72)=2,G72&gt;0,H72&gt;0,I72&lt;&gt;"",J72&lt;&gt;"",COUNTIF(13_Источники!$A$4:$A$203,J72)=1,W72&lt;&gt;"",COUNTIF(13_Источники!$A$4:$A$203,W72)=1,COUNT(K72:N72)=4,ISNUMBER(O72),U72&lt;&gt;"",01_Основания!$B$8&lt;&gt;"",OR(01_Основания!$B$9="NET",01_Основания!$B$9="GROSS"),01_Основания!$B$10&lt;&gt;"",IF(AND(ISNUMBER(O72),ISNUMBER(G72),ISNUMBER(H72)),O72*G72*H72+SUM(K72:N72)&gt;=0,FALSE())),IF(S72="SELECTED",IF(AND(COUNTIFS(B$4:B$203,B72,S$4:S$203,"SELECTED")=1,T72&lt;&gt;""),"SELECTED_READY","SELECTION_ERROR"),"COMPARABLE_READY"),"INCOMPLETE / NOT_COMPARABLE"))</f>
        <v/>
      </c>
      <c r="W72" s="6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6"/>
      <c r="I73" s="4"/>
      <c r="J73" s="4"/>
      <c r="K73" s="6"/>
      <c r="L73" s="6"/>
      <c r="M73" s="6"/>
      <c r="N73" s="6"/>
      <c r="O73" s="7" t="str">
        <f aca="false">IF(C73="","",IF(IFERROR(INDEX(05_Строки_КП!$O$4:$O$203,MATCH(C73,05_Строки_КП!$A$4:$A$203,0)),"")="READY",IFERROR(INDEX(05_Строки_КП!$H$4:$H$203,MATCH(C73,05_Строки_КП!$A$4:$A$203,0)),""),""))</f>
        <v/>
      </c>
      <c r="P73" s="5" t="str">
        <f aca="false">IF(C73="","",IF(IFERROR(INDEX(05_Строки_КП!$O$4:$O$203,MATCH(C73,05_Строки_КП!$A$4:$A$203,0)),"")="READY",IFERROR(INDEX(05_Строки_КП!$L$4:$L$203,MATCH(C73,05_Строки_КП!$A$4:$A$203,0)),""),""))</f>
        <v/>
      </c>
      <c r="Q73" s="5" t="str">
        <f aca="false">IF(C73="","",IF(IFERROR(INDEX(05_Строки_КП!$O$4:$O$203,MATCH(C73,05_Строки_КП!$A$4:$A$203,0)),"")="READY",IFERROR(INDEX(05_Строки_КП!$M$4:$M$203,MATCH(C73,05_Строки_КП!$A$4:$A$203,0)),""),""))</f>
        <v/>
      </c>
      <c r="R73" s="7" t="str">
        <f aca="false">IF(OR(V73="SELECTED_READY",V73="COMPARABLE_READY"),O73*G73*H73+SUM(K73:N73),"")</f>
        <v/>
      </c>
      <c r="S73" s="4"/>
      <c r="T73" s="4"/>
      <c r="U73" s="6"/>
      <c r="V73" s="5" t="str">
        <f aca="false">IF(A73="","",IF(AND(COUNTIF(A$4:A$203,A73)=1,B73&lt;&gt;"",C73&lt;&gt;"",D73&lt;&gt;"",COUNTIF(05_Строки_КП!$A$4:$A$203,C73)=1,IFERROR(INDEX(05_Строки_КП!$C$4:$C$203,MATCH(C73,05_Строки_КП!$A$4:$A$203,0)),"")=D73,IFERROR(INDEX(05_Строки_КП!$O$4:$O$203,MATCH(C73,05_Строки_КП!$A$4:$A$203,0)),"")="READY",E73="COMPARABLE",F73&lt;&gt;"",COUNT(G73:H73)=2,G73&gt;0,H73&gt;0,I73&lt;&gt;"",J73&lt;&gt;"",COUNTIF(13_Источники!$A$4:$A$203,J73)=1,W73&lt;&gt;"",COUNTIF(13_Источники!$A$4:$A$203,W73)=1,COUNT(K73:N73)=4,ISNUMBER(O73),U73&lt;&gt;"",01_Основания!$B$8&lt;&gt;"",OR(01_Основания!$B$9="NET",01_Основания!$B$9="GROSS"),01_Основания!$B$10&lt;&gt;"",IF(AND(ISNUMBER(O73),ISNUMBER(G73),ISNUMBER(H73)),O73*G73*H73+SUM(K73:N73)&gt;=0,FALSE())),IF(S73="SELECTED",IF(AND(COUNTIFS(B$4:B$203,B73,S$4:S$203,"SELECTED")=1,T73&lt;&gt;""),"SELECTED_READY","SELECTION_ERROR"),"COMPARABLE_READY"),"INCOMPLETE / NOT_COMPARABLE"))</f>
        <v/>
      </c>
      <c r="W73" s="6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6"/>
      <c r="I74" s="4"/>
      <c r="J74" s="4"/>
      <c r="K74" s="6"/>
      <c r="L74" s="6"/>
      <c r="M74" s="6"/>
      <c r="N74" s="6"/>
      <c r="O74" s="7" t="str">
        <f aca="false">IF(C74="","",IF(IFERROR(INDEX(05_Строки_КП!$O$4:$O$203,MATCH(C74,05_Строки_КП!$A$4:$A$203,0)),"")="READY",IFERROR(INDEX(05_Строки_КП!$H$4:$H$203,MATCH(C74,05_Строки_КП!$A$4:$A$203,0)),""),""))</f>
        <v/>
      </c>
      <c r="P74" s="5" t="str">
        <f aca="false">IF(C74="","",IF(IFERROR(INDEX(05_Строки_КП!$O$4:$O$203,MATCH(C74,05_Строки_КП!$A$4:$A$203,0)),"")="READY",IFERROR(INDEX(05_Строки_КП!$L$4:$L$203,MATCH(C74,05_Строки_КП!$A$4:$A$203,0)),""),""))</f>
        <v/>
      </c>
      <c r="Q74" s="5" t="str">
        <f aca="false">IF(C74="","",IF(IFERROR(INDEX(05_Строки_КП!$O$4:$O$203,MATCH(C74,05_Строки_КП!$A$4:$A$203,0)),"")="READY",IFERROR(INDEX(05_Строки_КП!$M$4:$M$203,MATCH(C74,05_Строки_КП!$A$4:$A$203,0)),""),""))</f>
        <v/>
      </c>
      <c r="R74" s="7" t="str">
        <f aca="false">IF(OR(V74="SELECTED_READY",V74="COMPARABLE_READY"),O74*G74*H74+SUM(K74:N74),"")</f>
        <v/>
      </c>
      <c r="S74" s="4"/>
      <c r="T74" s="4"/>
      <c r="U74" s="6"/>
      <c r="V74" s="5" t="str">
        <f aca="false">IF(A74="","",IF(AND(COUNTIF(A$4:A$203,A74)=1,B74&lt;&gt;"",C74&lt;&gt;"",D74&lt;&gt;"",COUNTIF(05_Строки_КП!$A$4:$A$203,C74)=1,IFERROR(INDEX(05_Строки_КП!$C$4:$C$203,MATCH(C74,05_Строки_КП!$A$4:$A$203,0)),"")=D74,IFERROR(INDEX(05_Строки_КП!$O$4:$O$203,MATCH(C74,05_Строки_КП!$A$4:$A$203,0)),"")="READY",E74="COMPARABLE",F74&lt;&gt;"",COUNT(G74:H74)=2,G74&gt;0,H74&gt;0,I74&lt;&gt;"",J74&lt;&gt;"",COUNTIF(13_Источники!$A$4:$A$203,J74)=1,W74&lt;&gt;"",COUNTIF(13_Источники!$A$4:$A$203,W74)=1,COUNT(K74:N74)=4,ISNUMBER(O74),U74&lt;&gt;"",01_Основания!$B$8&lt;&gt;"",OR(01_Основания!$B$9="NET",01_Основания!$B$9="GROSS"),01_Основания!$B$10&lt;&gt;"",IF(AND(ISNUMBER(O74),ISNUMBER(G74),ISNUMBER(H74)),O74*G74*H74+SUM(K74:N74)&gt;=0,FALSE())),IF(S74="SELECTED",IF(AND(COUNTIFS(B$4:B$203,B74,S$4:S$203,"SELECTED")=1,T74&lt;&gt;""),"SELECTED_READY","SELECTION_ERROR"),"COMPARABLE_READY"),"INCOMPLETE / NOT_COMPARABLE"))</f>
        <v/>
      </c>
      <c r="W74" s="6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6"/>
      <c r="I75" s="4"/>
      <c r="J75" s="4"/>
      <c r="K75" s="6"/>
      <c r="L75" s="6"/>
      <c r="M75" s="6"/>
      <c r="N75" s="6"/>
      <c r="O75" s="7" t="str">
        <f aca="false">IF(C75="","",IF(IFERROR(INDEX(05_Строки_КП!$O$4:$O$203,MATCH(C75,05_Строки_КП!$A$4:$A$203,0)),"")="READY",IFERROR(INDEX(05_Строки_КП!$H$4:$H$203,MATCH(C75,05_Строки_КП!$A$4:$A$203,0)),""),""))</f>
        <v/>
      </c>
      <c r="P75" s="5" t="str">
        <f aca="false">IF(C75="","",IF(IFERROR(INDEX(05_Строки_КП!$O$4:$O$203,MATCH(C75,05_Строки_КП!$A$4:$A$203,0)),"")="READY",IFERROR(INDEX(05_Строки_КП!$L$4:$L$203,MATCH(C75,05_Строки_КП!$A$4:$A$203,0)),""),""))</f>
        <v/>
      </c>
      <c r="Q75" s="5" t="str">
        <f aca="false">IF(C75="","",IF(IFERROR(INDEX(05_Строки_КП!$O$4:$O$203,MATCH(C75,05_Строки_КП!$A$4:$A$203,0)),"")="READY",IFERROR(INDEX(05_Строки_КП!$M$4:$M$203,MATCH(C75,05_Строки_КП!$A$4:$A$203,0)),""),""))</f>
        <v/>
      </c>
      <c r="R75" s="7" t="str">
        <f aca="false">IF(OR(V75="SELECTED_READY",V75="COMPARABLE_READY"),O75*G75*H75+SUM(K75:N75),"")</f>
        <v/>
      </c>
      <c r="S75" s="4"/>
      <c r="T75" s="4"/>
      <c r="U75" s="6"/>
      <c r="V75" s="5" t="str">
        <f aca="false">IF(A75="","",IF(AND(COUNTIF(A$4:A$203,A75)=1,B75&lt;&gt;"",C75&lt;&gt;"",D75&lt;&gt;"",COUNTIF(05_Строки_КП!$A$4:$A$203,C75)=1,IFERROR(INDEX(05_Строки_КП!$C$4:$C$203,MATCH(C75,05_Строки_КП!$A$4:$A$203,0)),"")=D75,IFERROR(INDEX(05_Строки_КП!$O$4:$O$203,MATCH(C75,05_Строки_КП!$A$4:$A$203,0)),"")="READY",E75="COMPARABLE",F75&lt;&gt;"",COUNT(G75:H75)=2,G75&gt;0,H75&gt;0,I75&lt;&gt;"",J75&lt;&gt;"",COUNTIF(13_Источники!$A$4:$A$203,J75)=1,W75&lt;&gt;"",COUNTIF(13_Источники!$A$4:$A$203,W75)=1,COUNT(K75:N75)=4,ISNUMBER(O75),U75&lt;&gt;"",01_Основания!$B$8&lt;&gt;"",OR(01_Основания!$B$9="NET",01_Основания!$B$9="GROSS"),01_Основания!$B$10&lt;&gt;"",IF(AND(ISNUMBER(O75),ISNUMBER(G75),ISNUMBER(H75)),O75*G75*H75+SUM(K75:N75)&gt;=0,FALSE())),IF(S75="SELECTED",IF(AND(COUNTIFS(B$4:B$203,B75,S$4:S$203,"SELECTED")=1,T75&lt;&gt;""),"SELECTED_READY","SELECTION_ERROR"),"COMPARABLE_READY"),"INCOMPLETE / NOT_COMPARABLE"))</f>
        <v/>
      </c>
      <c r="W75" s="6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6"/>
      <c r="I76" s="4"/>
      <c r="J76" s="4"/>
      <c r="K76" s="6"/>
      <c r="L76" s="6"/>
      <c r="M76" s="6"/>
      <c r="N76" s="6"/>
      <c r="O76" s="7" t="str">
        <f aca="false">IF(C76="","",IF(IFERROR(INDEX(05_Строки_КП!$O$4:$O$203,MATCH(C76,05_Строки_КП!$A$4:$A$203,0)),"")="READY",IFERROR(INDEX(05_Строки_КП!$H$4:$H$203,MATCH(C76,05_Строки_КП!$A$4:$A$203,0)),""),""))</f>
        <v/>
      </c>
      <c r="P76" s="5" t="str">
        <f aca="false">IF(C76="","",IF(IFERROR(INDEX(05_Строки_КП!$O$4:$O$203,MATCH(C76,05_Строки_КП!$A$4:$A$203,0)),"")="READY",IFERROR(INDEX(05_Строки_КП!$L$4:$L$203,MATCH(C76,05_Строки_КП!$A$4:$A$203,0)),""),""))</f>
        <v/>
      </c>
      <c r="Q76" s="5" t="str">
        <f aca="false">IF(C76="","",IF(IFERROR(INDEX(05_Строки_КП!$O$4:$O$203,MATCH(C76,05_Строки_КП!$A$4:$A$203,0)),"")="READY",IFERROR(INDEX(05_Строки_КП!$M$4:$M$203,MATCH(C76,05_Строки_КП!$A$4:$A$203,0)),""),""))</f>
        <v/>
      </c>
      <c r="R76" s="7" t="str">
        <f aca="false">IF(OR(V76="SELECTED_READY",V76="COMPARABLE_READY"),O76*G76*H76+SUM(K76:N76),"")</f>
        <v/>
      </c>
      <c r="S76" s="4"/>
      <c r="T76" s="4"/>
      <c r="U76" s="6"/>
      <c r="V76" s="5" t="str">
        <f aca="false">IF(A76="","",IF(AND(COUNTIF(A$4:A$203,A76)=1,B76&lt;&gt;"",C76&lt;&gt;"",D76&lt;&gt;"",COUNTIF(05_Строки_КП!$A$4:$A$203,C76)=1,IFERROR(INDEX(05_Строки_КП!$C$4:$C$203,MATCH(C76,05_Строки_КП!$A$4:$A$203,0)),"")=D76,IFERROR(INDEX(05_Строки_КП!$O$4:$O$203,MATCH(C76,05_Строки_КП!$A$4:$A$203,0)),"")="READY",E76="COMPARABLE",F76&lt;&gt;"",COUNT(G76:H76)=2,G76&gt;0,H76&gt;0,I76&lt;&gt;"",J76&lt;&gt;"",COUNTIF(13_Источники!$A$4:$A$203,J76)=1,W76&lt;&gt;"",COUNTIF(13_Источники!$A$4:$A$203,W76)=1,COUNT(K76:N76)=4,ISNUMBER(O76),U76&lt;&gt;"",01_Основания!$B$8&lt;&gt;"",OR(01_Основания!$B$9="NET",01_Основания!$B$9="GROSS"),01_Основания!$B$10&lt;&gt;"",IF(AND(ISNUMBER(O76),ISNUMBER(G76),ISNUMBER(H76)),O76*G76*H76+SUM(K76:N76)&gt;=0,FALSE())),IF(S76="SELECTED",IF(AND(COUNTIFS(B$4:B$203,B76,S$4:S$203,"SELECTED")=1,T76&lt;&gt;""),"SELECTED_READY","SELECTION_ERROR"),"COMPARABLE_READY"),"INCOMPLETE / NOT_COMPARABLE"))</f>
        <v/>
      </c>
      <c r="W76" s="6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6"/>
      <c r="I77" s="4"/>
      <c r="J77" s="4"/>
      <c r="K77" s="6"/>
      <c r="L77" s="6"/>
      <c r="M77" s="6"/>
      <c r="N77" s="6"/>
      <c r="O77" s="7" t="str">
        <f aca="false">IF(C77="","",IF(IFERROR(INDEX(05_Строки_КП!$O$4:$O$203,MATCH(C77,05_Строки_КП!$A$4:$A$203,0)),"")="READY",IFERROR(INDEX(05_Строки_КП!$H$4:$H$203,MATCH(C77,05_Строки_КП!$A$4:$A$203,0)),""),""))</f>
        <v/>
      </c>
      <c r="P77" s="5" t="str">
        <f aca="false">IF(C77="","",IF(IFERROR(INDEX(05_Строки_КП!$O$4:$O$203,MATCH(C77,05_Строки_КП!$A$4:$A$203,0)),"")="READY",IFERROR(INDEX(05_Строки_КП!$L$4:$L$203,MATCH(C77,05_Строки_КП!$A$4:$A$203,0)),""),""))</f>
        <v/>
      </c>
      <c r="Q77" s="5" t="str">
        <f aca="false">IF(C77="","",IF(IFERROR(INDEX(05_Строки_КП!$O$4:$O$203,MATCH(C77,05_Строки_КП!$A$4:$A$203,0)),"")="READY",IFERROR(INDEX(05_Строки_КП!$M$4:$M$203,MATCH(C77,05_Строки_КП!$A$4:$A$203,0)),""),""))</f>
        <v/>
      </c>
      <c r="R77" s="7" t="str">
        <f aca="false">IF(OR(V77="SELECTED_READY",V77="COMPARABLE_READY"),O77*G77*H77+SUM(K77:N77),"")</f>
        <v/>
      </c>
      <c r="S77" s="4"/>
      <c r="T77" s="4"/>
      <c r="U77" s="6"/>
      <c r="V77" s="5" t="str">
        <f aca="false">IF(A77="","",IF(AND(COUNTIF(A$4:A$203,A77)=1,B77&lt;&gt;"",C77&lt;&gt;"",D77&lt;&gt;"",COUNTIF(05_Строки_КП!$A$4:$A$203,C77)=1,IFERROR(INDEX(05_Строки_КП!$C$4:$C$203,MATCH(C77,05_Строки_КП!$A$4:$A$203,0)),"")=D77,IFERROR(INDEX(05_Строки_КП!$O$4:$O$203,MATCH(C77,05_Строки_КП!$A$4:$A$203,0)),"")="READY",E77="COMPARABLE",F77&lt;&gt;"",COUNT(G77:H77)=2,G77&gt;0,H77&gt;0,I77&lt;&gt;"",J77&lt;&gt;"",COUNTIF(13_Источники!$A$4:$A$203,J77)=1,W77&lt;&gt;"",COUNTIF(13_Источники!$A$4:$A$203,W77)=1,COUNT(K77:N77)=4,ISNUMBER(O77),U77&lt;&gt;"",01_Основания!$B$8&lt;&gt;"",OR(01_Основания!$B$9="NET",01_Основания!$B$9="GROSS"),01_Основания!$B$10&lt;&gt;"",IF(AND(ISNUMBER(O77),ISNUMBER(G77),ISNUMBER(H77)),O77*G77*H77+SUM(K77:N77)&gt;=0,FALSE())),IF(S77="SELECTED",IF(AND(COUNTIFS(B$4:B$203,B77,S$4:S$203,"SELECTED")=1,T77&lt;&gt;""),"SELECTED_READY","SELECTION_ERROR"),"COMPARABLE_READY"),"INCOMPLETE / NOT_COMPARABLE"))</f>
        <v/>
      </c>
      <c r="W77" s="6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6"/>
      <c r="I78" s="4"/>
      <c r="J78" s="4"/>
      <c r="K78" s="6"/>
      <c r="L78" s="6"/>
      <c r="M78" s="6"/>
      <c r="N78" s="6"/>
      <c r="O78" s="7" t="str">
        <f aca="false">IF(C78="","",IF(IFERROR(INDEX(05_Строки_КП!$O$4:$O$203,MATCH(C78,05_Строки_КП!$A$4:$A$203,0)),"")="READY",IFERROR(INDEX(05_Строки_КП!$H$4:$H$203,MATCH(C78,05_Строки_КП!$A$4:$A$203,0)),""),""))</f>
        <v/>
      </c>
      <c r="P78" s="5" t="str">
        <f aca="false">IF(C78="","",IF(IFERROR(INDEX(05_Строки_КП!$O$4:$O$203,MATCH(C78,05_Строки_КП!$A$4:$A$203,0)),"")="READY",IFERROR(INDEX(05_Строки_КП!$L$4:$L$203,MATCH(C78,05_Строки_КП!$A$4:$A$203,0)),""),""))</f>
        <v/>
      </c>
      <c r="Q78" s="5" t="str">
        <f aca="false">IF(C78="","",IF(IFERROR(INDEX(05_Строки_КП!$O$4:$O$203,MATCH(C78,05_Строки_КП!$A$4:$A$203,0)),"")="READY",IFERROR(INDEX(05_Строки_КП!$M$4:$M$203,MATCH(C78,05_Строки_КП!$A$4:$A$203,0)),""),""))</f>
        <v/>
      </c>
      <c r="R78" s="7" t="str">
        <f aca="false">IF(OR(V78="SELECTED_READY",V78="COMPARABLE_READY"),O78*G78*H78+SUM(K78:N78),"")</f>
        <v/>
      </c>
      <c r="S78" s="4"/>
      <c r="T78" s="4"/>
      <c r="U78" s="6"/>
      <c r="V78" s="5" t="str">
        <f aca="false">IF(A78="","",IF(AND(COUNTIF(A$4:A$203,A78)=1,B78&lt;&gt;"",C78&lt;&gt;"",D78&lt;&gt;"",COUNTIF(05_Строки_КП!$A$4:$A$203,C78)=1,IFERROR(INDEX(05_Строки_КП!$C$4:$C$203,MATCH(C78,05_Строки_КП!$A$4:$A$203,0)),"")=D78,IFERROR(INDEX(05_Строки_КП!$O$4:$O$203,MATCH(C78,05_Строки_КП!$A$4:$A$203,0)),"")="READY",E78="COMPARABLE",F78&lt;&gt;"",COUNT(G78:H78)=2,G78&gt;0,H78&gt;0,I78&lt;&gt;"",J78&lt;&gt;"",COUNTIF(13_Источники!$A$4:$A$203,J78)=1,W78&lt;&gt;"",COUNTIF(13_Источники!$A$4:$A$203,W78)=1,COUNT(K78:N78)=4,ISNUMBER(O78),U78&lt;&gt;"",01_Основания!$B$8&lt;&gt;"",OR(01_Основания!$B$9="NET",01_Основания!$B$9="GROSS"),01_Основания!$B$10&lt;&gt;"",IF(AND(ISNUMBER(O78),ISNUMBER(G78),ISNUMBER(H78)),O78*G78*H78+SUM(K78:N78)&gt;=0,FALSE())),IF(S78="SELECTED",IF(AND(COUNTIFS(B$4:B$203,B78,S$4:S$203,"SELECTED")=1,T78&lt;&gt;""),"SELECTED_READY","SELECTION_ERROR"),"COMPARABLE_READY"),"INCOMPLETE / NOT_COMPARABLE"))</f>
        <v/>
      </c>
      <c r="W78" s="6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6"/>
      <c r="I79" s="4"/>
      <c r="J79" s="4"/>
      <c r="K79" s="6"/>
      <c r="L79" s="6"/>
      <c r="M79" s="6"/>
      <c r="N79" s="6"/>
      <c r="O79" s="7" t="str">
        <f aca="false">IF(C79="","",IF(IFERROR(INDEX(05_Строки_КП!$O$4:$O$203,MATCH(C79,05_Строки_КП!$A$4:$A$203,0)),"")="READY",IFERROR(INDEX(05_Строки_КП!$H$4:$H$203,MATCH(C79,05_Строки_КП!$A$4:$A$203,0)),""),""))</f>
        <v/>
      </c>
      <c r="P79" s="5" t="str">
        <f aca="false">IF(C79="","",IF(IFERROR(INDEX(05_Строки_КП!$O$4:$O$203,MATCH(C79,05_Строки_КП!$A$4:$A$203,0)),"")="READY",IFERROR(INDEX(05_Строки_КП!$L$4:$L$203,MATCH(C79,05_Строки_КП!$A$4:$A$203,0)),""),""))</f>
        <v/>
      </c>
      <c r="Q79" s="5" t="str">
        <f aca="false">IF(C79="","",IF(IFERROR(INDEX(05_Строки_КП!$O$4:$O$203,MATCH(C79,05_Строки_КП!$A$4:$A$203,0)),"")="READY",IFERROR(INDEX(05_Строки_КП!$M$4:$M$203,MATCH(C79,05_Строки_КП!$A$4:$A$203,0)),""),""))</f>
        <v/>
      </c>
      <c r="R79" s="7" t="str">
        <f aca="false">IF(OR(V79="SELECTED_READY",V79="COMPARABLE_READY"),O79*G79*H79+SUM(K79:N79),"")</f>
        <v/>
      </c>
      <c r="S79" s="4"/>
      <c r="T79" s="4"/>
      <c r="U79" s="6"/>
      <c r="V79" s="5" t="str">
        <f aca="false">IF(A79="","",IF(AND(COUNTIF(A$4:A$203,A79)=1,B79&lt;&gt;"",C79&lt;&gt;"",D79&lt;&gt;"",COUNTIF(05_Строки_КП!$A$4:$A$203,C79)=1,IFERROR(INDEX(05_Строки_КП!$C$4:$C$203,MATCH(C79,05_Строки_КП!$A$4:$A$203,0)),"")=D79,IFERROR(INDEX(05_Строки_КП!$O$4:$O$203,MATCH(C79,05_Строки_КП!$A$4:$A$203,0)),"")="READY",E79="COMPARABLE",F79&lt;&gt;"",COUNT(G79:H79)=2,G79&gt;0,H79&gt;0,I79&lt;&gt;"",J79&lt;&gt;"",COUNTIF(13_Источники!$A$4:$A$203,J79)=1,W79&lt;&gt;"",COUNTIF(13_Источники!$A$4:$A$203,W79)=1,COUNT(K79:N79)=4,ISNUMBER(O79),U79&lt;&gt;"",01_Основания!$B$8&lt;&gt;"",OR(01_Основания!$B$9="NET",01_Основания!$B$9="GROSS"),01_Основания!$B$10&lt;&gt;"",IF(AND(ISNUMBER(O79),ISNUMBER(G79),ISNUMBER(H79)),O79*G79*H79+SUM(K79:N79)&gt;=0,FALSE())),IF(S79="SELECTED",IF(AND(COUNTIFS(B$4:B$203,B79,S$4:S$203,"SELECTED")=1,T79&lt;&gt;""),"SELECTED_READY","SELECTION_ERROR"),"COMPARABLE_READY"),"INCOMPLETE / NOT_COMPARABLE"))</f>
        <v/>
      </c>
      <c r="W79" s="6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6"/>
      <c r="I80" s="4"/>
      <c r="J80" s="4"/>
      <c r="K80" s="6"/>
      <c r="L80" s="6"/>
      <c r="M80" s="6"/>
      <c r="N80" s="6"/>
      <c r="O80" s="7" t="str">
        <f aca="false">IF(C80="","",IF(IFERROR(INDEX(05_Строки_КП!$O$4:$O$203,MATCH(C80,05_Строки_КП!$A$4:$A$203,0)),"")="READY",IFERROR(INDEX(05_Строки_КП!$H$4:$H$203,MATCH(C80,05_Строки_КП!$A$4:$A$203,0)),""),""))</f>
        <v/>
      </c>
      <c r="P80" s="5" t="str">
        <f aca="false">IF(C80="","",IF(IFERROR(INDEX(05_Строки_КП!$O$4:$O$203,MATCH(C80,05_Строки_КП!$A$4:$A$203,0)),"")="READY",IFERROR(INDEX(05_Строки_КП!$L$4:$L$203,MATCH(C80,05_Строки_КП!$A$4:$A$203,0)),""),""))</f>
        <v/>
      </c>
      <c r="Q80" s="5" t="str">
        <f aca="false">IF(C80="","",IF(IFERROR(INDEX(05_Строки_КП!$O$4:$O$203,MATCH(C80,05_Строки_КП!$A$4:$A$203,0)),"")="READY",IFERROR(INDEX(05_Строки_КП!$M$4:$M$203,MATCH(C80,05_Строки_КП!$A$4:$A$203,0)),""),""))</f>
        <v/>
      </c>
      <c r="R80" s="7" t="str">
        <f aca="false">IF(OR(V80="SELECTED_READY",V80="COMPARABLE_READY"),O80*G80*H80+SUM(K80:N80),"")</f>
        <v/>
      </c>
      <c r="S80" s="4"/>
      <c r="T80" s="4"/>
      <c r="U80" s="6"/>
      <c r="V80" s="5" t="str">
        <f aca="false">IF(A80="","",IF(AND(COUNTIF(A$4:A$203,A80)=1,B80&lt;&gt;"",C80&lt;&gt;"",D80&lt;&gt;"",COUNTIF(05_Строки_КП!$A$4:$A$203,C80)=1,IFERROR(INDEX(05_Строки_КП!$C$4:$C$203,MATCH(C80,05_Строки_КП!$A$4:$A$203,0)),"")=D80,IFERROR(INDEX(05_Строки_КП!$O$4:$O$203,MATCH(C80,05_Строки_КП!$A$4:$A$203,0)),"")="READY",E80="COMPARABLE",F80&lt;&gt;"",COUNT(G80:H80)=2,G80&gt;0,H80&gt;0,I80&lt;&gt;"",J80&lt;&gt;"",COUNTIF(13_Источники!$A$4:$A$203,J80)=1,W80&lt;&gt;"",COUNTIF(13_Источники!$A$4:$A$203,W80)=1,COUNT(K80:N80)=4,ISNUMBER(O80),U80&lt;&gt;"",01_Основания!$B$8&lt;&gt;"",OR(01_Основания!$B$9="NET",01_Основания!$B$9="GROSS"),01_Основания!$B$10&lt;&gt;"",IF(AND(ISNUMBER(O80),ISNUMBER(G80),ISNUMBER(H80)),O80*G80*H80+SUM(K80:N80)&gt;=0,FALSE())),IF(S80="SELECTED",IF(AND(COUNTIFS(B$4:B$203,B80,S$4:S$203,"SELECTED")=1,T80&lt;&gt;""),"SELECTED_READY","SELECTION_ERROR"),"COMPARABLE_READY"),"INCOMPLETE / NOT_COMPARABLE"))</f>
        <v/>
      </c>
      <c r="W80" s="6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6"/>
      <c r="I81" s="4"/>
      <c r="J81" s="4"/>
      <c r="K81" s="6"/>
      <c r="L81" s="6"/>
      <c r="M81" s="6"/>
      <c r="N81" s="6"/>
      <c r="O81" s="7" t="str">
        <f aca="false">IF(C81="","",IF(IFERROR(INDEX(05_Строки_КП!$O$4:$O$203,MATCH(C81,05_Строки_КП!$A$4:$A$203,0)),"")="READY",IFERROR(INDEX(05_Строки_КП!$H$4:$H$203,MATCH(C81,05_Строки_КП!$A$4:$A$203,0)),""),""))</f>
        <v/>
      </c>
      <c r="P81" s="5" t="str">
        <f aca="false">IF(C81="","",IF(IFERROR(INDEX(05_Строки_КП!$O$4:$O$203,MATCH(C81,05_Строки_КП!$A$4:$A$203,0)),"")="READY",IFERROR(INDEX(05_Строки_КП!$L$4:$L$203,MATCH(C81,05_Строки_КП!$A$4:$A$203,0)),""),""))</f>
        <v/>
      </c>
      <c r="Q81" s="5" t="str">
        <f aca="false">IF(C81="","",IF(IFERROR(INDEX(05_Строки_КП!$O$4:$O$203,MATCH(C81,05_Строки_КП!$A$4:$A$203,0)),"")="READY",IFERROR(INDEX(05_Строки_КП!$M$4:$M$203,MATCH(C81,05_Строки_КП!$A$4:$A$203,0)),""),""))</f>
        <v/>
      </c>
      <c r="R81" s="7" t="str">
        <f aca="false">IF(OR(V81="SELECTED_READY",V81="COMPARABLE_READY"),O81*G81*H81+SUM(K81:N81),"")</f>
        <v/>
      </c>
      <c r="S81" s="4"/>
      <c r="T81" s="4"/>
      <c r="U81" s="6"/>
      <c r="V81" s="5" t="str">
        <f aca="false">IF(A81="","",IF(AND(COUNTIF(A$4:A$203,A81)=1,B81&lt;&gt;"",C81&lt;&gt;"",D81&lt;&gt;"",COUNTIF(05_Строки_КП!$A$4:$A$203,C81)=1,IFERROR(INDEX(05_Строки_КП!$C$4:$C$203,MATCH(C81,05_Строки_КП!$A$4:$A$203,0)),"")=D81,IFERROR(INDEX(05_Строки_КП!$O$4:$O$203,MATCH(C81,05_Строки_КП!$A$4:$A$203,0)),"")="READY",E81="COMPARABLE",F81&lt;&gt;"",COUNT(G81:H81)=2,G81&gt;0,H81&gt;0,I81&lt;&gt;"",J81&lt;&gt;"",COUNTIF(13_Источники!$A$4:$A$203,J81)=1,W81&lt;&gt;"",COUNTIF(13_Источники!$A$4:$A$203,W81)=1,COUNT(K81:N81)=4,ISNUMBER(O81),U81&lt;&gt;"",01_Основания!$B$8&lt;&gt;"",OR(01_Основания!$B$9="NET",01_Основания!$B$9="GROSS"),01_Основания!$B$10&lt;&gt;"",IF(AND(ISNUMBER(O81),ISNUMBER(G81),ISNUMBER(H81)),O81*G81*H81+SUM(K81:N81)&gt;=0,FALSE())),IF(S81="SELECTED",IF(AND(COUNTIFS(B$4:B$203,B81,S$4:S$203,"SELECTED")=1,T81&lt;&gt;""),"SELECTED_READY","SELECTION_ERROR"),"COMPARABLE_READY"),"INCOMPLETE / NOT_COMPARABLE"))</f>
        <v/>
      </c>
      <c r="W81" s="6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6"/>
      <c r="I82" s="4"/>
      <c r="J82" s="4"/>
      <c r="K82" s="6"/>
      <c r="L82" s="6"/>
      <c r="M82" s="6"/>
      <c r="N82" s="6"/>
      <c r="O82" s="7" t="str">
        <f aca="false">IF(C82="","",IF(IFERROR(INDEX(05_Строки_КП!$O$4:$O$203,MATCH(C82,05_Строки_КП!$A$4:$A$203,0)),"")="READY",IFERROR(INDEX(05_Строки_КП!$H$4:$H$203,MATCH(C82,05_Строки_КП!$A$4:$A$203,0)),""),""))</f>
        <v/>
      </c>
      <c r="P82" s="5" t="str">
        <f aca="false">IF(C82="","",IF(IFERROR(INDEX(05_Строки_КП!$O$4:$O$203,MATCH(C82,05_Строки_КП!$A$4:$A$203,0)),"")="READY",IFERROR(INDEX(05_Строки_КП!$L$4:$L$203,MATCH(C82,05_Строки_КП!$A$4:$A$203,0)),""),""))</f>
        <v/>
      </c>
      <c r="Q82" s="5" t="str">
        <f aca="false">IF(C82="","",IF(IFERROR(INDEX(05_Строки_КП!$O$4:$O$203,MATCH(C82,05_Строки_КП!$A$4:$A$203,0)),"")="READY",IFERROR(INDEX(05_Строки_КП!$M$4:$M$203,MATCH(C82,05_Строки_КП!$A$4:$A$203,0)),""),""))</f>
        <v/>
      </c>
      <c r="R82" s="7" t="str">
        <f aca="false">IF(OR(V82="SELECTED_READY",V82="COMPARABLE_READY"),O82*G82*H82+SUM(K82:N82),"")</f>
        <v/>
      </c>
      <c r="S82" s="4"/>
      <c r="T82" s="4"/>
      <c r="U82" s="6"/>
      <c r="V82" s="5" t="str">
        <f aca="false">IF(A82="","",IF(AND(COUNTIF(A$4:A$203,A82)=1,B82&lt;&gt;"",C82&lt;&gt;"",D82&lt;&gt;"",COUNTIF(05_Строки_КП!$A$4:$A$203,C82)=1,IFERROR(INDEX(05_Строки_КП!$C$4:$C$203,MATCH(C82,05_Строки_КП!$A$4:$A$203,0)),"")=D82,IFERROR(INDEX(05_Строки_КП!$O$4:$O$203,MATCH(C82,05_Строки_КП!$A$4:$A$203,0)),"")="READY",E82="COMPARABLE",F82&lt;&gt;"",COUNT(G82:H82)=2,G82&gt;0,H82&gt;0,I82&lt;&gt;"",J82&lt;&gt;"",COUNTIF(13_Источники!$A$4:$A$203,J82)=1,W82&lt;&gt;"",COUNTIF(13_Источники!$A$4:$A$203,W82)=1,COUNT(K82:N82)=4,ISNUMBER(O82),U82&lt;&gt;"",01_Основания!$B$8&lt;&gt;"",OR(01_Основания!$B$9="NET",01_Основания!$B$9="GROSS"),01_Основания!$B$10&lt;&gt;"",IF(AND(ISNUMBER(O82),ISNUMBER(G82),ISNUMBER(H82)),O82*G82*H82+SUM(K82:N82)&gt;=0,FALSE())),IF(S82="SELECTED",IF(AND(COUNTIFS(B$4:B$203,B82,S$4:S$203,"SELECTED")=1,T82&lt;&gt;""),"SELECTED_READY","SELECTION_ERROR"),"COMPARABLE_READY"),"INCOMPLETE / NOT_COMPARABLE"))</f>
        <v/>
      </c>
      <c r="W82" s="6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6"/>
      <c r="I83" s="4"/>
      <c r="J83" s="4"/>
      <c r="K83" s="6"/>
      <c r="L83" s="6"/>
      <c r="M83" s="6"/>
      <c r="N83" s="6"/>
      <c r="O83" s="7" t="str">
        <f aca="false">IF(C83="","",IF(IFERROR(INDEX(05_Строки_КП!$O$4:$O$203,MATCH(C83,05_Строки_КП!$A$4:$A$203,0)),"")="READY",IFERROR(INDEX(05_Строки_КП!$H$4:$H$203,MATCH(C83,05_Строки_КП!$A$4:$A$203,0)),""),""))</f>
        <v/>
      </c>
      <c r="P83" s="5" t="str">
        <f aca="false">IF(C83="","",IF(IFERROR(INDEX(05_Строки_КП!$O$4:$O$203,MATCH(C83,05_Строки_КП!$A$4:$A$203,0)),"")="READY",IFERROR(INDEX(05_Строки_КП!$L$4:$L$203,MATCH(C83,05_Строки_КП!$A$4:$A$203,0)),""),""))</f>
        <v/>
      </c>
      <c r="Q83" s="5" t="str">
        <f aca="false">IF(C83="","",IF(IFERROR(INDEX(05_Строки_КП!$O$4:$O$203,MATCH(C83,05_Строки_КП!$A$4:$A$203,0)),"")="READY",IFERROR(INDEX(05_Строки_КП!$M$4:$M$203,MATCH(C83,05_Строки_КП!$A$4:$A$203,0)),""),""))</f>
        <v/>
      </c>
      <c r="R83" s="7" t="str">
        <f aca="false">IF(OR(V83="SELECTED_READY",V83="COMPARABLE_READY"),O83*G83*H83+SUM(K83:N83),"")</f>
        <v/>
      </c>
      <c r="S83" s="4"/>
      <c r="T83" s="4"/>
      <c r="U83" s="6"/>
      <c r="V83" s="5" t="str">
        <f aca="false">IF(A83="","",IF(AND(COUNTIF(A$4:A$203,A83)=1,B83&lt;&gt;"",C83&lt;&gt;"",D83&lt;&gt;"",COUNTIF(05_Строки_КП!$A$4:$A$203,C83)=1,IFERROR(INDEX(05_Строки_КП!$C$4:$C$203,MATCH(C83,05_Строки_КП!$A$4:$A$203,0)),"")=D83,IFERROR(INDEX(05_Строки_КП!$O$4:$O$203,MATCH(C83,05_Строки_КП!$A$4:$A$203,0)),"")="READY",E83="COMPARABLE",F83&lt;&gt;"",COUNT(G83:H83)=2,G83&gt;0,H83&gt;0,I83&lt;&gt;"",J83&lt;&gt;"",COUNTIF(13_Источники!$A$4:$A$203,J83)=1,W83&lt;&gt;"",COUNTIF(13_Источники!$A$4:$A$203,W83)=1,COUNT(K83:N83)=4,ISNUMBER(O83),U83&lt;&gt;"",01_Основания!$B$8&lt;&gt;"",OR(01_Основания!$B$9="NET",01_Основания!$B$9="GROSS"),01_Основания!$B$10&lt;&gt;"",IF(AND(ISNUMBER(O83),ISNUMBER(G83),ISNUMBER(H83)),O83*G83*H83+SUM(K83:N83)&gt;=0,FALSE())),IF(S83="SELECTED",IF(AND(COUNTIFS(B$4:B$203,B83,S$4:S$203,"SELECTED")=1,T83&lt;&gt;""),"SELECTED_READY","SELECTION_ERROR"),"COMPARABLE_READY"),"INCOMPLETE / NOT_COMPARABLE"))</f>
        <v/>
      </c>
      <c r="W83" s="6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6"/>
      <c r="I84" s="4"/>
      <c r="J84" s="4"/>
      <c r="K84" s="6"/>
      <c r="L84" s="6"/>
      <c r="M84" s="6"/>
      <c r="N84" s="6"/>
      <c r="O84" s="7" t="str">
        <f aca="false">IF(C84="","",IF(IFERROR(INDEX(05_Строки_КП!$O$4:$O$203,MATCH(C84,05_Строки_КП!$A$4:$A$203,0)),"")="READY",IFERROR(INDEX(05_Строки_КП!$H$4:$H$203,MATCH(C84,05_Строки_КП!$A$4:$A$203,0)),""),""))</f>
        <v/>
      </c>
      <c r="P84" s="5" t="str">
        <f aca="false">IF(C84="","",IF(IFERROR(INDEX(05_Строки_КП!$O$4:$O$203,MATCH(C84,05_Строки_КП!$A$4:$A$203,0)),"")="READY",IFERROR(INDEX(05_Строки_КП!$L$4:$L$203,MATCH(C84,05_Строки_КП!$A$4:$A$203,0)),""),""))</f>
        <v/>
      </c>
      <c r="Q84" s="5" t="str">
        <f aca="false">IF(C84="","",IF(IFERROR(INDEX(05_Строки_КП!$O$4:$O$203,MATCH(C84,05_Строки_КП!$A$4:$A$203,0)),"")="READY",IFERROR(INDEX(05_Строки_КП!$M$4:$M$203,MATCH(C84,05_Строки_КП!$A$4:$A$203,0)),""),""))</f>
        <v/>
      </c>
      <c r="R84" s="7" t="str">
        <f aca="false">IF(OR(V84="SELECTED_READY",V84="COMPARABLE_READY"),O84*G84*H84+SUM(K84:N84),"")</f>
        <v/>
      </c>
      <c r="S84" s="4"/>
      <c r="T84" s="4"/>
      <c r="U84" s="6"/>
      <c r="V84" s="5" t="str">
        <f aca="false">IF(A84="","",IF(AND(COUNTIF(A$4:A$203,A84)=1,B84&lt;&gt;"",C84&lt;&gt;"",D84&lt;&gt;"",COUNTIF(05_Строки_КП!$A$4:$A$203,C84)=1,IFERROR(INDEX(05_Строки_КП!$C$4:$C$203,MATCH(C84,05_Строки_КП!$A$4:$A$203,0)),"")=D84,IFERROR(INDEX(05_Строки_КП!$O$4:$O$203,MATCH(C84,05_Строки_КП!$A$4:$A$203,0)),"")="READY",E84="COMPARABLE",F84&lt;&gt;"",COUNT(G84:H84)=2,G84&gt;0,H84&gt;0,I84&lt;&gt;"",J84&lt;&gt;"",COUNTIF(13_Источники!$A$4:$A$203,J84)=1,W84&lt;&gt;"",COUNTIF(13_Источники!$A$4:$A$203,W84)=1,COUNT(K84:N84)=4,ISNUMBER(O84),U84&lt;&gt;"",01_Основания!$B$8&lt;&gt;"",OR(01_Основания!$B$9="NET",01_Основания!$B$9="GROSS"),01_Основания!$B$10&lt;&gt;"",IF(AND(ISNUMBER(O84),ISNUMBER(G84),ISNUMBER(H84)),O84*G84*H84+SUM(K84:N84)&gt;=0,FALSE())),IF(S84="SELECTED",IF(AND(COUNTIFS(B$4:B$203,B84,S$4:S$203,"SELECTED")=1,T84&lt;&gt;""),"SELECTED_READY","SELECTION_ERROR"),"COMPARABLE_READY"),"INCOMPLETE / NOT_COMPARABLE"))</f>
        <v/>
      </c>
      <c r="W84" s="6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6"/>
      <c r="I85" s="4"/>
      <c r="J85" s="4"/>
      <c r="K85" s="6"/>
      <c r="L85" s="6"/>
      <c r="M85" s="6"/>
      <c r="N85" s="6"/>
      <c r="O85" s="7" t="str">
        <f aca="false">IF(C85="","",IF(IFERROR(INDEX(05_Строки_КП!$O$4:$O$203,MATCH(C85,05_Строки_КП!$A$4:$A$203,0)),"")="READY",IFERROR(INDEX(05_Строки_КП!$H$4:$H$203,MATCH(C85,05_Строки_КП!$A$4:$A$203,0)),""),""))</f>
        <v/>
      </c>
      <c r="P85" s="5" t="str">
        <f aca="false">IF(C85="","",IF(IFERROR(INDEX(05_Строки_КП!$O$4:$O$203,MATCH(C85,05_Строки_КП!$A$4:$A$203,0)),"")="READY",IFERROR(INDEX(05_Строки_КП!$L$4:$L$203,MATCH(C85,05_Строки_КП!$A$4:$A$203,0)),""),""))</f>
        <v/>
      </c>
      <c r="Q85" s="5" t="str">
        <f aca="false">IF(C85="","",IF(IFERROR(INDEX(05_Строки_КП!$O$4:$O$203,MATCH(C85,05_Строки_КП!$A$4:$A$203,0)),"")="READY",IFERROR(INDEX(05_Строки_КП!$M$4:$M$203,MATCH(C85,05_Строки_КП!$A$4:$A$203,0)),""),""))</f>
        <v/>
      </c>
      <c r="R85" s="7" t="str">
        <f aca="false">IF(OR(V85="SELECTED_READY",V85="COMPARABLE_READY"),O85*G85*H85+SUM(K85:N85),"")</f>
        <v/>
      </c>
      <c r="S85" s="4"/>
      <c r="T85" s="4"/>
      <c r="U85" s="6"/>
      <c r="V85" s="5" t="str">
        <f aca="false">IF(A85="","",IF(AND(COUNTIF(A$4:A$203,A85)=1,B85&lt;&gt;"",C85&lt;&gt;"",D85&lt;&gt;"",COUNTIF(05_Строки_КП!$A$4:$A$203,C85)=1,IFERROR(INDEX(05_Строки_КП!$C$4:$C$203,MATCH(C85,05_Строки_КП!$A$4:$A$203,0)),"")=D85,IFERROR(INDEX(05_Строки_КП!$O$4:$O$203,MATCH(C85,05_Строки_КП!$A$4:$A$203,0)),"")="READY",E85="COMPARABLE",F85&lt;&gt;"",COUNT(G85:H85)=2,G85&gt;0,H85&gt;0,I85&lt;&gt;"",J85&lt;&gt;"",COUNTIF(13_Источники!$A$4:$A$203,J85)=1,W85&lt;&gt;"",COUNTIF(13_Источники!$A$4:$A$203,W85)=1,COUNT(K85:N85)=4,ISNUMBER(O85),U85&lt;&gt;"",01_Основания!$B$8&lt;&gt;"",OR(01_Основания!$B$9="NET",01_Основания!$B$9="GROSS"),01_Основания!$B$10&lt;&gt;"",IF(AND(ISNUMBER(O85),ISNUMBER(G85),ISNUMBER(H85)),O85*G85*H85+SUM(K85:N85)&gt;=0,FALSE())),IF(S85="SELECTED",IF(AND(COUNTIFS(B$4:B$203,B85,S$4:S$203,"SELECTED")=1,T85&lt;&gt;""),"SELECTED_READY","SELECTION_ERROR"),"COMPARABLE_READY"),"INCOMPLETE / NOT_COMPARABLE"))</f>
        <v/>
      </c>
      <c r="W85" s="6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6"/>
      <c r="I86" s="4"/>
      <c r="J86" s="4"/>
      <c r="K86" s="6"/>
      <c r="L86" s="6"/>
      <c r="M86" s="6"/>
      <c r="N86" s="6"/>
      <c r="O86" s="7" t="str">
        <f aca="false">IF(C86="","",IF(IFERROR(INDEX(05_Строки_КП!$O$4:$O$203,MATCH(C86,05_Строки_КП!$A$4:$A$203,0)),"")="READY",IFERROR(INDEX(05_Строки_КП!$H$4:$H$203,MATCH(C86,05_Строки_КП!$A$4:$A$203,0)),""),""))</f>
        <v/>
      </c>
      <c r="P86" s="5" t="str">
        <f aca="false">IF(C86="","",IF(IFERROR(INDEX(05_Строки_КП!$O$4:$O$203,MATCH(C86,05_Строки_КП!$A$4:$A$203,0)),"")="READY",IFERROR(INDEX(05_Строки_КП!$L$4:$L$203,MATCH(C86,05_Строки_КП!$A$4:$A$203,0)),""),""))</f>
        <v/>
      </c>
      <c r="Q86" s="5" t="str">
        <f aca="false">IF(C86="","",IF(IFERROR(INDEX(05_Строки_КП!$O$4:$O$203,MATCH(C86,05_Строки_КП!$A$4:$A$203,0)),"")="READY",IFERROR(INDEX(05_Строки_КП!$M$4:$M$203,MATCH(C86,05_Строки_КП!$A$4:$A$203,0)),""),""))</f>
        <v/>
      </c>
      <c r="R86" s="7" t="str">
        <f aca="false">IF(OR(V86="SELECTED_READY",V86="COMPARABLE_READY"),O86*G86*H86+SUM(K86:N86),"")</f>
        <v/>
      </c>
      <c r="S86" s="4"/>
      <c r="T86" s="4"/>
      <c r="U86" s="6"/>
      <c r="V86" s="5" t="str">
        <f aca="false">IF(A86="","",IF(AND(COUNTIF(A$4:A$203,A86)=1,B86&lt;&gt;"",C86&lt;&gt;"",D86&lt;&gt;"",COUNTIF(05_Строки_КП!$A$4:$A$203,C86)=1,IFERROR(INDEX(05_Строки_КП!$C$4:$C$203,MATCH(C86,05_Строки_КП!$A$4:$A$203,0)),"")=D86,IFERROR(INDEX(05_Строки_КП!$O$4:$O$203,MATCH(C86,05_Строки_КП!$A$4:$A$203,0)),"")="READY",E86="COMPARABLE",F86&lt;&gt;"",COUNT(G86:H86)=2,G86&gt;0,H86&gt;0,I86&lt;&gt;"",J86&lt;&gt;"",COUNTIF(13_Источники!$A$4:$A$203,J86)=1,W86&lt;&gt;"",COUNTIF(13_Источники!$A$4:$A$203,W86)=1,COUNT(K86:N86)=4,ISNUMBER(O86),U86&lt;&gt;"",01_Основания!$B$8&lt;&gt;"",OR(01_Основания!$B$9="NET",01_Основания!$B$9="GROSS"),01_Основания!$B$10&lt;&gt;"",IF(AND(ISNUMBER(O86),ISNUMBER(G86),ISNUMBER(H86)),O86*G86*H86+SUM(K86:N86)&gt;=0,FALSE())),IF(S86="SELECTED",IF(AND(COUNTIFS(B$4:B$203,B86,S$4:S$203,"SELECTED")=1,T86&lt;&gt;""),"SELECTED_READY","SELECTION_ERROR"),"COMPARABLE_READY"),"INCOMPLETE / NOT_COMPARABLE"))</f>
        <v/>
      </c>
      <c r="W86" s="6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6"/>
      <c r="I87" s="4"/>
      <c r="J87" s="4"/>
      <c r="K87" s="6"/>
      <c r="L87" s="6"/>
      <c r="M87" s="6"/>
      <c r="N87" s="6"/>
      <c r="O87" s="7" t="str">
        <f aca="false">IF(C87="","",IF(IFERROR(INDEX(05_Строки_КП!$O$4:$O$203,MATCH(C87,05_Строки_КП!$A$4:$A$203,0)),"")="READY",IFERROR(INDEX(05_Строки_КП!$H$4:$H$203,MATCH(C87,05_Строки_КП!$A$4:$A$203,0)),""),""))</f>
        <v/>
      </c>
      <c r="P87" s="5" t="str">
        <f aca="false">IF(C87="","",IF(IFERROR(INDEX(05_Строки_КП!$O$4:$O$203,MATCH(C87,05_Строки_КП!$A$4:$A$203,0)),"")="READY",IFERROR(INDEX(05_Строки_КП!$L$4:$L$203,MATCH(C87,05_Строки_КП!$A$4:$A$203,0)),""),""))</f>
        <v/>
      </c>
      <c r="Q87" s="5" t="str">
        <f aca="false">IF(C87="","",IF(IFERROR(INDEX(05_Строки_КП!$O$4:$O$203,MATCH(C87,05_Строки_КП!$A$4:$A$203,0)),"")="READY",IFERROR(INDEX(05_Строки_КП!$M$4:$M$203,MATCH(C87,05_Строки_КП!$A$4:$A$203,0)),""),""))</f>
        <v/>
      </c>
      <c r="R87" s="7" t="str">
        <f aca="false">IF(OR(V87="SELECTED_READY",V87="COMPARABLE_READY"),O87*G87*H87+SUM(K87:N87),"")</f>
        <v/>
      </c>
      <c r="S87" s="4"/>
      <c r="T87" s="4"/>
      <c r="U87" s="6"/>
      <c r="V87" s="5" t="str">
        <f aca="false">IF(A87="","",IF(AND(COUNTIF(A$4:A$203,A87)=1,B87&lt;&gt;"",C87&lt;&gt;"",D87&lt;&gt;"",COUNTIF(05_Строки_КП!$A$4:$A$203,C87)=1,IFERROR(INDEX(05_Строки_КП!$C$4:$C$203,MATCH(C87,05_Строки_КП!$A$4:$A$203,0)),"")=D87,IFERROR(INDEX(05_Строки_КП!$O$4:$O$203,MATCH(C87,05_Строки_КП!$A$4:$A$203,0)),"")="READY",E87="COMPARABLE",F87&lt;&gt;"",COUNT(G87:H87)=2,G87&gt;0,H87&gt;0,I87&lt;&gt;"",J87&lt;&gt;"",COUNTIF(13_Источники!$A$4:$A$203,J87)=1,W87&lt;&gt;"",COUNTIF(13_Источники!$A$4:$A$203,W87)=1,COUNT(K87:N87)=4,ISNUMBER(O87),U87&lt;&gt;"",01_Основания!$B$8&lt;&gt;"",OR(01_Основания!$B$9="NET",01_Основания!$B$9="GROSS"),01_Основания!$B$10&lt;&gt;"",IF(AND(ISNUMBER(O87),ISNUMBER(G87),ISNUMBER(H87)),O87*G87*H87+SUM(K87:N87)&gt;=0,FALSE())),IF(S87="SELECTED",IF(AND(COUNTIFS(B$4:B$203,B87,S$4:S$203,"SELECTED")=1,T87&lt;&gt;""),"SELECTED_READY","SELECTION_ERROR"),"COMPARABLE_READY"),"INCOMPLETE / NOT_COMPARABLE"))</f>
        <v/>
      </c>
      <c r="W87" s="6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6"/>
      <c r="I88" s="4"/>
      <c r="J88" s="4"/>
      <c r="K88" s="6"/>
      <c r="L88" s="6"/>
      <c r="M88" s="6"/>
      <c r="N88" s="6"/>
      <c r="O88" s="7" t="str">
        <f aca="false">IF(C88="","",IF(IFERROR(INDEX(05_Строки_КП!$O$4:$O$203,MATCH(C88,05_Строки_КП!$A$4:$A$203,0)),"")="READY",IFERROR(INDEX(05_Строки_КП!$H$4:$H$203,MATCH(C88,05_Строки_КП!$A$4:$A$203,0)),""),""))</f>
        <v/>
      </c>
      <c r="P88" s="5" t="str">
        <f aca="false">IF(C88="","",IF(IFERROR(INDEX(05_Строки_КП!$O$4:$O$203,MATCH(C88,05_Строки_КП!$A$4:$A$203,0)),"")="READY",IFERROR(INDEX(05_Строки_КП!$L$4:$L$203,MATCH(C88,05_Строки_КП!$A$4:$A$203,0)),""),""))</f>
        <v/>
      </c>
      <c r="Q88" s="5" t="str">
        <f aca="false">IF(C88="","",IF(IFERROR(INDEX(05_Строки_КП!$O$4:$O$203,MATCH(C88,05_Строки_КП!$A$4:$A$203,0)),"")="READY",IFERROR(INDEX(05_Строки_КП!$M$4:$M$203,MATCH(C88,05_Строки_КП!$A$4:$A$203,0)),""),""))</f>
        <v/>
      </c>
      <c r="R88" s="7" t="str">
        <f aca="false">IF(OR(V88="SELECTED_READY",V88="COMPARABLE_READY"),O88*G88*H88+SUM(K88:N88),"")</f>
        <v/>
      </c>
      <c r="S88" s="4"/>
      <c r="T88" s="4"/>
      <c r="U88" s="6"/>
      <c r="V88" s="5" t="str">
        <f aca="false">IF(A88="","",IF(AND(COUNTIF(A$4:A$203,A88)=1,B88&lt;&gt;"",C88&lt;&gt;"",D88&lt;&gt;"",COUNTIF(05_Строки_КП!$A$4:$A$203,C88)=1,IFERROR(INDEX(05_Строки_КП!$C$4:$C$203,MATCH(C88,05_Строки_КП!$A$4:$A$203,0)),"")=D88,IFERROR(INDEX(05_Строки_КП!$O$4:$O$203,MATCH(C88,05_Строки_КП!$A$4:$A$203,0)),"")="READY",E88="COMPARABLE",F88&lt;&gt;"",COUNT(G88:H88)=2,G88&gt;0,H88&gt;0,I88&lt;&gt;"",J88&lt;&gt;"",COUNTIF(13_Источники!$A$4:$A$203,J88)=1,W88&lt;&gt;"",COUNTIF(13_Источники!$A$4:$A$203,W88)=1,COUNT(K88:N88)=4,ISNUMBER(O88),U88&lt;&gt;"",01_Основания!$B$8&lt;&gt;"",OR(01_Основания!$B$9="NET",01_Основания!$B$9="GROSS"),01_Основания!$B$10&lt;&gt;"",IF(AND(ISNUMBER(O88),ISNUMBER(G88),ISNUMBER(H88)),O88*G88*H88+SUM(K88:N88)&gt;=0,FALSE())),IF(S88="SELECTED",IF(AND(COUNTIFS(B$4:B$203,B88,S$4:S$203,"SELECTED")=1,T88&lt;&gt;""),"SELECTED_READY","SELECTION_ERROR"),"COMPARABLE_READY"),"INCOMPLETE / NOT_COMPARABLE"))</f>
        <v/>
      </c>
      <c r="W88" s="6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6"/>
      <c r="I89" s="4"/>
      <c r="J89" s="4"/>
      <c r="K89" s="6"/>
      <c r="L89" s="6"/>
      <c r="M89" s="6"/>
      <c r="N89" s="6"/>
      <c r="O89" s="7" t="str">
        <f aca="false">IF(C89="","",IF(IFERROR(INDEX(05_Строки_КП!$O$4:$O$203,MATCH(C89,05_Строки_КП!$A$4:$A$203,0)),"")="READY",IFERROR(INDEX(05_Строки_КП!$H$4:$H$203,MATCH(C89,05_Строки_КП!$A$4:$A$203,0)),""),""))</f>
        <v/>
      </c>
      <c r="P89" s="5" t="str">
        <f aca="false">IF(C89="","",IF(IFERROR(INDEX(05_Строки_КП!$O$4:$O$203,MATCH(C89,05_Строки_КП!$A$4:$A$203,0)),"")="READY",IFERROR(INDEX(05_Строки_КП!$L$4:$L$203,MATCH(C89,05_Строки_КП!$A$4:$A$203,0)),""),""))</f>
        <v/>
      </c>
      <c r="Q89" s="5" t="str">
        <f aca="false">IF(C89="","",IF(IFERROR(INDEX(05_Строки_КП!$O$4:$O$203,MATCH(C89,05_Строки_КП!$A$4:$A$203,0)),"")="READY",IFERROR(INDEX(05_Строки_КП!$M$4:$M$203,MATCH(C89,05_Строки_КП!$A$4:$A$203,0)),""),""))</f>
        <v/>
      </c>
      <c r="R89" s="7" t="str">
        <f aca="false">IF(OR(V89="SELECTED_READY",V89="COMPARABLE_READY"),O89*G89*H89+SUM(K89:N89),"")</f>
        <v/>
      </c>
      <c r="S89" s="4"/>
      <c r="T89" s="4"/>
      <c r="U89" s="6"/>
      <c r="V89" s="5" t="str">
        <f aca="false">IF(A89="","",IF(AND(COUNTIF(A$4:A$203,A89)=1,B89&lt;&gt;"",C89&lt;&gt;"",D89&lt;&gt;"",COUNTIF(05_Строки_КП!$A$4:$A$203,C89)=1,IFERROR(INDEX(05_Строки_КП!$C$4:$C$203,MATCH(C89,05_Строки_КП!$A$4:$A$203,0)),"")=D89,IFERROR(INDEX(05_Строки_КП!$O$4:$O$203,MATCH(C89,05_Строки_КП!$A$4:$A$203,0)),"")="READY",E89="COMPARABLE",F89&lt;&gt;"",COUNT(G89:H89)=2,G89&gt;0,H89&gt;0,I89&lt;&gt;"",J89&lt;&gt;"",COUNTIF(13_Источники!$A$4:$A$203,J89)=1,W89&lt;&gt;"",COUNTIF(13_Источники!$A$4:$A$203,W89)=1,COUNT(K89:N89)=4,ISNUMBER(O89),U89&lt;&gt;"",01_Основания!$B$8&lt;&gt;"",OR(01_Основания!$B$9="NET",01_Основания!$B$9="GROSS"),01_Основания!$B$10&lt;&gt;"",IF(AND(ISNUMBER(O89),ISNUMBER(G89),ISNUMBER(H89)),O89*G89*H89+SUM(K89:N89)&gt;=0,FALSE())),IF(S89="SELECTED",IF(AND(COUNTIFS(B$4:B$203,B89,S$4:S$203,"SELECTED")=1,T89&lt;&gt;""),"SELECTED_READY","SELECTION_ERROR"),"COMPARABLE_READY"),"INCOMPLETE / NOT_COMPARABLE"))</f>
        <v/>
      </c>
      <c r="W89" s="6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6"/>
      <c r="I90" s="4"/>
      <c r="J90" s="4"/>
      <c r="K90" s="6"/>
      <c r="L90" s="6"/>
      <c r="M90" s="6"/>
      <c r="N90" s="6"/>
      <c r="O90" s="7" t="str">
        <f aca="false">IF(C90="","",IF(IFERROR(INDEX(05_Строки_КП!$O$4:$O$203,MATCH(C90,05_Строки_КП!$A$4:$A$203,0)),"")="READY",IFERROR(INDEX(05_Строки_КП!$H$4:$H$203,MATCH(C90,05_Строки_КП!$A$4:$A$203,0)),""),""))</f>
        <v/>
      </c>
      <c r="P90" s="5" t="str">
        <f aca="false">IF(C90="","",IF(IFERROR(INDEX(05_Строки_КП!$O$4:$O$203,MATCH(C90,05_Строки_КП!$A$4:$A$203,0)),"")="READY",IFERROR(INDEX(05_Строки_КП!$L$4:$L$203,MATCH(C90,05_Строки_КП!$A$4:$A$203,0)),""),""))</f>
        <v/>
      </c>
      <c r="Q90" s="5" t="str">
        <f aca="false">IF(C90="","",IF(IFERROR(INDEX(05_Строки_КП!$O$4:$O$203,MATCH(C90,05_Строки_КП!$A$4:$A$203,0)),"")="READY",IFERROR(INDEX(05_Строки_КП!$M$4:$M$203,MATCH(C90,05_Строки_КП!$A$4:$A$203,0)),""),""))</f>
        <v/>
      </c>
      <c r="R90" s="7" t="str">
        <f aca="false">IF(OR(V90="SELECTED_READY",V90="COMPARABLE_READY"),O90*G90*H90+SUM(K90:N90),"")</f>
        <v/>
      </c>
      <c r="S90" s="4"/>
      <c r="T90" s="4"/>
      <c r="U90" s="6"/>
      <c r="V90" s="5" t="str">
        <f aca="false">IF(A90="","",IF(AND(COUNTIF(A$4:A$203,A90)=1,B90&lt;&gt;"",C90&lt;&gt;"",D90&lt;&gt;"",COUNTIF(05_Строки_КП!$A$4:$A$203,C90)=1,IFERROR(INDEX(05_Строки_КП!$C$4:$C$203,MATCH(C90,05_Строки_КП!$A$4:$A$203,0)),"")=D90,IFERROR(INDEX(05_Строки_КП!$O$4:$O$203,MATCH(C90,05_Строки_КП!$A$4:$A$203,0)),"")="READY",E90="COMPARABLE",F90&lt;&gt;"",COUNT(G90:H90)=2,G90&gt;0,H90&gt;0,I90&lt;&gt;"",J90&lt;&gt;"",COUNTIF(13_Источники!$A$4:$A$203,J90)=1,W90&lt;&gt;"",COUNTIF(13_Источники!$A$4:$A$203,W90)=1,COUNT(K90:N90)=4,ISNUMBER(O90),U90&lt;&gt;"",01_Основания!$B$8&lt;&gt;"",OR(01_Основания!$B$9="NET",01_Основания!$B$9="GROSS"),01_Основания!$B$10&lt;&gt;"",IF(AND(ISNUMBER(O90),ISNUMBER(G90),ISNUMBER(H90)),O90*G90*H90+SUM(K90:N90)&gt;=0,FALSE())),IF(S90="SELECTED",IF(AND(COUNTIFS(B$4:B$203,B90,S$4:S$203,"SELECTED")=1,T90&lt;&gt;""),"SELECTED_READY","SELECTION_ERROR"),"COMPARABLE_READY"),"INCOMPLETE / NOT_COMPARABLE"))</f>
        <v/>
      </c>
      <c r="W90" s="6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6"/>
      <c r="I91" s="4"/>
      <c r="J91" s="4"/>
      <c r="K91" s="6"/>
      <c r="L91" s="6"/>
      <c r="M91" s="6"/>
      <c r="N91" s="6"/>
      <c r="O91" s="7" t="str">
        <f aca="false">IF(C91="","",IF(IFERROR(INDEX(05_Строки_КП!$O$4:$O$203,MATCH(C91,05_Строки_КП!$A$4:$A$203,0)),"")="READY",IFERROR(INDEX(05_Строки_КП!$H$4:$H$203,MATCH(C91,05_Строки_КП!$A$4:$A$203,0)),""),""))</f>
        <v/>
      </c>
      <c r="P91" s="5" t="str">
        <f aca="false">IF(C91="","",IF(IFERROR(INDEX(05_Строки_КП!$O$4:$O$203,MATCH(C91,05_Строки_КП!$A$4:$A$203,0)),"")="READY",IFERROR(INDEX(05_Строки_КП!$L$4:$L$203,MATCH(C91,05_Строки_КП!$A$4:$A$203,0)),""),""))</f>
        <v/>
      </c>
      <c r="Q91" s="5" t="str">
        <f aca="false">IF(C91="","",IF(IFERROR(INDEX(05_Строки_КП!$O$4:$O$203,MATCH(C91,05_Строки_КП!$A$4:$A$203,0)),"")="READY",IFERROR(INDEX(05_Строки_КП!$M$4:$M$203,MATCH(C91,05_Строки_КП!$A$4:$A$203,0)),""),""))</f>
        <v/>
      </c>
      <c r="R91" s="7" t="str">
        <f aca="false">IF(OR(V91="SELECTED_READY",V91="COMPARABLE_READY"),O91*G91*H91+SUM(K91:N91),"")</f>
        <v/>
      </c>
      <c r="S91" s="4"/>
      <c r="T91" s="4"/>
      <c r="U91" s="6"/>
      <c r="V91" s="5" t="str">
        <f aca="false">IF(A91="","",IF(AND(COUNTIF(A$4:A$203,A91)=1,B91&lt;&gt;"",C91&lt;&gt;"",D91&lt;&gt;"",COUNTIF(05_Строки_КП!$A$4:$A$203,C91)=1,IFERROR(INDEX(05_Строки_КП!$C$4:$C$203,MATCH(C91,05_Строки_КП!$A$4:$A$203,0)),"")=D91,IFERROR(INDEX(05_Строки_КП!$O$4:$O$203,MATCH(C91,05_Строки_КП!$A$4:$A$203,0)),"")="READY",E91="COMPARABLE",F91&lt;&gt;"",COUNT(G91:H91)=2,G91&gt;0,H91&gt;0,I91&lt;&gt;"",J91&lt;&gt;"",COUNTIF(13_Источники!$A$4:$A$203,J91)=1,W91&lt;&gt;"",COUNTIF(13_Источники!$A$4:$A$203,W91)=1,COUNT(K91:N91)=4,ISNUMBER(O91),U91&lt;&gt;"",01_Основания!$B$8&lt;&gt;"",OR(01_Основания!$B$9="NET",01_Основания!$B$9="GROSS"),01_Основания!$B$10&lt;&gt;"",IF(AND(ISNUMBER(O91),ISNUMBER(G91),ISNUMBER(H91)),O91*G91*H91+SUM(K91:N91)&gt;=0,FALSE())),IF(S91="SELECTED",IF(AND(COUNTIFS(B$4:B$203,B91,S$4:S$203,"SELECTED")=1,T91&lt;&gt;""),"SELECTED_READY","SELECTION_ERROR"),"COMPARABLE_READY"),"INCOMPLETE / NOT_COMPARABLE"))</f>
        <v/>
      </c>
      <c r="W91" s="6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6"/>
      <c r="I92" s="4"/>
      <c r="J92" s="4"/>
      <c r="K92" s="6"/>
      <c r="L92" s="6"/>
      <c r="M92" s="6"/>
      <c r="N92" s="6"/>
      <c r="O92" s="7" t="str">
        <f aca="false">IF(C92="","",IF(IFERROR(INDEX(05_Строки_КП!$O$4:$O$203,MATCH(C92,05_Строки_КП!$A$4:$A$203,0)),"")="READY",IFERROR(INDEX(05_Строки_КП!$H$4:$H$203,MATCH(C92,05_Строки_КП!$A$4:$A$203,0)),""),""))</f>
        <v/>
      </c>
      <c r="P92" s="5" t="str">
        <f aca="false">IF(C92="","",IF(IFERROR(INDEX(05_Строки_КП!$O$4:$O$203,MATCH(C92,05_Строки_КП!$A$4:$A$203,0)),"")="READY",IFERROR(INDEX(05_Строки_КП!$L$4:$L$203,MATCH(C92,05_Строки_КП!$A$4:$A$203,0)),""),""))</f>
        <v/>
      </c>
      <c r="Q92" s="5" t="str">
        <f aca="false">IF(C92="","",IF(IFERROR(INDEX(05_Строки_КП!$O$4:$O$203,MATCH(C92,05_Строки_КП!$A$4:$A$203,0)),"")="READY",IFERROR(INDEX(05_Строки_КП!$M$4:$M$203,MATCH(C92,05_Строки_КП!$A$4:$A$203,0)),""),""))</f>
        <v/>
      </c>
      <c r="R92" s="7" t="str">
        <f aca="false">IF(OR(V92="SELECTED_READY",V92="COMPARABLE_READY"),O92*G92*H92+SUM(K92:N92),"")</f>
        <v/>
      </c>
      <c r="S92" s="4"/>
      <c r="T92" s="4"/>
      <c r="U92" s="6"/>
      <c r="V92" s="5" t="str">
        <f aca="false">IF(A92="","",IF(AND(COUNTIF(A$4:A$203,A92)=1,B92&lt;&gt;"",C92&lt;&gt;"",D92&lt;&gt;"",COUNTIF(05_Строки_КП!$A$4:$A$203,C92)=1,IFERROR(INDEX(05_Строки_КП!$C$4:$C$203,MATCH(C92,05_Строки_КП!$A$4:$A$203,0)),"")=D92,IFERROR(INDEX(05_Строки_КП!$O$4:$O$203,MATCH(C92,05_Строки_КП!$A$4:$A$203,0)),"")="READY",E92="COMPARABLE",F92&lt;&gt;"",COUNT(G92:H92)=2,G92&gt;0,H92&gt;0,I92&lt;&gt;"",J92&lt;&gt;"",COUNTIF(13_Источники!$A$4:$A$203,J92)=1,W92&lt;&gt;"",COUNTIF(13_Источники!$A$4:$A$203,W92)=1,COUNT(K92:N92)=4,ISNUMBER(O92),U92&lt;&gt;"",01_Основания!$B$8&lt;&gt;"",OR(01_Основания!$B$9="NET",01_Основания!$B$9="GROSS"),01_Основания!$B$10&lt;&gt;"",IF(AND(ISNUMBER(O92),ISNUMBER(G92),ISNUMBER(H92)),O92*G92*H92+SUM(K92:N92)&gt;=0,FALSE())),IF(S92="SELECTED",IF(AND(COUNTIFS(B$4:B$203,B92,S$4:S$203,"SELECTED")=1,T92&lt;&gt;""),"SELECTED_READY","SELECTION_ERROR"),"COMPARABLE_READY"),"INCOMPLETE / NOT_COMPARABLE"))</f>
        <v/>
      </c>
      <c r="W92" s="6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6"/>
      <c r="I93" s="4"/>
      <c r="J93" s="4"/>
      <c r="K93" s="6"/>
      <c r="L93" s="6"/>
      <c r="M93" s="6"/>
      <c r="N93" s="6"/>
      <c r="O93" s="7" t="str">
        <f aca="false">IF(C93="","",IF(IFERROR(INDEX(05_Строки_КП!$O$4:$O$203,MATCH(C93,05_Строки_КП!$A$4:$A$203,0)),"")="READY",IFERROR(INDEX(05_Строки_КП!$H$4:$H$203,MATCH(C93,05_Строки_КП!$A$4:$A$203,0)),""),""))</f>
        <v/>
      </c>
      <c r="P93" s="5" t="str">
        <f aca="false">IF(C93="","",IF(IFERROR(INDEX(05_Строки_КП!$O$4:$O$203,MATCH(C93,05_Строки_КП!$A$4:$A$203,0)),"")="READY",IFERROR(INDEX(05_Строки_КП!$L$4:$L$203,MATCH(C93,05_Строки_КП!$A$4:$A$203,0)),""),""))</f>
        <v/>
      </c>
      <c r="Q93" s="5" t="str">
        <f aca="false">IF(C93="","",IF(IFERROR(INDEX(05_Строки_КП!$O$4:$O$203,MATCH(C93,05_Строки_КП!$A$4:$A$203,0)),"")="READY",IFERROR(INDEX(05_Строки_КП!$M$4:$M$203,MATCH(C93,05_Строки_КП!$A$4:$A$203,0)),""),""))</f>
        <v/>
      </c>
      <c r="R93" s="7" t="str">
        <f aca="false">IF(OR(V93="SELECTED_READY",V93="COMPARABLE_READY"),O93*G93*H93+SUM(K93:N93),"")</f>
        <v/>
      </c>
      <c r="S93" s="4"/>
      <c r="T93" s="4"/>
      <c r="U93" s="6"/>
      <c r="V93" s="5" t="str">
        <f aca="false">IF(A93="","",IF(AND(COUNTIF(A$4:A$203,A93)=1,B93&lt;&gt;"",C93&lt;&gt;"",D93&lt;&gt;"",COUNTIF(05_Строки_КП!$A$4:$A$203,C93)=1,IFERROR(INDEX(05_Строки_КП!$C$4:$C$203,MATCH(C93,05_Строки_КП!$A$4:$A$203,0)),"")=D93,IFERROR(INDEX(05_Строки_КП!$O$4:$O$203,MATCH(C93,05_Строки_КП!$A$4:$A$203,0)),"")="READY",E93="COMPARABLE",F93&lt;&gt;"",COUNT(G93:H93)=2,G93&gt;0,H93&gt;0,I93&lt;&gt;"",J93&lt;&gt;"",COUNTIF(13_Источники!$A$4:$A$203,J93)=1,W93&lt;&gt;"",COUNTIF(13_Источники!$A$4:$A$203,W93)=1,COUNT(K93:N93)=4,ISNUMBER(O93),U93&lt;&gt;"",01_Основания!$B$8&lt;&gt;"",OR(01_Основания!$B$9="NET",01_Основания!$B$9="GROSS"),01_Основания!$B$10&lt;&gt;"",IF(AND(ISNUMBER(O93),ISNUMBER(G93),ISNUMBER(H93)),O93*G93*H93+SUM(K93:N93)&gt;=0,FALSE())),IF(S93="SELECTED",IF(AND(COUNTIFS(B$4:B$203,B93,S$4:S$203,"SELECTED")=1,T93&lt;&gt;""),"SELECTED_READY","SELECTION_ERROR"),"COMPARABLE_READY"),"INCOMPLETE / NOT_COMPARABLE"))</f>
        <v/>
      </c>
      <c r="W93" s="6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6"/>
      <c r="I94" s="4"/>
      <c r="J94" s="4"/>
      <c r="K94" s="6"/>
      <c r="L94" s="6"/>
      <c r="M94" s="6"/>
      <c r="N94" s="6"/>
      <c r="O94" s="7" t="str">
        <f aca="false">IF(C94="","",IF(IFERROR(INDEX(05_Строки_КП!$O$4:$O$203,MATCH(C94,05_Строки_КП!$A$4:$A$203,0)),"")="READY",IFERROR(INDEX(05_Строки_КП!$H$4:$H$203,MATCH(C94,05_Строки_КП!$A$4:$A$203,0)),""),""))</f>
        <v/>
      </c>
      <c r="P94" s="5" t="str">
        <f aca="false">IF(C94="","",IF(IFERROR(INDEX(05_Строки_КП!$O$4:$O$203,MATCH(C94,05_Строки_КП!$A$4:$A$203,0)),"")="READY",IFERROR(INDEX(05_Строки_КП!$L$4:$L$203,MATCH(C94,05_Строки_КП!$A$4:$A$203,0)),""),""))</f>
        <v/>
      </c>
      <c r="Q94" s="5" t="str">
        <f aca="false">IF(C94="","",IF(IFERROR(INDEX(05_Строки_КП!$O$4:$O$203,MATCH(C94,05_Строки_КП!$A$4:$A$203,0)),"")="READY",IFERROR(INDEX(05_Строки_КП!$M$4:$M$203,MATCH(C94,05_Строки_КП!$A$4:$A$203,0)),""),""))</f>
        <v/>
      </c>
      <c r="R94" s="7" t="str">
        <f aca="false">IF(OR(V94="SELECTED_READY",V94="COMPARABLE_READY"),O94*G94*H94+SUM(K94:N94),"")</f>
        <v/>
      </c>
      <c r="S94" s="4"/>
      <c r="T94" s="4"/>
      <c r="U94" s="6"/>
      <c r="V94" s="5" t="str">
        <f aca="false">IF(A94="","",IF(AND(COUNTIF(A$4:A$203,A94)=1,B94&lt;&gt;"",C94&lt;&gt;"",D94&lt;&gt;"",COUNTIF(05_Строки_КП!$A$4:$A$203,C94)=1,IFERROR(INDEX(05_Строки_КП!$C$4:$C$203,MATCH(C94,05_Строки_КП!$A$4:$A$203,0)),"")=D94,IFERROR(INDEX(05_Строки_КП!$O$4:$O$203,MATCH(C94,05_Строки_КП!$A$4:$A$203,0)),"")="READY",E94="COMPARABLE",F94&lt;&gt;"",COUNT(G94:H94)=2,G94&gt;0,H94&gt;0,I94&lt;&gt;"",J94&lt;&gt;"",COUNTIF(13_Источники!$A$4:$A$203,J94)=1,W94&lt;&gt;"",COUNTIF(13_Источники!$A$4:$A$203,W94)=1,COUNT(K94:N94)=4,ISNUMBER(O94),U94&lt;&gt;"",01_Основания!$B$8&lt;&gt;"",OR(01_Основания!$B$9="NET",01_Основания!$B$9="GROSS"),01_Основания!$B$10&lt;&gt;"",IF(AND(ISNUMBER(O94),ISNUMBER(G94),ISNUMBER(H94)),O94*G94*H94+SUM(K94:N94)&gt;=0,FALSE())),IF(S94="SELECTED",IF(AND(COUNTIFS(B$4:B$203,B94,S$4:S$203,"SELECTED")=1,T94&lt;&gt;""),"SELECTED_READY","SELECTION_ERROR"),"COMPARABLE_READY"),"INCOMPLETE / NOT_COMPARABLE"))</f>
        <v/>
      </c>
      <c r="W94" s="6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6"/>
      <c r="I95" s="4"/>
      <c r="J95" s="4"/>
      <c r="K95" s="6"/>
      <c r="L95" s="6"/>
      <c r="M95" s="6"/>
      <c r="N95" s="6"/>
      <c r="O95" s="7" t="str">
        <f aca="false">IF(C95="","",IF(IFERROR(INDEX(05_Строки_КП!$O$4:$O$203,MATCH(C95,05_Строки_КП!$A$4:$A$203,0)),"")="READY",IFERROR(INDEX(05_Строки_КП!$H$4:$H$203,MATCH(C95,05_Строки_КП!$A$4:$A$203,0)),""),""))</f>
        <v/>
      </c>
      <c r="P95" s="5" t="str">
        <f aca="false">IF(C95="","",IF(IFERROR(INDEX(05_Строки_КП!$O$4:$O$203,MATCH(C95,05_Строки_КП!$A$4:$A$203,0)),"")="READY",IFERROR(INDEX(05_Строки_КП!$L$4:$L$203,MATCH(C95,05_Строки_КП!$A$4:$A$203,0)),""),""))</f>
        <v/>
      </c>
      <c r="Q95" s="5" t="str">
        <f aca="false">IF(C95="","",IF(IFERROR(INDEX(05_Строки_КП!$O$4:$O$203,MATCH(C95,05_Строки_КП!$A$4:$A$203,0)),"")="READY",IFERROR(INDEX(05_Строки_КП!$M$4:$M$203,MATCH(C95,05_Строки_КП!$A$4:$A$203,0)),""),""))</f>
        <v/>
      </c>
      <c r="R95" s="7" t="str">
        <f aca="false">IF(OR(V95="SELECTED_READY",V95="COMPARABLE_READY"),O95*G95*H95+SUM(K95:N95),"")</f>
        <v/>
      </c>
      <c r="S95" s="4"/>
      <c r="T95" s="4"/>
      <c r="U95" s="6"/>
      <c r="V95" s="5" t="str">
        <f aca="false">IF(A95="","",IF(AND(COUNTIF(A$4:A$203,A95)=1,B95&lt;&gt;"",C95&lt;&gt;"",D95&lt;&gt;"",COUNTIF(05_Строки_КП!$A$4:$A$203,C95)=1,IFERROR(INDEX(05_Строки_КП!$C$4:$C$203,MATCH(C95,05_Строки_КП!$A$4:$A$203,0)),"")=D95,IFERROR(INDEX(05_Строки_КП!$O$4:$O$203,MATCH(C95,05_Строки_КП!$A$4:$A$203,0)),"")="READY",E95="COMPARABLE",F95&lt;&gt;"",COUNT(G95:H95)=2,G95&gt;0,H95&gt;0,I95&lt;&gt;"",J95&lt;&gt;"",COUNTIF(13_Источники!$A$4:$A$203,J95)=1,W95&lt;&gt;"",COUNTIF(13_Источники!$A$4:$A$203,W95)=1,COUNT(K95:N95)=4,ISNUMBER(O95),U95&lt;&gt;"",01_Основания!$B$8&lt;&gt;"",OR(01_Основания!$B$9="NET",01_Основания!$B$9="GROSS"),01_Основания!$B$10&lt;&gt;"",IF(AND(ISNUMBER(O95),ISNUMBER(G95),ISNUMBER(H95)),O95*G95*H95+SUM(K95:N95)&gt;=0,FALSE())),IF(S95="SELECTED",IF(AND(COUNTIFS(B$4:B$203,B95,S$4:S$203,"SELECTED")=1,T95&lt;&gt;""),"SELECTED_READY","SELECTION_ERROR"),"COMPARABLE_READY"),"INCOMPLETE / NOT_COMPARABLE"))</f>
        <v/>
      </c>
      <c r="W95" s="6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6"/>
      <c r="I96" s="4"/>
      <c r="J96" s="4"/>
      <c r="K96" s="6"/>
      <c r="L96" s="6"/>
      <c r="M96" s="6"/>
      <c r="N96" s="6"/>
      <c r="O96" s="7" t="str">
        <f aca="false">IF(C96="","",IF(IFERROR(INDEX(05_Строки_КП!$O$4:$O$203,MATCH(C96,05_Строки_КП!$A$4:$A$203,0)),"")="READY",IFERROR(INDEX(05_Строки_КП!$H$4:$H$203,MATCH(C96,05_Строки_КП!$A$4:$A$203,0)),""),""))</f>
        <v/>
      </c>
      <c r="P96" s="5" t="str">
        <f aca="false">IF(C96="","",IF(IFERROR(INDEX(05_Строки_КП!$O$4:$O$203,MATCH(C96,05_Строки_КП!$A$4:$A$203,0)),"")="READY",IFERROR(INDEX(05_Строки_КП!$L$4:$L$203,MATCH(C96,05_Строки_КП!$A$4:$A$203,0)),""),""))</f>
        <v/>
      </c>
      <c r="Q96" s="5" t="str">
        <f aca="false">IF(C96="","",IF(IFERROR(INDEX(05_Строки_КП!$O$4:$O$203,MATCH(C96,05_Строки_КП!$A$4:$A$203,0)),"")="READY",IFERROR(INDEX(05_Строки_КП!$M$4:$M$203,MATCH(C96,05_Строки_КП!$A$4:$A$203,0)),""),""))</f>
        <v/>
      </c>
      <c r="R96" s="7" t="str">
        <f aca="false">IF(OR(V96="SELECTED_READY",V96="COMPARABLE_READY"),O96*G96*H96+SUM(K96:N96),"")</f>
        <v/>
      </c>
      <c r="S96" s="4"/>
      <c r="T96" s="4"/>
      <c r="U96" s="6"/>
      <c r="V96" s="5" t="str">
        <f aca="false">IF(A96="","",IF(AND(COUNTIF(A$4:A$203,A96)=1,B96&lt;&gt;"",C96&lt;&gt;"",D96&lt;&gt;"",COUNTIF(05_Строки_КП!$A$4:$A$203,C96)=1,IFERROR(INDEX(05_Строки_КП!$C$4:$C$203,MATCH(C96,05_Строки_КП!$A$4:$A$203,0)),"")=D96,IFERROR(INDEX(05_Строки_КП!$O$4:$O$203,MATCH(C96,05_Строки_КП!$A$4:$A$203,0)),"")="READY",E96="COMPARABLE",F96&lt;&gt;"",COUNT(G96:H96)=2,G96&gt;0,H96&gt;0,I96&lt;&gt;"",J96&lt;&gt;"",COUNTIF(13_Источники!$A$4:$A$203,J96)=1,W96&lt;&gt;"",COUNTIF(13_Источники!$A$4:$A$203,W96)=1,COUNT(K96:N96)=4,ISNUMBER(O96),U96&lt;&gt;"",01_Основания!$B$8&lt;&gt;"",OR(01_Основания!$B$9="NET",01_Основания!$B$9="GROSS"),01_Основания!$B$10&lt;&gt;"",IF(AND(ISNUMBER(O96),ISNUMBER(G96),ISNUMBER(H96)),O96*G96*H96+SUM(K96:N96)&gt;=0,FALSE())),IF(S96="SELECTED",IF(AND(COUNTIFS(B$4:B$203,B96,S$4:S$203,"SELECTED")=1,T96&lt;&gt;""),"SELECTED_READY","SELECTION_ERROR"),"COMPARABLE_READY"),"INCOMPLETE / NOT_COMPARABLE"))</f>
        <v/>
      </c>
      <c r="W96" s="6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6"/>
      <c r="I97" s="4"/>
      <c r="J97" s="4"/>
      <c r="K97" s="6"/>
      <c r="L97" s="6"/>
      <c r="M97" s="6"/>
      <c r="N97" s="6"/>
      <c r="O97" s="7" t="str">
        <f aca="false">IF(C97="","",IF(IFERROR(INDEX(05_Строки_КП!$O$4:$O$203,MATCH(C97,05_Строки_КП!$A$4:$A$203,0)),"")="READY",IFERROR(INDEX(05_Строки_КП!$H$4:$H$203,MATCH(C97,05_Строки_КП!$A$4:$A$203,0)),""),""))</f>
        <v/>
      </c>
      <c r="P97" s="5" t="str">
        <f aca="false">IF(C97="","",IF(IFERROR(INDEX(05_Строки_КП!$O$4:$O$203,MATCH(C97,05_Строки_КП!$A$4:$A$203,0)),"")="READY",IFERROR(INDEX(05_Строки_КП!$L$4:$L$203,MATCH(C97,05_Строки_КП!$A$4:$A$203,0)),""),""))</f>
        <v/>
      </c>
      <c r="Q97" s="5" t="str">
        <f aca="false">IF(C97="","",IF(IFERROR(INDEX(05_Строки_КП!$O$4:$O$203,MATCH(C97,05_Строки_КП!$A$4:$A$203,0)),"")="READY",IFERROR(INDEX(05_Строки_КП!$M$4:$M$203,MATCH(C97,05_Строки_КП!$A$4:$A$203,0)),""),""))</f>
        <v/>
      </c>
      <c r="R97" s="7" t="str">
        <f aca="false">IF(OR(V97="SELECTED_READY",V97="COMPARABLE_READY"),O97*G97*H97+SUM(K97:N97),"")</f>
        <v/>
      </c>
      <c r="S97" s="4"/>
      <c r="T97" s="4"/>
      <c r="U97" s="6"/>
      <c r="V97" s="5" t="str">
        <f aca="false">IF(A97="","",IF(AND(COUNTIF(A$4:A$203,A97)=1,B97&lt;&gt;"",C97&lt;&gt;"",D97&lt;&gt;"",COUNTIF(05_Строки_КП!$A$4:$A$203,C97)=1,IFERROR(INDEX(05_Строки_КП!$C$4:$C$203,MATCH(C97,05_Строки_КП!$A$4:$A$203,0)),"")=D97,IFERROR(INDEX(05_Строки_КП!$O$4:$O$203,MATCH(C97,05_Строки_КП!$A$4:$A$203,0)),"")="READY",E97="COMPARABLE",F97&lt;&gt;"",COUNT(G97:H97)=2,G97&gt;0,H97&gt;0,I97&lt;&gt;"",J97&lt;&gt;"",COUNTIF(13_Источники!$A$4:$A$203,J97)=1,W97&lt;&gt;"",COUNTIF(13_Источники!$A$4:$A$203,W97)=1,COUNT(K97:N97)=4,ISNUMBER(O97),U97&lt;&gt;"",01_Основания!$B$8&lt;&gt;"",OR(01_Основания!$B$9="NET",01_Основания!$B$9="GROSS"),01_Основания!$B$10&lt;&gt;"",IF(AND(ISNUMBER(O97),ISNUMBER(G97),ISNUMBER(H97)),O97*G97*H97+SUM(K97:N97)&gt;=0,FALSE())),IF(S97="SELECTED",IF(AND(COUNTIFS(B$4:B$203,B97,S$4:S$203,"SELECTED")=1,T97&lt;&gt;""),"SELECTED_READY","SELECTION_ERROR"),"COMPARABLE_READY"),"INCOMPLETE / NOT_COMPARABLE"))</f>
        <v/>
      </c>
      <c r="W97" s="6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6"/>
      <c r="I98" s="4"/>
      <c r="J98" s="4"/>
      <c r="K98" s="6"/>
      <c r="L98" s="6"/>
      <c r="M98" s="6"/>
      <c r="N98" s="6"/>
      <c r="O98" s="7" t="str">
        <f aca="false">IF(C98="","",IF(IFERROR(INDEX(05_Строки_КП!$O$4:$O$203,MATCH(C98,05_Строки_КП!$A$4:$A$203,0)),"")="READY",IFERROR(INDEX(05_Строки_КП!$H$4:$H$203,MATCH(C98,05_Строки_КП!$A$4:$A$203,0)),""),""))</f>
        <v/>
      </c>
      <c r="P98" s="5" t="str">
        <f aca="false">IF(C98="","",IF(IFERROR(INDEX(05_Строки_КП!$O$4:$O$203,MATCH(C98,05_Строки_КП!$A$4:$A$203,0)),"")="READY",IFERROR(INDEX(05_Строки_КП!$L$4:$L$203,MATCH(C98,05_Строки_КП!$A$4:$A$203,0)),""),""))</f>
        <v/>
      </c>
      <c r="Q98" s="5" t="str">
        <f aca="false">IF(C98="","",IF(IFERROR(INDEX(05_Строки_КП!$O$4:$O$203,MATCH(C98,05_Строки_КП!$A$4:$A$203,0)),"")="READY",IFERROR(INDEX(05_Строки_КП!$M$4:$M$203,MATCH(C98,05_Строки_КП!$A$4:$A$203,0)),""),""))</f>
        <v/>
      </c>
      <c r="R98" s="7" t="str">
        <f aca="false">IF(OR(V98="SELECTED_READY",V98="COMPARABLE_READY"),O98*G98*H98+SUM(K98:N98),"")</f>
        <v/>
      </c>
      <c r="S98" s="4"/>
      <c r="T98" s="4"/>
      <c r="U98" s="6"/>
      <c r="V98" s="5" t="str">
        <f aca="false">IF(A98="","",IF(AND(COUNTIF(A$4:A$203,A98)=1,B98&lt;&gt;"",C98&lt;&gt;"",D98&lt;&gt;"",COUNTIF(05_Строки_КП!$A$4:$A$203,C98)=1,IFERROR(INDEX(05_Строки_КП!$C$4:$C$203,MATCH(C98,05_Строки_КП!$A$4:$A$203,0)),"")=D98,IFERROR(INDEX(05_Строки_КП!$O$4:$O$203,MATCH(C98,05_Строки_КП!$A$4:$A$203,0)),"")="READY",E98="COMPARABLE",F98&lt;&gt;"",COUNT(G98:H98)=2,G98&gt;0,H98&gt;0,I98&lt;&gt;"",J98&lt;&gt;"",COUNTIF(13_Источники!$A$4:$A$203,J98)=1,W98&lt;&gt;"",COUNTIF(13_Источники!$A$4:$A$203,W98)=1,COUNT(K98:N98)=4,ISNUMBER(O98),U98&lt;&gt;"",01_Основания!$B$8&lt;&gt;"",OR(01_Основания!$B$9="NET",01_Основания!$B$9="GROSS"),01_Основания!$B$10&lt;&gt;"",IF(AND(ISNUMBER(O98),ISNUMBER(G98),ISNUMBER(H98)),O98*G98*H98+SUM(K98:N98)&gt;=0,FALSE())),IF(S98="SELECTED",IF(AND(COUNTIFS(B$4:B$203,B98,S$4:S$203,"SELECTED")=1,T98&lt;&gt;""),"SELECTED_READY","SELECTION_ERROR"),"COMPARABLE_READY"),"INCOMPLETE / NOT_COMPARABLE"))</f>
        <v/>
      </c>
      <c r="W98" s="6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6"/>
      <c r="I99" s="4"/>
      <c r="J99" s="4"/>
      <c r="K99" s="6"/>
      <c r="L99" s="6"/>
      <c r="M99" s="6"/>
      <c r="N99" s="6"/>
      <c r="O99" s="7" t="str">
        <f aca="false">IF(C99="","",IF(IFERROR(INDEX(05_Строки_КП!$O$4:$O$203,MATCH(C99,05_Строки_КП!$A$4:$A$203,0)),"")="READY",IFERROR(INDEX(05_Строки_КП!$H$4:$H$203,MATCH(C99,05_Строки_КП!$A$4:$A$203,0)),""),""))</f>
        <v/>
      </c>
      <c r="P99" s="5" t="str">
        <f aca="false">IF(C99="","",IF(IFERROR(INDEX(05_Строки_КП!$O$4:$O$203,MATCH(C99,05_Строки_КП!$A$4:$A$203,0)),"")="READY",IFERROR(INDEX(05_Строки_КП!$L$4:$L$203,MATCH(C99,05_Строки_КП!$A$4:$A$203,0)),""),""))</f>
        <v/>
      </c>
      <c r="Q99" s="5" t="str">
        <f aca="false">IF(C99="","",IF(IFERROR(INDEX(05_Строки_КП!$O$4:$O$203,MATCH(C99,05_Строки_КП!$A$4:$A$203,0)),"")="READY",IFERROR(INDEX(05_Строки_КП!$M$4:$M$203,MATCH(C99,05_Строки_КП!$A$4:$A$203,0)),""),""))</f>
        <v/>
      </c>
      <c r="R99" s="7" t="str">
        <f aca="false">IF(OR(V99="SELECTED_READY",V99="COMPARABLE_READY"),O99*G99*H99+SUM(K99:N99),"")</f>
        <v/>
      </c>
      <c r="S99" s="4"/>
      <c r="T99" s="4"/>
      <c r="U99" s="6"/>
      <c r="V99" s="5" t="str">
        <f aca="false">IF(A99="","",IF(AND(COUNTIF(A$4:A$203,A99)=1,B99&lt;&gt;"",C99&lt;&gt;"",D99&lt;&gt;"",COUNTIF(05_Строки_КП!$A$4:$A$203,C99)=1,IFERROR(INDEX(05_Строки_КП!$C$4:$C$203,MATCH(C99,05_Строки_КП!$A$4:$A$203,0)),"")=D99,IFERROR(INDEX(05_Строки_КП!$O$4:$O$203,MATCH(C99,05_Строки_КП!$A$4:$A$203,0)),"")="READY",E99="COMPARABLE",F99&lt;&gt;"",COUNT(G99:H99)=2,G99&gt;0,H99&gt;0,I99&lt;&gt;"",J99&lt;&gt;"",COUNTIF(13_Источники!$A$4:$A$203,J99)=1,W99&lt;&gt;"",COUNTIF(13_Источники!$A$4:$A$203,W99)=1,COUNT(K99:N99)=4,ISNUMBER(O99),U99&lt;&gt;"",01_Основания!$B$8&lt;&gt;"",OR(01_Основания!$B$9="NET",01_Основания!$B$9="GROSS"),01_Основания!$B$10&lt;&gt;"",IF(AND(ISNUMBER(O99),ISNUMBER(G99),ISNUMBER(H99)),O99*G99*H99+SUM(K99:N99)&gt;=0,FALSE())),IF(S99="SELECTED",IF(AND(COUNTIFS(B$4:B$203,B99,S$4:S$203,"SELECTED")=1,T99&lt;&gt;""),"SELECTED_READY","SELECTION_ERROR"),"COMPARABLE_READY"),"INCOMPLETE / NOT_COMPARABLE"))</f>
        <v/>
      </c>
      <c r="W99" s="6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6"/>
      <c r="L100" s="6"/>
      <c r="M100" s="6"/>
      <c r="N100" s="6"/>
      <c r="O100" s="7" t="str">
        <f aca="false">IF(C100="","",IF(IFERROR(INDEX(05_Строки_КП!$O$4:$O$203,MATCH(C100,05_Строки_КП!$A$4:$A$203,0)),"")="READY",IFERROR(INDEX(05_Строки_КП!$H$4:$H$203,MATCH(C100,05_Строки_КП!$A$4:$A$203,0)),""),""))</f>
        <v/>
      </c>
      <c r="P100" s="5" t="str">
        <f aca="false">IF(C100="","",IF(IFERROR(INDEX(05_Строки_КП!$O$4:$O$203,MATCH(C100,05_Строки_КП!$A$4:$A$203,0)),"")="READY",IFERROR(INDEX(05_Строки_КП!$L$4:$L$203,MATCH(C100,05_Строки_КП!$A$4:$A$203,0)),""),""))</f>
        <v/>
      </c>
      <c r="Q100" s="5" t="str">
        <f aca="false">IF(C100="","",IF(IFERROR(INDEX(05_Строки_КП!$O$4:$O$203,MATCH(C100,05_Строки_КП!$A$4:$A$203,0)),"")="READY",IFERROR(INDEX(05_Строки_КП!$M$4:$M$203,MATCH(C100,05_Строки_КП!$A$4:$A$203,0)),""),""))</f>
        <v/>
      </c>
      <c r="R100" s="7" t="str">
        <f aca="false">IF(OR(V100="SELECTED_READY",V100="COMPARABLE_READY"),O100*G100*H100+SUM(K100:N100),"")</f>
        <v/>
      </c>
      <c r="S100" s="4"/>
      <c r="T100" s="4"/>
      <c r="U100" s="6"/>
      <c r="V100" s="5" t="str">
        <f aca="false">IF(A100="","",IF(AND(COUNTIF(A$4:A$203,A100)=1,B100&lt;&gt;"",C100&lt;&gt;"",D100&lt;&gt;"",COUNTIF(05_Строки_КП!$A$4:$A$203,C100)=1,IFERROR(INDEX(05_Строки_КП!$C$4:$C$203,MATCH(C100,05_Строки_КП!$A$4:$A$203,0)),"")=D100,IFERROR(INDEX(05_Строки_КП!$O$4:$O$203,MATCH(C100,05_Строки_КП!$A$4:$A$203,0)),"")="READY",E100="COMPARABLE",F100&lt;&gt;"",COUNT(G100:H100)=2,G100&gt;0,H100&gt;0,I100&lt;&gt;"",J100&lt;&gt;"",COUNTIF(13_Источники!$A$4:$A$203,J100)=1,W100&lt;&gt;"",COUNTIF(13_Источники!$A$4:$A$203,W100)=1,COUNT(K100:N100)=4,ISNUMBER(O100),U100&lt;&gt;"",01_Основания!$B$8&lt;&gt;"",OR(01_Основания!$B$9="NET",01_Основания!$B$9="GROSS"),01_Основания!$B$10&lt;&gt;"",IF(AND(ISNUMBER(O100),ISNUMBER(G100),ISNUMBER(H100)),O100*G100*H100+SUM(K100:N100)&gt;=0,FALSE())),IF(S100="SELECTED",IF(AND(COUNTIFS(B$4:B$203,B100,S$4:S$203,"SELECTED")=1,T100&lt;&gt;""),"SELECTED_READY","SELECTION_ERROR"),"COMPARABLE_READY"),"INCOMPLETE / NOT_COMPARABLE"))</f>
        <v/>
      </c>
      <c r="W100" s="6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6"/>
      <c r="L101" s="6"/>
      <c r="M101" s="6"/>
      <c r="N101" s="6"/>
      <c r="O101" s="7" t="str">
        <f aca="false">IF(C101="","",IF(IFERROR(INDEX(05_Строки_КП!$O$4:$O$203,MATCH(C101,05_Строки_КП!$A$4:$A$203,0)),"")="READY",IFERROR(INDEX(05_Строки_КП!$H$4:$H$203,MATCH(C101,05_Строки_КП!$A$4:$A$203,0)),""),""))</f>
        <v/>
      </c>
      <c r="P101" s="5" t="str">
        <f aca="false">IF(C101="","",IF(IFERROR(INDEX(05_Строки_КП!$O$4:$O$203,MATCH(C101,05_Строки_КП!$A$4:$A$203,0)),"")="READY",IFERROR(INDEX(05_Строки_КП!$L$4:$L$203,MATCH(C101,05_Строки_КП!$A$4:$A$203,0)),""),""))</f>
        <v/>
      </c>
      <c r="Q101" s="5" t="str">
        <f aca="false">IF(C101="","",IF(IFERROR(INDEX(05_Строки_КП!$O$4:$O$203,MATCH(C101,05_Строки_КП!$A$4:$A$203,0)),"")="READY",IFERROR(INDEX(05_Строки_КП!$M$4:$M$203,MATCH(C101,05_Строки_КП!$A$4:$A$203,0)),""),""))</f>
        <v/>
      </c>
      <c r="R101" s="7" t="str">
        <f aca="false">IF(OR(V101="SELECTED_READY",V101="COMPARABLE_READY"),O101*G101*H101+SUM(K101:N101),"")</f>
        <v/>
      </c>
      <c r="S101" s="4"/>
      <c r="T101" s="4"/>
      <c r="U101" s="6"/>
      <c r="V101" s="5" t="str">
        <f aca="false">IF(A101="","",IF(AND(COUNTIF(A$4:A$203,A101)=1,B101&lt;&gt;"",C101&lt;&gt;"",D101&lt;&gt;"",COUNTIF(05_Строки_КП!$A$4:$A$203,C101)=1,IFERROR(INDEX(05_Строки_КП!$C$4:$C$203,MATCH(C101,05_Строки_КП!$A$4:$A$203,0)),"")=D101,IFERROR(INDEX(05_Строки_КП!$O$4:$O$203,MATCH(C101,05_Строки_КП!$A$4:$A$203,0)),"")="READY",E101="COMPARABLE",F101&lt;&gt;"",COUNT(G101:H101)=2,G101&gt;0,H101&gt;0,I101&lt;&gt;"",J101&lt;&gt;"",COUNTIF(13_Источники!$A$4:$A$203,J101)=1,W101&lt;&gt;"",COUNTIF(13_Источники!$A$4:$A$203,W101)=1,COUNT(K101:N101)=4,ISNUMBER(O101),U101&lt;&gt;"",01_Основания!$B$8&lt;&gt;"",OR(01_Основания!$B$9="NET",01_Основания!$B$9="GROSS"),01_Основания!$B$10&lt;&gt;"",IF(AND(ISNUMBER(O101),ISNUMBER(G101),ISNUMBER(H101)),O101*G101*H101+SUM(K101:N101)&gt;=0,FALSE())),IF(S101="SELECTED",IF(AND(COUNTIFS(B$4:B$203,B101,S$4:S$203,"SELECTED")=1,T101&lt;&gt;""),"SELECTED_READY","SELECTION_ERROR"),"COMPARABLE_READY"),"INCOMPLETE / NOT_COMPARABLE"))</f>
        <v/>
      </c>
      <c r="W101" s="6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6"/>
      <c r="L102" s="6"/>
      <c r="M102" s="6"/>
      <c r="N102" s="6"/>
      <c r="O102" s="7" t="str">
        <f aca="false">IF(C102="","",IF(IFERROR(INDEX(05_Строки_КП!$O$4:$O$203,MATCH(C102,05_Строки_КП!$A$4:$A$203,0)),"")="READY",IFERROR(INDEX(05_Строки_КП!$H$4:$H$203,MATCH(C102,05_Строки_КП!$A$4:$A$203,0)),""),""))</f>
        <v/>
      </c>
      <c r="P102" s="5" t="str">
        <f aca="false">IF(C102="","",IF(IFERROR(INDEX(05_Строки_КП!$O$4:$O$203,MATCH(C102,05_Строки_КП!$A$4:$A$203,0)),"")="READY",IFERROR(INDEX(05_Строки_КП!$L$4:$L$203,MATCH(C102,05_Строки_КП!$A$4:$A$203,0)),""),""))</f>
        <v/>
      </c>
      <c r="Q102" s="5" t="str">
        <f aca="false">IF(C102="","",IF(IFERROR(INDEX(05_Строки_КП!$O$4:$O$203,MATCH(C102,05_Строки_КП!$A$4:$A$203,0)),"")="READY",IFERROR(INDEX(05_Строки_КП!$M$4:$M$203,MATCH(C102,05_Строки_КП!$A$4:$A$203,0)),""),""))</f>
        <v/>
      </c>
      <c r="R102" s="7" t="str">
        <f aca="false">IF(OR(V102="SELECTED_READY",V102="COMPARABLE_READY"),O102*G102*H102+SUM(K102:N102),"")</f>
        <v/>
      </c>
      <c r="S102" s="4"/>
      <c r="T102" s="4"/>
      <c r="U102" s="6"/>
      <c r="V102" s="5" t="str">
        <f aca="false">IF(A102="","",IF(AND(COUNTIF(A$4:A$203,A102)=1,B102&lt;&gt;"",C102&lt;&gt;"",D102&lt;&gt;"",COUNTIF(05_Строки_КП!$A$4:$A$203,C102)=1,IFERROR(INDEX(05_Строки_КП!$C$4:$C$203,MATCH(C102,05_Строки_КП!$A$4:$A$203,0)),"")=D102,IFERROR(INDEX(05_Строки_КП!$O$4:$O$203,MATCH(C102,05_Строки_КП!$A$4:$A$203,0)),"")="READY",E102="COMPARABLE",F102&lt;&gt;"",COUNT(G102:H102)=2,G102&gt;0,H102&gt;0,I102&lt;&gt;"",J102&lt;&gt;"",COUNTIF(13_Источники!$A$4:$A$203,J102)=1,W102&lt;&gt;"",COUNTIF(13_Источники!$A$4:$A$203,W102)=1,COUNT(K102:N102)=4,ISNUMBER(O102),U102&lt;&gt;"",01_Основания!$B$8&lt;&gt;"",OR(01_Основания!$B$9="NET",01_Основания!$B$9="GROSS"),01_Основания!$B$10&lt;&gt;"",IF(AND(ISNUMBER(O102),ISNUMBER(G102),ISNUMBER(H102)),O102*G102*H102+SUM(K102:N102)&gt;=0,FALSE())),IF(S102="SELECTED",IF(AND(COUNTIFS(B$4:B$203,B102,S$4:S$203,"SELECTED")=1,T102&lt;&gt;""),"SELECTED_READY","SELECTION_ERROR"),"COMPARABLE_READY"),"INCOMPLETE / NOT_COMPARABLE"))</f>
        <v/>
      </c>
      <c r="W102" s="6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6"/>
      <c r="L103" s="6"/>
      <c r="M103" s="6"/>
      <c r="N103" s="6"/>
      <c r="O103" s="7" t="str">
        <f aca="false">IF(C103="","",IF(IFERROR(INDEX(05_Строки_КП!$O$4:$O$203,MATCH(C103,05_Строки_КП!$A$4:$A$203,0)),"")="READY",IFERROR(INDEX(05_Строки_КП!$H$4:$H$203,MATCH(C103,05_Строки_КП!$A$4:$A$203,0)),""),""))</f>
        <v/>
      </c>
      <c r="P103" s="5" t="str">
        <f aca="false">IF(C103="","",IF(IFERROR(INDEX(05_Строки_КП!$O$4:$O$203,MATCH(C103,05_Строки_КП!$A$4:$A$203,0)),"")="READY",IFERROR(INDEX(05_Строки_КП!$L$4:$L$203,MATCH(C103,05_Строки_КП!$A$4:$A$203,0)),""),""))</f>
        <v/>
      </c>
      <c r="Q103" s="5" t="str">
        <f aca="false">IF(C103="","",IF(IFERROR(INDEX(05_Строки_КП!$O$4:$O$203,MATCH(C103,05_Строки_КП!$A$4:$A$203,0)),"")="READY",IFERROR(INDEX(05_Строки_КП!$M$4:$M$203,MATCH(C103,05_Строки_КП!$A$4:$A$203,0)),""),""))</f>
        <v/>
      </c>
      <c r="R103" s="7" t="str">
        <f aca="false">IF(OR(V103="SELECTED_READY",V103="COMPARABLE_READY"),O103*G103*H103+SUM(K103:N103),"")</f>
        <v/>
      </c>
      <c r="S103" s="4"/>
      <c r="T103" s="4"/>
      <c r="U103" s="6"/>
      <c r="V103" s="5" t="str">
        <f aca="false">IF(A103="","",IF(AND(COUNTIF(A$4:A$203,A103)=1,B103&lt;&gt;"",C103&lt;&gt;"",D103&lt;&gt;"",COUNTIF(05_Строки_КП!$A$4:$A$203,C103)=1,IFERROR(INDEX(05_Строки_КП!$C$4:$C$203,MATCH(C103,05_Строки_КП!$A$4:$A$203,0)),"")=D103,IFERROR(INDEX(05_Строки_КП!$O$4:$O$203,MATCH(C103,05_Строки_КП!$A$4:$A$203,0)),"")="READY",E103="COMPARABLE",F103&lt;&gt;"",COUNT(G103:H103)=2,G103&gt;0,H103&gt;0,I103&lt;&gt;"",J103&lt;&gt;"",COUNTIF(13_Источники!$A$4:$A$203,J103)=1,W103&lt;&gt;"",COUNTIF(13_Источники!$A$4:$A$203,W103)=1,COUNT(K103:N103)=4,ISNUMBER(O103),U103&lt;&gt;"",01_Основания!$B$8&lt;&gt;"",OR(01_Основания!$B$9="NET",01_Основания!$B$9="GROSS"),01_Основания!$B$10&lt;&gt;"",IF(AND(ISNUMBER(O103),ISNUMBER(G103),ISNUMBER(H103)),O103*G103*H103+SUM(K103:N103)&gt;=0,FALSE())),IF(S103="SELECTED",IF(AND(COUNTIFS(B$4:B$203,B103,S$4:S$203,"SELECTED")=1,T103&lt;&gt;""),"SELECTED_READY","SELECTION_ERROR"),"COMPARABLE_READY"),"INCOMPLETE / NOT_COMPARABLE"))</f>
        <v/>
      </c>
      <c r="W103" s="6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6"/>
      <c r="L104" s="6"/>
      <c r="M104" s="6"/>
      <c r="N104" s="6"/>
      <c r="O104" s="7" t="str">
        <f aca="false">IF(C104="","",IF(IFERROR(INDEX(05_Строки_КП!$O$4:$O$203,MATCH(C104,05_Строки_КП!$A$4:$A$203,0)),"")="READY",IFERROR(INDEX(05_Строки_КП!$H$4:$H$203,MATCH(C104,05_Строки_КП!$A$4:$A$203,0)),""),""))</f>
        <v/>
      </c>
      <c r="P104" s="5" t="str">
        <f aca="false">IF(C104="","",IF(IFERROR(INDEX(05_Строки_КП!$O$4:$O$203,MATCH(C104,05_Строки_КП!$A$4:$A$203,0)),"")="READY",IFERROR(INDEX(05_Строки_КП!$L$4:$L$203,MATCH(C104,05_Строки_КП!$A$4:$A$203,0)),""),""))</f>
        <v/>
      </c>
      <c r="Q104" s="5" t="str">
        <f aca="false">IF(C104="","",IF(IFERROR(INDEX(05_Строки_КП!$O$4:$O$203,MATCH(C104,05_Строки_КП!$A$4:$A$203,0)),"")="READY",IFERROR(INDEX(05_Строки_КП!$M$4:$M$203,MATCH(C104,05_Строки_КП!$A$4:$A$203,0)),""),""))</f>
        <v/>
      </c>
      <c r="R104" s="7" t="str">
        <f aca="false">IF(OR(V104="SELECTED_READY",V104="COMPARABLE_READY"),O104*G104*H104+SUM(K104:N104),"")</f>
        <v/>
      </c>
      <c r="S104" s="4"/>
      <c r="T104" s="4"/>
      <c r="U104" s="6"/>
      <c r="V104" s="5" t="str">
        <f aca="false">IF(A104="","",IF(AND(COUNTIF(A$4:A$203,A104)=1,B104&lt;&gt;"",C104&lt;&gt;"",D104&lt;&gt;"",COUNTIF(05_Строки_КП!$A$4:$A$203,C104)=1,IFERROR(INDEX(05_Строки_КП!$C$4:$C$203,MATCH(C104,05_Строки_КП!$A$4:$A$203,0)),"")=D104,IFERROR(INDEX(05_Строки_КП!$O$4:$O$203,MATCH(C104,05_Строки_КП!$A$4:$A$203,0)),"")="READY",E104="COMPARABLE",F104&lt;&gt;"",COUNT(G104:H104)=2,G104&gt;0,H104&gt;0,I104&lt;&gt;"",J104&lt;&gt;"",COUNTIF(13_Источники!$A$4:$A$203,J104)=1,W104&lt;&gt;"",COUNTIF(13_Источники!$A$4:$A$203,W104)=1,COUNT(K104:N104)=4,ISNUMBER(O104),U104&lt;&gt;"",01_Основания!$B$8&lt;&gt;"",OR(01_Основания!$B$9="NET",01_Основания!$B$9="GROSS"),01_Основания!$B$10&lt;&gt;"",IF(AND(ISNUMBER(O104),ISNUMBER(G104),ISNUMBER(H104)),O104*G104*H104+SUM(K104:N104)&gt;=0,FALSE())),IF(S104="SELECTED",IF(AND(COUNTIFS(B$4:B$203,B104,S$4:S$203,"SELECTED")=1,T104&lt;&gt;""),"SELECTED_READY","SELECTION_ERROR"),"COMPARABLE_READY"),"INCOMPLETE / NOT_COMPARABLE"))</f>
        <v/>
      </c>
      <c r="W104" s="6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6"/>
      <c r="L105" s="6"/>
      <c r="M105" s="6"/>
      <c r="N105" s="6"/>
      <c r="O105" s="7" t="str">
        <f aca="false">IF(C105="","",IF(IFERROR(INDEX(05_Строки_КП!$O$4:$O$203,MATCH(C105,05_Строки_КП!$A$4:$A$203,0)),"")="READY",IFERROR(INDEX(05_Строки_КП!$H$4:$H$203,MATCH(C105,05_Строки_КП!$A$4:$A$203,0)),""),""))</f>
        <v/>
      </c>
      <c r="P105" s="5" t="str">
        <f aca="false">IF(C105="","",IF(IFERROR(INDEX(05_Строки_КП!$O$4:$O$203,MATCH(C105,05_Строки_КП!$A$4:$A$203,0)),"")="READY",IFERROR(INDEX(05_Строки_КП!$L$4:$L$203,MATCH(C105,05_Строки_КП!$A$4:$A$203,0)),""),""))</f>
        <v/>
      </c>
      <c r="Q105" s="5" t="str">
        <f aca="false">IF(C105="","",IF(IFERROR(INDEX(05_Строки_КП!$O$4:$O$203,MATCH(C105,05_Строки_КП!$A$4:$A$203,0)),"")="READY",IFERROR(INDEX(05_Строки_КП!$M$4:$M$203,MATCH(C105,05_Строки_КП!$A$4:$A$203,0)),""),""))</f>
        <v/>
      </c>
      <c r="R105" s="7" t="str">
        <f aca="false">IF(OR(V105="SELECTED_READY",V105="COMPARABLE_READY"),O105*G105*H105+SUM(K105:N105),"")</f>
        <v/>
      </c>
      <c r="S105" s="4"/>
      <c r="T105" s="4"/>
      <c r="U105" s="6"/>
      <c r="V105" s="5" t="str">
        <f aca="false">IF(A105="","",IF(AND(COUNTIF(A$4:A$203,A105)=1,B105&lt;&gt;"",C105&lt;&gt;"",D105&lt;&gt;"",COUNTIF(05_Строки_КП!$A$4:$A$203,C105)=1,IFERROR(INDEX(05_Строки_КП!$C$4:$C$203,MATCH(C105,05_Строки_КП!$A$4:$A$203,0)),"")=D105,IFERROR(INDEX(05_Строки_КП!$O$4:$O$203,MATCH(C105,05_Строки_КП!$A$4:$A$203,0)),"")="READY",E105="COMPARABLE",F105&lt;&gt;"",COUNT(G105:H105)=2,G105&gt;0,H105&gt;0,I105&lt;&gt;"",J105&lt;&gt;"",COUNTIF(13_Источники!$A$4:$A$203,J105)=1,W105&lt;&gt;"",COUNTIF(13_Источники!$A$4:$A$203,W105)=1,COUNT(K105:N105)=4,ISNUMBER(O105),U105&lt;&gt;"",01_Основания!$B$8&lt;&gt;"",OR(01_Основания!$B$9="NET",01_Основания!$B$9="GROSS"),01_Основания!$B$10&lt;&gt;"",IF(AND(ISNUMBER(O105),ISNUMBER(G105),ISNUMBER(H105)),O105*G105*H105+SUM(K105:N105)&gt;=0,FALSE())),IF(S105="SELECTED",IF(AND(COUNTIFS(B$4:B$203,B105,S$4:S$203,"SELECTED")=1,T105&lt;&gt;""),"SELECTED_READY","SELECTION_ERROR"),"COMPARABLE_READY"),"INCOMPLETE / NOT_COMPARABLE"))</f>
        <v/>
      </c>
      <c r="W105" s="6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6"/>
      <c r="L106" s="6"/>
      <c r="M106" s="6"/>
      <c r="N106" s="6"/>
      <c r="O106" s="7" t="str">
        <f aca="false">IF(C106="","",IF(IFERROR(INDEX(05_Строки_КП!$O$4:$O$203,MATCH(C106,05_Строки_КП!$A$4:$A$203,0)),"")="READY",IFERROR(INDEX(05_Строки_КП!$H$4:$H$203,MATCH(C106,05_Строки_КП!$A$4:$A$203,0)),""),""))</f>
        <v/>
      </c>
      <c r="P106" s="5" t="str">
        <f aca="false">IF(C106="","",IF(IFERROR(INDEX(05_Строки_КП!$O$4:$O$203,MATCH(C106,05_Строки_КП!$A$4:$A$203,0)),"")="READY",IFERROR(INDEX(05_Строки_КП!$L$4:$L$203,MATCH(C106,05_Строки_КП!$A$4:$A$203,0)),""),""))</f>
        <v/>
      </c>
      <c r="Q106" s="5" t="str">
        <f aca="false">IF(C106="","",IF(IFERROR(INDEX(05_Строки_КП!$O$4:$O$203,MATCH(C106,05_Строки_КП!$A$4:$A$203,0)),"")="READY",IFERROR(INDEX(05_Строки_КП!$M$4:$M$203,MATCH(C106,05_Строки_КП!$A$4:$A$203,0)),""),""))</f>
        <v/>
      </c>
      <c r="R106" s="7" t="str">
        <f aca="false">IF(OR(V106="SELECTED_READY",V106="COMPARABLE_READY"),O106*G106*H106+SUM(K106:N106),"")</f>
        <v/>
      </c>
      <c r="S106" s="4"/>
      <c r="T106" s="4"/>
      <c r="U106" s="6"/>
      <c r="V106" s="5" t="str">
        <f aca="false">IF(A106="","",IF(AND(COUNTIF(A$4:A$203,A106)=1,B106&lt;&gt;"",C106&lt;&gt;"",D106&lt;&gt;"",COUNTIF(05_Строки_КП!$A$4:$A$203,C106)=1,IFERROR(INDEX(05_Строки_КП!$C$4:$C$203,MATCH(C106,05_Строки_КП!$A$4:$A$203,0)),"")=D106,IFERROR(INDEX(05_Строки_КП!$O$4:$O$203,MATCH(C106,05_Строки_КП!$A$4:$A$203,0)),"")="READY",E106="COMPARABLE",F106&lt;&gt;"",COUNT(G106:H106)=2,G106&gt;0,H106&gt;0,I106&lt;&gt;"",J106&lt;&gt;"",COUNTIF(13_Источники!$A$4:$A$203,J106)=1,W106&lt;&gt;"",COUNTIF(13_Источники!$A$4:$A$203,W106)=1,COUNT(K106:N106)=4,ISNUMBER(O106),U106&lt;&gt;"",01_Основания!$B$8&lt;&gt;"",OR(01_Основания!$B$9="NET",01_Основания!$B$9="GROSS"),01_Основания!$B$10&lt;&gt;"",IF(AND(ISNUMBER(O106),ISNUMBER(G106),ISNUMBER(H106)),O106*G106*H106+SUM(K106:N106)&gt;=0,FALSE())),IF(S106="SELECTED",IF(AND(COUNTIFS(B$4:B$203,B106,S$4:S$203,"SELECTED")=1,T106&lt;&gt;""),"SELECTED_READY","SELECTION_ERROR"),"COMPARABLE_READY"),"INCOMPLETE / NOT_COMPARABLE"))</f>
        <v/>
      </c>
      <c r="W106" s="6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6"/>
      <c r="L107" s="6"/>
      <c r="M107" s="6"/>
      <c r="N107" s="6"/>
      <c r="O107" s="7" t="str">
        <f aca="false">IF(C107="","",IF(IFERROR(INDEX(05_Строки_КП!$O$4:$O$203,MATCH(C107,05_Строки_КП!$A$4:$A$203,0)),"")="READY",IFERROR(INDEX(05_Строки_КП!$H$4:$H$203,MATCH(C107,05_Строки_КП!$A$4:$A$203,0)),""),""))</f>
        <v/>
      </c>
      <c r="P107" s="5" t="str">
        <f aca="false">IF(C107="","",IF(IFERROR(INDEX(05_Строки_КП!$O$4:$O$203,MATCH(C107,05_Строки_КП!$A$4:$A$203,0)),"")="READY",IFERROR(INDEX(05_Строки_КП!$L$4:$L$203,MATCH(C107,05_Строки_КП!$A$4:$A$203,0)),""),""))</f>
        <v/>
      </c>
      <c r="Q107" s="5" t="str">
        <f aca="false">IF(C107="","",IF(IFERROR(INDEX(05_Строки_КП!$O$4:$O$203,MATCH(C107,05_Строки_КП!$A$4:$A$203,0)),"")="READY",IFERROR(INDEX(05_Строки_КП!$M$4:$M$203,MATCH(C107,05_Строки_КП!$A$4:$A$203,0)),""),""))</f>
        <v/>
      </c>
      <c r="R107" s="7" t="str">
        <f aca="false">IF(OR(V107="SELECTED_READY",V107="COMPARABLE_READY"),O107*G107*H107+SUM(K107:N107),"")</f>
        <v/>
      </c>
      <c r="S107" s="4"/>
      <c r="T107" s="4"/>
      <c r="U107" s="6"/>
      <c r="V107" s="5" t="str">
        <f aca="false">IF(A107="","",IF(AND(COUNTIF(A$4:A$203,A107)=1,B107&lt;&gt;"",C107&lt;&gt;"",D107&lt;&gt;"",COUNTIF(05_Строки_КП!$A$4:$A$203,C107)=1,IFERROR(INDEX(05_Строки_КП!$C$4:$C$203,MATCH(C107,05_Строки_КП!$A$4:$A$203,0)),"")=D107,IFERROR(INDEX(05_Строки_КП!$O$4:$O$203,MATCH(C107,05_Строки_КП!$A$4:$A$203,0)),"")="READY",E107="COMPARABLE",F107&lt;&gt;"",COUNT(G107:H107)=2,G107&gt;0,H107&gt;0,I107&lt;&gt;"",J107&lt;&gt;"",COUNTIF(13_Источники!$A$4:$A$203,J107)=1,W107&lt;&gt;"",COUNTIF(13_Источники!$A$4:$A$203,W107)=1,COUNT(K107:N107)=4,ISNUMBER(O107),U107&lt;&gt;"",01_Основания!$B$8&lt;&gt;"",OR(01_Основания!$B$9="NET",01_Основания!$B$9="GROSS"),01_Основания!$B$10&lt;&gt;"",IF(AND(ISNUMBER(O107),ISNUMBER(G107),ISNUMBER(H107)),O107*G107*H107+SUM(K107:N107)&gt;=0,FALSE())),IF(S107="SELECTED",IF(AND(COUNTIFS(B$4:B$203,B107,S$4:S$203,"SELECTED")=1,T107&lt;&gt;""),"SELECTED_READY","SELECTION_ERROR"),"COMPARABLE_READY"),"INCOMPLETE / NOT_COMPARABLE"))</f>
        <v/>
      </c>
      <c r="W107" s="6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6"/>
      <c r="L108" s="6"/>
      <c r="M108" s="6"/>
      <c r="N108" s="6"/>
      <c r="O108" s="7" t="str">
        <f aca="false">IF(C108="","",IF(IFERROR(INDEX(05_Строки_КП!$O$4:$O$203,MATCH(C108,05_Строки_КП!$A$4:$A$203,0)),"")="READY",IFERROR(INDEX(05_Строки_КП!$H$4:$H$203,MATCH(C108,05_Строки_КП!$A$4:$A$203,0)),""),""))</f>
        <v/>
      </c>
      <c r="P108" s="5" t="str">
        <f aca="false">IF(C108="","",IF(IFERROR(INDEX(05_Строки_КП!$O$4:$O$203,MATCH(C108,05_Строки_КП!$A$4:$A$203,0)),"")="READY",IFERROR(INDEX(05_Строки_КП!$L$4:$L$203,MATCH(C108,05_Строки_КП!$A$4:$A$203,0)),""),""))</f>
        <v/>
      </c>
      <c r="Q108" s="5" t="str">
        <f aca="false">IF(C108="","",IF(IFERROR(INDEX(05_Строки_КП!$O$4:$O$203,MATCH(C108,05_Строки_КП!$A$4:$A$203,0)),"")="READY",IFERROR(INDEX(05_Строки_КП!$M$4:$M$203,MATCH(C108,05_Строки_КП!$A$4:$A$203,0)),""),""))</f>
        <v/>
      </c>
      <c r="R108" s="7" t="str">
        <f aca="false">IF(OR(V108="SELECTED_READY",V108="COMPARABLE_READY"),O108*G108*H108+SUM(K108:N108),"")</f>
        <v/>
      </c>
      <c r="S108" s="4"/>
      <c r="T108" s="4"/>
      <c r="U108" s="6"/>
      <c r="V108" s="5" t="str">
        <f aca="false">IF(A108="","",IF(AND(COUNTIF(A$4:A$203,A108)=1,B108&lt;&gt;"",C108&lt;&gt;"",D108&lt;&gt;"",COUNTIF(05_Строки_КП!$A$4:$A$203,C108)=1,IFERROR(INDEX(05_Строки_КП!$C$4:$C$203,MATCH(C108,05_Строки_КП!$A$4:$A$203,0)),"")=D108,IFERROR(INDEX(05_Строки_КП!$O$4:$O$203,MATCH(C108,05_Строки_КП!$A$4:$A$203,0)),"")="READY",E108="COMPARABLE",F108&lt;&gt;"",COUNT(G108:H108)=2,G108&gt;0,H108&gt;0,I108&lt;&gt;"",J108&lt;&gt;"",COUNTIF(13_Источники!$A$4:$A$203,J108)=1,W108&lt;&gt;"",COUNTIF(13_Источники!$A$4:$A$203,W108)=1,COUNT(K108:N108)=4,ISNUMBER(O108),U108&lt;&gt;"",01_Основания!$B$8&lt;&gt;"",OR(01_Основания!$B$9="NET",01_Основания!$B$9="GROSS"),01_Основания!$B$10&lt;&gt;"",IF(AND(ISNUMBER(O108),ISNUMBER(G108),ISNUMBER(H108)),O108*G108*H108+SUM(K108:N108)&gt;=0,FALSE())),IF(S108="SELECTED",IF(AND(COUNTIFS(B$4:B$203,B108,S$4:S$203,"SELECTED")=1,T108&lt;&gt;""),"SELECTED_READY","SELECTION_ERROR"),"COMPARABLE_READY"),"INCOMPLETE / NOT_COMPARABLE"))</f>
        <v/>
      </c>
      <c r="W108" s="6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6"/>
      <c r="L109" s="6"/>
      <c r="M109" s="6"/>
      <c r="N109" s="6"/>
      <c r="O109" s="7" t="str">
        <f aca="false">IF(C109="","",IF(IFERROR(INDEX(05_Строки_КП!$O$4:$O$203,MATCH(C109,05_Строки_КП!$A$4:$A$203,0)),"")="READY",IFERROR(INDEX(05_Строки_КП!$H$4:$H$203,MATCH(C109,05_Строки_КП!$A$4:$A$203,0)),""),""))</f>
        <v/>
      </c>
      <c r="P109" s="5" t="str">
        <f aca="false">IF(C109="","",IF(IFERROR(INDEX(05_Строки_КП!$O$4:$O$203,MATCH(C109,05_Строки_КП!$A$4:$A$203,0)),"")="READY",IFERROR(INDEX(05_Строки_КП!$L$4:$L$203,MATCH(C109,05_Строки_КП!$A$4:$A$203,0)),""),""))</f>
        <v/>
      </c>
      <c r="Q109" s="5" t="str">
        <f aca="false">IF(C109="","",IF(IFERROR(INDEX(05_Строки_КП!$O$4:$O$203,MATCH(C109,05_Строки_КП!$A$4:$A$203,0)),"")="READY",IFERROR(INDEX(05_Строки_КП!$M$4:$M$203,MATCH(C109,05_Строки_КП!$A$4:$A$203,0)),""),""))</f>
        <v/>
      </c>
      <c r="R109" s="7" t="str">
        <f aca="false">IF(OR(V109="SELECTED_READY",V109="COMPARABLE_READY"),O109*G109*H109+SUM(K109:N109),"")</f>
        <v/>
      </c>
      <c r="S109" s="4"/>
      <c r="T109" s="4"/>
      <c r="U109" s="6"/>
      <c r="V109" s="5" t="str">
        <f aca="false">IF(A109="","",IF(AND(COUNTIF(A$4:A$203,A109)=1,B109&lt;&gt;"",C109&lt;&gt;"",D109&lt;&gt;"",COUNTIF(05_Строки_КП!$A$4:$A$203,C109)=1,IFERROR(INDEX(05_Строки_КП!$C$4:$C$203,MATCH(C109,05_Строки_КП!$A$4:$A$203,0)),"")=D109,IFERROR(INDEX(05_Строки_КП!$O$4:$O$203,MATCH(C109,05_Строки_КП!$A$4:$A$203,0)),"")="READY",E109="COMPARABLE",F109&lt;&gt;"",COUNT(G109:H109)=2,G109&gt;0,H109&gt;0,I109&lt;&gt;"",J109&lt;&gt;"",COUNTIF(13_Источники!$A$4:$A$203,J109)=1,W109&lt;&gt;"",COUNTIF(13_Источники!$A$4:$A$203,W109)=1,COUNT(K109:N109)=4,ISNUMBER(O109),U109&lt;&gt;"",01_Основания!$B$8&lt;&gt;"",OR(01_Основания!$B$9="NET",01_Основания!$B$9="GROSS"),01_Основания!$B$10&lt;&gt;"",IF(AND(ISNUMBER(O109),ISNUMBER(G109),ISNUMBER(H109)),O109*G109*H109+SUM(K109:N109)&gt;=0,FALSE())),IF(S109="SELECTED",IF(AND(COUNTIFS(B$4:B$203,B109,S$4:S$203,"SELECTED")=1,T109&lt;&gt;""),"SELECTED_READY","SELECTION_ERROR"),"COMPARABLE_READY"),"INCOMPLETE / NOT_COMPARABLE"))</f>
        <v/>
      </c>
      <c r="W109" s="6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6"/>
      <c r="L110" s="6"/>
      <c r="M110" s="6"/>
      <c r="N110" s="6"/>
      <c r="O110" s="7" t="str">
        <f aca="false">IF(C110="","",IF(IFERROR(INDEX(05_Строки_КП!$O$4:$O$203,MATCH(C110,05_Строки_КП!$A$4:$A$203,0)),"")="READY",IFERROR(INDEX(05_Строки_КП!$H$4:$H$203,MATCH(C110,05_Строки_КП!$A$4:$A$203,0)),""),""))</f>
        <v/>
      </c>
      <c r="P110" s="5" t="str">
        <f aca="false">IF(C110="","",IF(IFERROR(INDEX(05_Строки_КП!$O$4:$O$203,MATCH(C110,05_Строки_КП!$A$4:$A$203,0)),"")="READY",IFERROR(INDEX(05_Строки_КП!$L$4:$L$203,MATCH(C110,05_Строки_КП!$A$4:$A$203,0)),""),""))</f>
        <v/>
      </c>
      <c r="Q110" s="5" t="str">
        <f aca="false">IF(C110="","",IF(IFERROR(INDEX(05_Строки_КП!$O$4:$O$203,MATCH(C110,05_Строки_КП!$A$4:$A$203,0)),"")="READY",IFERROR(INDEX(05_Строки_КП!$M$4:$M$203,MATCH(C110,05_Строки_КП!$A$4:$A$203,0)),""),""))</f>
        <v/>
      </c>
      <c r="R110" s="7" t="str">
        <f aca="false">IF(OR(V110="SELECTED_READY",V110="COMPARABLE_READY"),O110*G110*H110+SUM(K110:N110),"")</f>
        <v/>
      </c>
      <c r="S110" s="4"/>
      <c r="T110" s="4"/>
      <c r="U110" s="6"/>
      <c r="V110" s="5" t="str">
        <f aca="false">IF(A110="","",IF(AND(COUNTIF(A$4:A$203,A110)=1,B110&lt;&gt;"",C110&lt;&gt;"",D110&lt;&gt;"",COUNTIF(05_Строки_КП!$A$4:$A$203,C110)=1,IFERROR(INDEX(05_Строки_КП!$C$4:$C$203,MATCH(C110,05_Строки_КП!$A$4:$A$203,0)),"")=D110,IFERROR(INDEX(05_Строки_КП!$O$4:$O$203,MATCH(C110,05_Строки_КП!$A$4:$A$203,0)),"")="READY",E110="COMPARABLE",F110&lt;&gt;"",COUNT(G110:H110)=2,G110&gt;0,H110&gt;0,I110&lt;&gt;"",J110&lt;&gt;"",COUNTIF(13_Источники!$A$4:$A$203,J110)=1,W110&lt;&gt;"",COUNTIF(13_Источники!$A$4:$A$203,W110)=1,COUNT(K110:N110)=4,ISNUMBER(O110),U110&lt;&gt;"",01_Основания!$B$8&lt;&gt;"",OR(01_Основания!$B$9="NET",01_Основания!$B$9="GROSS"),01_Основания!$B$10&lt;&gt;"",IF(AND(ISNUMBER(O110),ISNUMBER(G110),ISNUMBER(H110)),O110*G110*H110+SUM(K110:N110)&gt;=0,FALSE())),IF(S110="SELECTED",IF(AND(COUNTIFS(B$4:B$203,B110,S$4:S$203,"SELECTED")=1,T110&lt;&gt;""),"SELECTED_READY","SELECTION_ERROR"),"COMPARABLE_READY"),"INCOMPLETE / NOT_COMPARABLE"))</f>
        <v/>
      </c>
      <c r="W110" s="6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6"/>
      <c r="L111" s="6"/>
      <c r="M111" s="6"/>
      <c r="N111" s="6"/>
      <c r="O111" s="7" t="str">
        <f aca="false">IF(C111="","",IF(IFERROR(INDEX(05_Строки_КП!$O$4:$O$203,MATCH(C111,05_Строки_КП!$A$4:$A$203,0)),"")="READY",IFERROR(INDEX(05_Строки_КП!$H$4:$H$203,MATCH(C111,05_Строки_КП!$A$4:$A$203,0)),""),""))</f>
        <v/>
      </c>
      <c r="P111" s="5" t="str">
        <f aca="false">IF(C111="","",IF(IFERROR(INDEX(05_Строки_КП!$O$4:$O$203,MATCH(C111,05_Строки_КП!$A$4:$A$203,0)),"")="READY",IFERROR(INDEX(05_Строки_КП!$L$4:$L$203,MATCH(C111,05_Строки_КП!$A$4:$A$203,0)),""),""))</f>
        <v/>
      </c>
      <c r="Q111" s="5" t="str">
        <f aca="false">IF(C111="","",IF(IFERROR(INDEX(05_Строки_КП!$O$4:$O$203,MATCH(C111,05_Строки_КП!$A$4:$A$203,0)),"")="READY",IFERROR(INDEX(05_Строки_КП!$M$4:$M$203,MATCH(C111,05_Строки_КП!$A$4:$A$203,0)),""),""))</f>
        <v/>
      </c>
      <c r="R111" s="7" t="str">
        <f aca="false">IF(OR(V111="SELECTED_READY",V111="COMPARABLE_READY"),O111*G111*H111+SUM(K111:N111),"")</f>
        <v/>
      </c>
      <c r="S111" s="4"/>
      <c r="T111" s="4"/>
      <c r="U111" s="6"/>
      <c r="V111" s="5" t="str">
        <f aca="false">IF(A111="","",IF(AND(COUNTIF(A$4:A$203,A111)=1,B111&lt;&gt;"",C111&lt;&gt;"",D111&lt;&gt;"",COUNTIF(05_Строки_КП!$A$4:$A$203,C111)=1,IFERROR(INDEX(05_Строки_КП!$C$4:$C$203,MATCH(C111,05_Строки_КП!$A$4:$A$203,0)),"")=D111,IFERROR(INDEX(05_Строки_КП!$O$4:$O$203,MATCH(C111,05_Строки_КП!$A$4:$A$203,0)),"")="READY",E111="COMPARABLE",F111&lt;&gt;"",COUNT(G111:H111)=2,G111&gt;0,H111&gt;0,I111&lt;&gt;"",J111&lt;&gt;"",COUNTIF(13_Источники!$A$4:$A$203,J111)=1,W111&lt;&gt;"",COUNTIF(13_Источники!$A$4:$A$203,W111)=1,COUNT(K111:N111)=4,ISNUMBER(O111),U111&lt;&gt;"",01_Основания!$B$8&lt;&gt;"",OR(01_Основания!$B$9="NET",01_Основания!$B$9="GROSS"),01_Основания!$B$10&lt;&gt;"",IF(AND(ISNUMBER(O111),ISNUMBER(G111),ISNUMBER(H111)),O111*G111*H111+SUM(K111:N111)&gt;=0,FALSE())),IF(S111="SELECTED",IF(AND(COUNTIFS(B$4:B$203,B111,S$4:S$203,"SELECTED")=1,T111&lt;&gt;""),"SELECTED_READY","SELECTION_ERROR"),"COMPARABLE_READY"),"INCOMPLETE / NOT_COMPARABLE"))</f>
        <v/>
      </c>
      <c r="W111" s="6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6"/>
      <c r="L112" s="6"/>
      <c r="M112" s="6"/>
      <c r="N112" s="6"/>
      <c r="O112" s="7" t="str">
        <f aca="false">IF(C112="","",IF(IFERROR(INDEX(05_Строки_КП!$O$4:$O$203,MATCH(C112,05_Строки_КП!$A$4:$A$203,0)),"")="READY",IFERROR(INDEX(05_Строки_КП!$H$4:$H$203,MATCH(C112,05_Строки_КП!$A$4:$A$203,0)),""),""))</f>
        <v/>
      </c>
      <c r="P112" s="5" t="str">
        <f aca="false">IF(C112="","",IF(IFERROR(INDEX(05_Строки_КП!$O$4:$O$203,MATCH(C112,05_Строки_КП!$A$4:$A$203,0)),"")="READY",IFERROR(INDEX(05_Строки_КП!$L$4:$L$203,MATCH(C112,05_Строки_КП!$A$4:$A$203,0)),""),""))</f>
        <v/>
      </c>
      <c r="Q112" s="5" t="str">
        <f aca="false">IF(C112="","",IF(IFERROR(INDEX(05_Строки_КП!$O$4:$O$203,MATCH(C112,05_Строки_КП!$A$4:$A$203,0)),"")="READY",IFERROR(INDEX(05_Строки_КП!$M$4:$M$203,MATCH(C112,05_Строки_КП!$A$4:$A$203,0)),""),""))</f>
        <v/>
      </c>
      <c r="R112" s="7" t="str">
        <f aca="false">IF(OR(V112="SELECTED_READY",V112="COMPARABLE_READY"),O112*G112*H112+SUM(K112:N112),"")</f>
        <v/>
      </c>
      <c r="S112" s="4"/>
      <c r="T112" s="4"/>
      <c r="U112" s="6"/>
      <c r="V112" s="5" t="str">
        <f aca="false">IF(A112="","",IF(AND(COUNTIF(A$4:A$203,A112)=1,B112&lt;&gt;"",C112&lt;&gt;"",D112&lt;&gt;"",COUNTIF(05_Строки_КП!$A$4:$A$203,C112)=1,IFERROR(INDEX(05_Строки_КП!$C$4:$C$203,MATCH(C112,05_Строки_КП!$A$4:$A$203,0)),"")=D112,IFERROR(INDEX(05_Строки_КП!$O$4:$O$203,MATCH(C112,05_Строки_КП!$A$4:$A$203,0)),"")="READY",E112="COMPARABLE",F112&lt;&gt;"",COUNT(G112:H112)=2,G112&gt;0,H112&gt;0,I112&lt;&gt;"",J112&lt;&gt;"",COUNTIF(13_Источники!$A$4:$A$203,J112)=1,W112&lt;&gt;"",COUNTIF(13_Источники!$A$4:$A$203,W112)=1,COUNT(K112:N112)=4,ISNUMBER(O112),U112&lt;&gt;"",01_Основания!$B$8&lt;&gt;"",OR(01_Основания!$B$9="NET",01_Основания!$B$9="GROSS"),01_Основания!$B$10&lt;&gt;"",IF(AND(ISNUMBER(O112),ISNUMBER(G112),ISNUMBER(H112)),O112*G112*H112+SUM(K112:N112)&gt;=0,FALSE())),IF(S112="SELECTED",IF(AND(COUNTIFS(B$4:B$203,B112,S$4:S$203,"SELECTED")=1,T112&lt;&gt;""),"SELECTED_READY","SELECTION_ERROR"),"COMPARABLE_READY"),"INCOMPLETE / NOT_COMPARABLE"))</f>
        <v/>
      </c>
      <c r="W112" s="6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6"/>
      <c r="L113" s="6"/>
      <c r="M113" s="6"/>
      <c r="N113" s="6"/>
      <c r="O113" s="7" t="str">
        <f aca="false">IF(C113="","",IF(IFERROR(INDEX(05_Строки_КП!$O$4:$O$203,MATCH(C113,05_Строки_КП!$A$4:$A$203,0)),"")="READY",IFERROR(INDEX(05_Строки_КП!$H$4:$H$203,MATCH(C113,05_Строки_КП!$A$4:$A$203,0)),""),""))</f>
        <v/>
      </c>
      <c r="P113" s="5" t="str">
        <f aca="false">IF(C113="","",IF(IFERROR(INDEX(05_Строки_КП!$O$4:$O$203,MATCH(C113,05_Строки_КП!$A$4:$A$203,0)),"")="READY",IFERROR(INDEX(05_Строки_КП!$L$4:$L$203,MATCH(C113,05_Строки_КП!$A$4:$A$203,0)),""),""))</f>
        <v/>
      </c>
      <c r="Q113" s="5" t="str">
        <f aca="false">IF(C113="","",IF(IFERROR(INDEX(05_Строки_КП!$O$4:$O$203,MATCH(C113,05_Строки_КП!$A$4:$A$203,0)),"")="READY",IFERROR(INDEX(05_Строки_КП!$M$4:$M$203,MATCH(C113,05_Строки_КП!$A$4:$A$203,0)),""),""))</f>
        <v/>
      </c>
      <c r="R113" s="7" t="str">
        <f aca="false">IF(OR(V113="SELECTED_READY",V113="COMPARABLE_READY"),O113*G113*H113+SUM(K113:N113),"")</f>
        <v/>
      </c>
      <c r="S113" s="4"/>
      <c r="T113" s="4"/>
      <c r="U113" s="6"/>
      <c r="V113" s="5" t="str">
        <f aca="false">IF(A113="","",IF(AND(COUNTIF(A$4:A$203,A113)=1,B113&lt;&gt;"",C113&lt;&gt;"",D113&lt;&gt;"",COUNTIF(05_Строки_КП!$A$4:$A$203,C113)=1,IFERROR(INDEX(05_Строки_КП!$C$4:$C$203,MATCH(C113,05_Строки_КП!$A$4:$A$203,0)),"")=D113,IFERROR(INDEX(05_Строки_КП!$O$4:$O$203,MATCH(C113,05_Строки_КП!$A$4:$A$203,0)),"")="READY",E113="COMPARABLE",F113&lt;&gt;"",COUNT(G113:H113)=2,G113&gt;0,H113&gt;0,I113&lt;&gt;"",J113&lt;&gt;"",COUNTIF(13_Источники!$A$4:$A$203,J113)=1,W113&lt;&gt;"",COUNTIF(13_Источники!$A$4:$A$203,W113)=1,COUNT(K113:N113)=4,ISNUMBER(O113),U113&lt;&gt;"",01_Основания!$B$8&lt;&gt;"",OR(01_Основания!$B$9="NET",01_Основания!$B$9="GROSS"),01_Основания!$B$10&lt;&gt;"",IF(AND(ISNUMBER(O113),ISNUMBER(G113),ISNUMBER(H113)),O113*G113*H113+SUM(K113:N113)&gt;=0,FALSE())),IF(S113="SELECTED",IF(AND(COUNTIFS(B$4:B$203,B113,S$4:S$203,"SELECTED")=1,T113&lt;&gt;""),"SELECTED_READY","SELECTION_ERROR"),"COMPARABLE_READY"),"INCOMPLETE / NOT_COMPARABLE"))</f>
        <v/>
      </c>
      <c r="W113" s="6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6"/>
      <c r="L114" s="6"/>
      <c r="M114" s="6"/>
      <c r="N114" s="6"/>
      <c r="O114" s="7" t="str">
        <f aca="false">IF(C114="","",IF(IFERROR(INDEX(05_Строки_КП!$O$4:$O$203,MATCH(C114,05_Строки_КП!$A$4:$A$203,0)),"")="READY",IFERROR(INDEX(05_Строки_КП!$H$4:$H$203,MATCH(C114,05_Строки_КП!$A$4:$A$203,0)),""),""))</f>
        <v/>
      </c>
      <c r="P114" s="5" t="str">
        <f aca="false">IF(C114="","",IF(IFERROR(INDEX(05_Строки_КП!$O$4:$O$203,MATCH(C114,05_Строки_КП!$A$4:$A$203,0)),"")="READY",IFERROR(INDEX(05_Строки_КП!$L$4:$L$203,MATCH(C114,05_Строки_КП!$A$4:$A$203,0)),""),""))</f>
        <v/>
      </c>
      <c r="Q114" s="5" t="str">
        <f aca="false">IF(C114="","",IF(IFERROR(INDEX(05_Строки_КП!$O$4:$O$203,MATCH(C114,05_Строки_КП!$A$4:$A$203,0)),"")="READY",IFERROR(INDEX(05_Строки_КП!$M$4:$M$203,MATCH(C114,05_Строки_КП!$A$4:$A$203,0)),""),""))</f>
        <v/>
      </c>
      <c r="R114" s="7" t="str">
        <f aca="false">IF(OR(V114="SELECTED_READY",V114="COMPARABLE_READY"),O114*G114*H114+SUM(K114:N114),"")</f>
        <v/>
      </c>
      <c r="S114" s="4"/>
      <c r="T114" s="4"/>
      <c r="U114" s="6"/>
      <c r="V114" s="5" t="str">
        <f aca="false">IF(A114="","",IF(AND(COUNTIF(A$4:A$203,A114)=1,B114&lt;&gt;"",C114&lt;&gt;"",D114&lt;&gt;"",COUNTIF(05_Строки_КП!$A$4:$A$203,C114)=1,IFERROR(INDEX(05_Строки_КП!$C$4:$C$203,MATCH(C114,05_Строки_КП!$A$4:$A$203,0)),"")=D114,IFERROR(INDEX(05_Строки_КП!$O$4:$O$203,MATCH(C114,05_Строки_КП!$A$4:$A$203,0)),"")="READY",E114="COMPARABLE",F114&lt;&gt;"",COUNT(G114:H114)=2,G114&gt;0,H114&gt;0,I114&lt;&gt;"",J114&lt;&gt;"",COUNTIF(13_Источники!$A$4:$A$203,J114)=1,W114&lt;&gt;"",COUNTIF(13_Источники!$A$4:$A$203,W114)=1,COUNT(K114:N114)=4,ISNUMBER(O114),U114&lt;&gt;"",01_Основания!$B$8&lt;&gt;"",OR(01_Основания!$B$9="NET",01_Основания!$B$9="GROSS"),01_Основания!$B$10&lt;&gt;"",IF(AND(ISNUMBER(O114),ISNUMBER(G114),ISNUMBER(H114)),O114*G114*H114+SUM(K114:N114)&gt;=0,FALSE())),IF(S114="SELECTED",IF(AND(COUNTIFS(B$4:B$203,B114,S$4:S$203,"SELECTED")=1,T114&lt;&gt;""),"SELECTED_READY","SELECTION_ERROR"),"COMPARABLE_READY"),"INCOMPLETE / NOT_COMPARABLE"))</f>
        <v/>
      </c>
      <c r="W114" s="6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6"/>
      <c r="L115" s="6"/>
      <c r="M115" s="6"/>
      <c r="N115" s="6"/>
      <c r="O115" s="7" t="str">
        <f aca="false">IF(C115="","",IF(IFERROR(INDEX(05_Строки_КП!$O$4:$O$203,MATCH(C115,05_Строки_КП!$A$4:$A$203,0)),"")="READY",IFERROR(INDEX(05_Строки_КП!$H$4:$H$203,MATCH(C115,05_Строки_КП!$A$4:$A$203,0)),""),""))</f>
        <v/>
      </c>
      <c r="P115" s="5" t="str">
        <f aca="false">IF(C115="","",IF(IFERROR(INDEX(05_Строки_КП!$O$4:$O$203,MATCH(C115,05_Строки_КП!$A$4:$A$203,0)),"")="READY",IFERROR(INDEX(05_Строки_КП!$L$4:$L$203,MATCH(C115,05_Строки_КП!$A$4:$A$203,0)),""),""))</f>
        <v/>
      </c>
      <c r="Q115" s="5" t="str">
        <f aca="false">IF(C115="","",IF(IFERROR(INDEX(05_Строки_КП!$O$4:$O$203,MATCH(C115,05_Строки_КП!$A$4:$A$203,0)),"")="READY",IFERROR(INDEX(05_Строки_КП!$M$4:$M$203,MATCH(C115,05_Строки_КП!$A$4:$A$203,0)),""),""))</f>
        <v/>
      </c>
      <c r="R115" s="7" t="str">
        <f aca="false">IF(OR(V115="SELECTED_READY",V115="COMPARABLE_READY"),O115*G115*H115+SUM(K115:N115),"")</f>
        <v/>
      </c>
      <c r="S115" s="4"/>
      <c r="T115" s="4"/>
      <c r="U115" s="6"/>
      <c r="V115" s="5" t="str">
        <f aca="false">IF(A115="","",IF(AND(COUNTIF(A$4:A$203,A115)=1,B115&lt;&gt;"",C115&lt;&gt;"",D115&lt;&gt;"",COUNTIF(05_Строки_КП!$A$4:$A$203,C115)=1,IFERROR(INDEX(05_Строки_КП!$C$4:$C$203,MATCH(C115,05_Строки_КП!$A$4:$A$203,0)),"")=D115,IFERROR(INDEX(05_Строки_КП!$O$4:$O$203,MATCH(C115,05_Строки_КП!$A$4:$A$203,0)),"")="READY",E115="COMPARABLE",F115&lt;&gt;"",COUNT(G115:H115)=2,G115&gt;0,H115&gt;0,I115&lt;&gt;"",J115&lt;&gt;"",COUNTIF(13_Источники!$A$4:$A$203,J115)=1,W115&lt;&gt;"",COUNTIF(13_Источники!$A$4:$A$203,W115)=1,COUNT(K115:N115)=4,ISNUMBER(O115),U115&lt;&gt;"",01_Основания!$B$8&lt;&gt;"",OR(01_Основания!$B$9="NET",01_Основания!$B$9="GROSS"),01_Основания!$B$10&lt;&gt;"",IF(AND(ISNUMBER(O115),ISNUMBER(G115),ISNUMBER(H115)),O115*G115*H115+SUM(K115:N115)&gt;=0,FALSE())),IF(S115="SELECTED",IF(AND(COUNTIFS(B$4:B$203,B115,S$4:S$203,"SELECTED")=1,T115&lt;&gt;""),"SELECTED_READY","SELECTION_ERROR"),"COMPARABLE_READY"),"INCOMPLETE / NOT_COMPARABLE"))</f>
        <v/>
      </c>
      <c r="W115" s="6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6"/>
      <c r="L116" s="6"/>
      <c r="M116" s="6"/>
      <c r="N116" s="6"/>
      <c r="O116" s="7" t="str">
        <f aca="false">IF(C116="","",IF(IFERROR(INDEX(05_Строки_КП!$O$4:$O$203,MATCH(C116,05_Строки_КП!$A$4:$A$203,0)),"")="READY",IFERROR(INDEX(05_Строки_КП!$H$4:$H$203,MATCH(C116,05_Строки_КП!$A$4:$A$203,0)),""),""))</f>
        <v/>
      </c>
      <c r="P116" s="5" t="str">
        <f aca="false">IF(C116="","",IF(IFERROR(INDEX(05_Строки_КП!$O$4:$O$203,MATCH(C116,05_Строки_КП!$A$4:$A$203,0)),"")="READY",IFERROR(INDEX(05_Строки_КП!$L$4:$L$203,MATCH(C116,05_Строки_КП!$A$4:$A$203,0)),""),""))</f>
        <v/>
      </c>
      <c r="Q116" s="5" t="str">
        <f aca="false">IF(C116="","",IF(IFERROR(INDEX(05_Строки_КП!$O$4:$O$203,MATCH(C116,05_Строки_КП!$A$4:$A$203,0)),"")="READY",IFERROR(INDEX(05_Строки_КП!$M$4:$M$203,MATCH(C116,05_Строки_КП!$A$4:$A$203,0)),""),""))</f>
        <v/>
      </c>
      <c r="R116" s="7" t="str">
        <f aca="false">IF(OR(V116="SELECTED_READY",V116="COMPARABLE_READY"),O116*G116*H116+SUM(K116:N116),"")</f>
        <v/>
      </c>
      <c r="S116" s="4"/>
      <c r="T116" s="4"/>
      <c r="U116" s="6"/>
      <c r="V116" s="5" t="str">
        <f aca="false">IF(A116="","",IF(AND(COUNTIF(A$4:A$203,A116)=1,B116&lt;&gt;"",C116&lt;&gt;"",D116&lt;&gt;"",COUNTIF(05_Строки_КП!$A$4:$A$203,C116)=1,IFERROR(INDEX(05_Строки_КП!$C$4:$C$203,MATCH(C116,05_Строки_КП!$A$4:$A$203,0)),"")=D116,IFERROR(INDEX(05_Строки_КП!$O$4:$O$203,MATCH(C116,05_Строки_КП!$A$4:$A$203,0)),"")="READY",E116="COMPARABLE",F116&lt;&gt;"",COUNT(G116:H116)=2,G116&gt;0,H116&gt;0,I116&lt;&gt;"",J116&lt;&gt;"",COUNTIF(13_Источники!$A$4:$A$203,J116)=1,W116&lt;&gt;"",COUNTIF(13_Источники!$A$4:$A$203,W116)=1,COUNT(K116:N116)=4,ISNUMBER(O116),U116&lt;&gt;"",01_Основания!$B$8&lt;&gt;"",OR(01_Основания!$B$9="NET",01_Основания!$B$9="GROSS"),01_Основания!$B$10&lt;&gt;"",IF(AND(ISNUMBER(O116),ISNUMBER(G116),ISNUMBER(H116)),O116*G116*H116+SUM(K116:N116)&gt;=0,FALSE())),IF(S116="SELECTED",IF(AND(COUNTIFS(B$4:B$203,B116,S$4:S$203,"SELECTED")=1,T116&lt;&gt;""),"SELECTED_READY","SELECTION_ERROR"),"COMPARABLE_READY"),"INCOMPLETE / NOT_COMPARABLE"))</f>
        <v/>
      </c>
      <c r="W116" s="6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6"/>
      <c r="L117" s="6"/>
      <c r="M117" s="6"/>
      <c r="N117" s="6"/>
      <c r="O117" s="7" t="str">
        <f aca="false">IF(C117="","",IF(IFERROR(INDEX(05_Строки_КП!$O$4:$O$203,MATCH(C117,05_Строки_КП!$A$4:$A$203,0)),"")="READY",IFERROR(INDEX(05_Строки_КП!$H$4:$H$203,MATCH(C117,05_Строки_КП!$A$4:$A$203,0)),""),""))</f>
        <v/>
      </c>
      <c r="P117" s="5" t="str">
        <f aca="false">IF(C117="","",IF(IFERROR(INDEX(05_Строки_КП!$O$4:$O$203,MATCH(C117,05_Строки_КП!$A$4:$A$203,0)),"")="READY",IFERROR(INDEX(05_Строки_КП!$L$4:$L$203,MATCH(C117,05_Строки_КП!$A$4:$A$203,0)),""),""))</f>
        <v/>
      </c>
      <c r="Q117" s="5" t="str">
        <f aca="false">IF(C117="","",IF(IFERROR(INDEX(05_Строки_КП!$O$4:$O$203,MATCH(C117,05_Строки_КП!$A$4:$A$203,0)),"")="READY",IFERROR(INDEX(05_Строки_КП!$M$4:$M$203,MATCH(C117,05_Строки_КП!$A$4:$A$203,0)),""),""))</f>
        <v/>
      </c>
      <c r="R117" s="7" t="str">
        <f aca="false">IF(OR(V117="SELECTED_READY",V117="COMPARABLE_READY"),O117*G117*H117+SUM(K117:N117),"")</f>
        <v/>
      </c>
      <c r="S117" s="4"/>
      <c r="T117" s="4"/>
      <c r="U117" s="6"/>
      <c r="V117" s="5" t="str">
        <f aca="false">IF(A117="","",IF(AND(COUNTIF(A$4:A$203,A117)=1,B117&lt;&gt;"",C117&lt;&gt;"",D117&lt;&gt;"",COUNTIF(05_Строки_КП!$A$4:$A$203,C117)=1,IFERROR(INDEX(05_Строки_КП!$C$4:$C$203,MATCH(C117,05_Строки_КП!$A$4:$A$203,0)),"")=D117,IFERROR(INDEX(05_Строки_КП!$O$4:$O$203,MATCH(C117,05_Строки_КП!$A$4:$A$203,0)),"")="READY",E117="COMPARABLE",F117&lt;&gt;"",COUNT(G117:H117)=2,G117&gt;0,H117&gt;0,I117&lt;&gt;"",J117&lt;&gt;"",COUNTIF(13_Источники!$A$4:$A$203,J117)=1,W117&lt;&gt;"",COUNTIF(13_Источники!$A$4:$A$203,W117)=1,COUNT(K117:N117)=4,ISNUMBER(O117),U117&lt;&gt;"",01_Основания!$B$8&lt;&gt;"",OR(01_Основания!$B$9="NET",01_Основания!$B$9="GROSS"),01_Основания!$B$10&lt;&gt;"",IF(AND(ISNUMBER(O117),ISNUMBER(G117),ISNUMBER(H117)),O117*G117*H117+SUM(K117:N117)&gt;=0,FALSE())),IF(S117="SELECTED",IF(AND(COUNTIFS(B$4:B$203,B117,S$4:S$203,"SELECTED")=1,T117&lt;&gt;""),"SELECTED_READY","SELECTION_ERROR"),"COMPARABLE_READY"),"INCOMPLETE / NOT_COMPARABLE"))</f>
        <v/>
      </c>
      <c r="W117" s="6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6"/>
      <c r="L118" s="6"/>
      <c r="M118" s="6"/>
      <c r="N118" s="6"/>
      <c r="O118" s="7" t="str">
        <f aca="false">IF(C118="","",IF(IFERROR(INDEX(05_Строки_КП!$O$4:$O$203,MATCH(C118,05_Строки_КП!$A$4:$A$203,0)),"")="READY",IFERROR(INDEX(05_Строки_КП!$H$4:$H$203,MATCH(C118,05_Строки_КП!$A$4:$A$203,0)),""),""))</f>
        <v/>
      </c>
      <c r="P118" s="5" t="str">
        <f aca="false">IF(C118="","",IF(IFERROR(INDEX(05_Строки_КП!$O$4:$O$203,MATCH(C118,05_Строки_КП!$A$4:$A$203,0)),"")="READY",IFERROR(INDEX(05_Строки_КП!$L$4:$L$203,MATCH(C118,05_Строки_КП!$A$4:$A$203,0)),""),""))</f>
        <v/>
      </c>
      <c r="Q118" s="5" t="str">
        <f aca="false">IF(C118="","",IF(IFERROR(INDEX(05_Строки_КП!$O$4:$O$203,MATCH(C118,05_Строки_КП!$A$4:$A$203,0)),"")="READY",IFERROR(INDEX(05_Строки_КП!$M$4:$M$203,MATCH(C118,05_Строки_КП!$A$4:$A$203,0)),""),""))</f>
        <v/>
      </c>
      <c r="R118" s="7" t="str">
        <f aca="false">IF(OR(V118="SELECTED_READY",V118="COMPARABLE_READY"),O118*G118*H118+SUM(K118:N118),"")</f>
        <v/>
      </c>
      <c r="S118" s="4"/>
      <c r="T118" s="4"/>
      <c r="U118" s="6"/>
      <c r="V118" s="5" t="str">
        <f aca="false">IF(A118="","",IF(AND(COUNTIF(A$4:A$203,A118)=1,B118&lt;&gt;"",C118&lt;&gt;"",D118&lt;&gt;"",COUNTIF(05_Строки_КП!$A$4:$A$203,C118)=1,IFERROR(INDEX(05_Строки_КП!$C$4:$C$203,MATCH(C118,05_Строки_КП!$A$4:$A$203,0)),"")=D118,IFERROR(INDEX(05_Строки_КП!$O$4:$O$203,MATCH(C118,05_Строки_КП!$A$4:$A$203,0)),"")="READY",E118="COMPARABLE",F118&lt;&gt;"",COUNT(G118:H118)=2,G118&gt;0,H118&gt;0,I118&lt;&gt;"",J118&lt;&gt;"",COUNTIF(13_Источники!$A$4:$A$203,J118)=1,W118&lt;&gt;"",COUNTIF(13_Источники!$A$4:$A$203,W118)=1,COUNT(K118:N118)=4,ISNUMBER(O118),U118&lt;&gt;"",01_Основания!$B$8&lt;&gt;"",OR(01_Основания!$B$9="NET",01_Основания!$B$9="GROSS"),01_Основания!$B$10&lt;&gt;"",IF(AND(ISNUMBER(O118),ISNUMBER(G118),ISNUMBER(H118)),O118*G118*H118+SUM(K118:N118)&gt;=0,FALSE())),IF(S118="SELECTED",IF(AND(COUNTIFS(B$4:B$203,B118,S$4:S$203,"SELECTED")=1,T118&lt;&gt;""),"SELECTED_READY","SELECTION_ERROR"),"COMPARABLE_READY"),"INCOMPLETE / NOT_COMPARABLE"))</f>
        <v/>
      </c>
      <c r="W118" s="6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6"/>
      <c r="L119" s="6"/>
      <c r="M119" s="6"/>
      <c r="N119" s="6"/>
      <c r="O119" s="7" t="str">
        <f aca="false">IF(C119="","",IF(IFERROR(INDEX(05_Строки_КП!$O$4:$O$203,MATCH(C119,05_Строки_КП!$A$4:$A$203,0)),"")="READY",IFERROR(INDEX(05_Строки_КП!$H$4:$H$203,MATCH(C119,05_Строки_КП!$A$4:$A$203,0)),""),""))</f>
        <v/>
      </c>
      <c r="P119" s="5" t="str">
        <f aca="false">IF(C119="","",IF(IFERROR(INDEX(05_Строки_КП!$O$4:$O$203,MATCH(C119,05_Строки_КП!$A$4:$A$203,0)),"")="READY",IFERROR(INDEX(05_Строки_КП!$L$4:$L$203,MATCH(C119,05_Строки_КП!$A$4:$A$203,0)),""),""))</f>
        <v/>
      </c>
      <c r="Q119" s="5" t="str">
        <f aca="false">IF(C119="","",IF(IFERROR(INDEX(05_Строки_КП!$O$4:$O$203,MATCH(C119,05_Строки_КП!$A$4:$A$203,0)),"")="READY",IFERROR(INDEX(05_Строки_КП!$M$4:$M$203,MATCH(C119,05_Строки_КП!$A$4:$A$203,0)),""),""))</f>
        <v/>
      </c>
      <c r="R119" s="7" t="str">
        <f aca="false">IF(OR(V119="SELECTED_READY",V119="COMPARABLE_READY"),O119*G119*H119+SUM(K119:N119),"")</f>
        <v/>
      </c>
      <c r="S119" s="4"/>
      <c r="T119" s="4"/>
      <c r="U119" s="6"/>
      <c r="V119" s="5" t="str">
        <f aca="false">IF(A119="","",IF(AND(COUNTIF(A$4:A$203,A119)=1,B119&lt;&gt;"",C119&lt;&gt;"",D119&lt;&gt;"",COUNTIF(05_Строки_КП!$A$4:$A$203,C119)=1,IFERROR(INDEX(05_Строки_КП!$C$4:$C$203,MATCH(C119,05_Строки_КП!$A$4:$A$203,0)),"")=D119,IFERROR(INDEX(05_Строки_КП!$O$4:$O$203,MATCH(C119,05_Строки_КП!$A$4:$A$203,0)),"")="READY",E119="COMPARABLE",F119&lt;&gt;"",COUNT(G119:H119)=2,G119&gt;0,H119&gt;0,I119&lt;&gt;"",J119&lt;&gt;"",COUNTIF(13_Источники!$A$4:$A$203,J119)=1,W119&lt;&gt;"",COUNTIF(13_Источники!$A$4:$A$203,W119)=1,COUNT(K119:N119)=4,ISNUMBER(O119),U119&lt;&gt;"",01_Основания!$B$8&lt;&gt;"",OR(01_Основания!$B$9="NET",01_Основания!$B$9="GROSS"),01_Основания!$B$10&lt;&gt;"",IF(AND(ISNUMBER(O119),ISNUMBER(G119),ISNUMBER(H119)),O119*G119*H119+SUM(K119:N119)&gt;=0,FALSE())),IF(S119="SELECTED",IF(AND(COUNTIFS(B$4:B$203,B119,S$4:S$203,"SELECTED")=1,T119&lt;&gt;""),"SELECTED_READY","SELECTION_ERROR"),"COMPARABLE_READY"),"INCOMPLETE / NOT_COMPARABLE"))</f>
        <v/>
      </c>
      <c r="W119" s="6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6"/>
      <c r="L120" s="6"/>
      <c r="M120" s="6"/>
      <c r="N120" s="6"/>
      <c r="O120" s="7" t="str">
        <f aca="false">IF(C120="","",IF(IFERROR(INDEX(05_Строки_КП!$O$4:$O$203,MATCH(C120,05_Строки_КП!$A$4:$A$203,0)),"")="READY",IFERROR(INDEX(05_Строки_КП!$H$4:$H$203,MATCH(C120,05_Строки_КП!$A$4:$A$203,0)),""),""))</f>
        <v/>
      </c>
      <c r="P120" s="5" t="str">
        <f aca="false">IF(C120="","",IF(IFERROR(INDEX(05_Строки_КП!$O$4:$O$203,MATCH(C120,05_Строки_КП!$A$4:$A$203,0)),"")="READY",IFERROR(INDEX(05_Строки_КП!$L$4:$L$203,MATCH(C120,05_Строки_КП!$A$4:$A$203,0)),""),""))</f>
        <v/>
      </c>
      <c r="Q120" s="5" t="str">
        <f aca="false">IF(C120="","",IF(IFERROR(INDEX(05_Строки_КП!$O$4:$O$203,MATCH(C120,05_Строки_КП!$A$4:$A$203,0)),"")="READY",IFERROR(INDEX(05_Строки_КП!$M$4:$M$203,MATCH(C120,05_Строки_КП!$A$4:$A$203,0)),""),""))</f>
        <v/>
      </c>
      <c r="R120" s="7" t="str">
        <f aca="false">IF(OR(V120="SELECTED_READY",V120="COMPARABLE_READY"),O120*G120*H120+SUM(K120:N120),"")</f>
        <v/>
      </c>
      <c r="S120" s="4"/>
      <c r="T120" s="4"/>
      <c r="U120" s="6"/>
      <c r="V120" s="5" t="str">
        <f aca="false">IF(A120="","",IF(AND(COUNTIF(A$4:A$203,A120)=1,B120&lt;&gt;"",C120&lt;&gt;"",D120&lt;&gt;"",COUNTIF(05_Строки_КП!$A$4:$A$203,C120)=1,IFERROR(INDEX(05_Строки_КП!$C$4:$C$203,MATCH(C120,05_Строки_КП!$A$4:$A$203,0)),"")=D120,IFERROR(INDEX(05_Строки_КП!$O$4:$O$203,MATCH(C120,05_Строки_КП!$A$4:$A$203,0)),"")="READY",E120="COMPARABLE",F120&lt;&gt;"",COUNT(G120:H120)=2,G120&gt;0,H120&gt;0,I120&lt;&gt;"",J120&lt;&gt;"",COUNTIF(13_Источники!$A$4:$A$203,J120)=1,W120&lt;&gt;"",COUNTIF(13_Источники!$A$4:$A$203,W120)=1,COUNT(K120:N120)=4,ISNUMBER(O120),U120&lt;&gt;"",01_Основания!$B$8&lt;&gt;"",OR(01_Основания!$B$9="NET",01_Основания!$B$9="GROSS"),01_Основания!$B$10&lt;&gt;"",IF(AND(ISNUMBER(O120),ISNUMBER(G120),ISNUMBER(H120)),O120*G120*H120+SUM(K120:N120)&gt;=0,FALSE())),IF(S120="SELECTED",IF(AND(COUNTIFS(B$4:B$203,B120,S$4:S$203,"SELECTED")=1,T120&lt;&gt;""),"SELECTED_READY","SELECTION_ERROR"),"COMPARABLE_READY"),"INCOMPLETE / NOT_COMPARABLE"))</f>
        <v/>
      </c>
      <c r="W120" s="6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6"/>
      <c r="L121" s="6"/>
      <c r="M121" s="6"/>
      <c r="N121" s="6"/>
      <c r="O121" s="7" t="str">
        <f aca="false">IF(C121="","",IF(IFERROR(INDEX(05_Строки_КП!$O$4:$O$203,MATCH(C121,05_Строки_КП!$A$4:$A$203,0)),"")="READY",IFERROR(INDEX(05_Строки_КП!$H$4:$H$203,MATCH(C121,05_Строки_КП!$A$4:$A$203,0)),""),""))</f>
        <v/>
      </c>
      <c r="P121" s="5" t="str">
        <f aca="false">IF(C121="","",IF(IFERROR(INDEX(05_Строки_КП!$O$4:$O$203,MATCH(C121,05_Строки_КП!$A$4:$A$203,0)),"")="READY",IFERROR(INDEX(05_Строки_КП!$L$4:$L$203,MATCH(C121,05_Строки_КП!$A$4:$A$203,0)),""),""))</f>
        <v/>
      </c>
      <c r="Q121" s="5" t="str">
        <f aca="false">IF(C121="","",IF(IFERROR(INDEX(05_Строки_КП!$O$4:$O$203,MATCH(C121,05_Строки_КП!$A$4:$A$203,0)),"")="READY",IFERROR(INDEX(05_Строки_КП!$M$4:$M$203,MATCH(C121,05_Строки_КП!$A$4:$A$203,0)),""),""))</f>
        <v/>
      </c>
      <c r="R121" s="7" t="str">
        <f aca="false">IF(OR(V121="SELECTED_READY",V121="COMPARABLE_READY"),O121*G121*H121+SUM(K121:N121),"")</f>
        <v/>
      </c>
      <c r="S121" s="4"/>
      <c r="T121" s="4"/>
      <c r="U121" s="6"/>
      <c r="V121" s="5" t="str">
        <f aca="false">IF(A121="","",IF(AND(COUNTIF(A$4:A$203,A121)=1,B121&lt;&gt;"",C121&lt;&gt;"",D121&lt;&gt;"",COUNTIF(05_Строки_КП!$A$4:$A$203,C121)=1,IFERROR(INDEX(05_Строки_КП!$C$4:$C$203,MATCH(C121,05_Строки_КП!$A$4:$A$203,0)),"")=D121,IFERROR(INDEX(05_Строки_КП!$O$4:$O$203,MATCH(C121,05_Строки_КП!$A$4:$A$203,0)),"")="READY",E121="COMPARABLE",F121&lt;&gt;"",COUNT(G121:H121)=2,G121&gt;0,H121&gt;0,I121&lt;&gt;"",J121&lt;&gt;"",COUNTIF(13_Источники!$A$4:$A$203,J121)=1,W121&lt;&gt;"",COUNTIF(13_Источники!$A$4:$A$203,W121)=1,COUNT(K121:N121)=4,ISNUMBER(O121),U121&lt;&gt;"",01_Основания!$B$8&lt;&gt;"",OR(01_Основания!$B$9="NET",01_Основания!$B$9="GROSS"),01_Основания!$B$10&lt;&gt;"",IF(AND(ISNUMBER(O121),ISNUMBER(G121),ISNUMBER(H121)),O121*G121*H121+SUM(K121:N121)&gt;=0,FALSE())),IF(S121="SELECTED",IF(AND(COUNTIFS(B$4:B$203,B121,S$4:S$203,"SELECTED")=1,T121&lt;&gt;""),"SELECTED_READY","SELECTION_ERROR"),"COMPARABLE_READY"),"INCOMPLETE / NOT_COMPARABLE"))</f>
        <v/>
      </c>
      <c r="W121" s="6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6"/>
      <c r="L122" s="6"/>
      <c r="M122" s="6"/>
      <c r="N122" s="6"/>
      <c r="O122" s="7" t="str">
        <f aca="false">IF(C122="","",IF(IFERROR(INDEX(05_Строки_КП!$O$4:$O$203,MATCH(C122,05_Строки_КП!$A$4:$A$203,0)),"")="READY",IFERROR(INDEX(05_Строки_КП!$H$4:$H$203,MATCH(C122,05_Строки_КП!$A$4:$A$203,0)),""),""))</f>
        <v/>
      </c>
      <c r="P122" s="5" t="str">
        <f aca="false">IF(C122="","",IF(IFERROR(INDEX(05_Строки_КП!$O$4:$O$203,MATCH(C122,05_Строки_КП!$A$4:$A$203,0)),"")="READY",IFERROR(INDEX(05_Строки_КП!$L$4:$L$203,MATCH(C122,05_Строки_КП!$A$4:$A$203,0)),""),""))</f>
        <v/>
      </c>
      <c r="Q122" s="5" t="str">
        <f aca="false">IF(C122="","",IF(IFERROR(INDEX(05_Строки_КП!$O$4:$O$203,MATCH(C122,05_Строки_КП!$A$4:$A$203,0)),"")="READY",IFERROR(INDEX(05_Строки_КП!$M$4:$M$203,MATCH(C122,05_Строки_КП!$A$4:$A$203,0)),""),""))</f>
        <v/>
      </c>
      <c r="R122" s="7" t="str">
        <f aca="false">IF(OR(V122="SELECTED_READY",V122="COMPARABLE_READY"),O122*G122*H122+SUM(K122:N122),"")</f>
        <v/>
      </c>
      <c r="S122" s="4"/>
      <c r="T122" s="4"/>
      <c r="U122" s="6"/>
      <c r="V122" s="5" t="str">
        <f aca="false">IF(A122="","",IF(AND(COUNTIF(A$4:A$203,A122)=1,B122&lt;&gt;"",C122&lt;&gt;"",D122&lt;&gt;"",COUNTIF(05_Строки_КП!$A$4:$A$203,C122)=1,IFERROR(INDEX(05_Строки_КП!$C$4:$C$203,MATCH(C122,05_Строки_КП!$A$4:$A$203,0)),"")=D122,IFERROR(INDEX(05_Строки_КП!$O$4:$O$203,MATCH(C122,05_Строки_КП!$A$4:$A$203,0)),"")="READY",E122="COMPARABLE",F122&lt;&gt;"",COUNT(G122:H122)=2,G122&gt;0,H122&gt;0,I122&lt;&gt;"",J122&lt;&gt;"",COUNTIF(13_Источники!$A$4:$A$203,J122)=1,W122&lt;&gt;"",COUNTIF(13_Источники!$A$4:$A$203,W122)=1,COUNT(K122:N122)=4,ISNUMBER(O122),U122&lt;&gt;"",01_Основания!$B$8&lt;&gt;"",OR(01_Основания!$B$9="NET",01_Основания!$B$9="GROSS"),01_Основания!$B$10&lt;&gt;"",IF(AND(ISNUMBER(O122),ISNUMBER(G122),ISNUMBER(H122)),O122*G122*H122+SUM(K122:N122)&gt;=0,FALSE())),IF(S122="SELECTED",IF(AND(COUNTIFS(B$4:B$203,B122,S$4:S$203,"SELECTED")=1,T122&lt;&gt;""),"SELECTED_READY","SELECTION_ERROR"),"COMPARABLE_READY"),"INCOMPLETE / NOT_COMPARABLE"))</f>
        <v/>
      </c>
      <c r="W122" s="6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6"/>
      <c r="L123" s="6"/>
      <c r="M123" s="6"/>
      <c r="N123" s="6"/>
      <c r="O123" s="7" t="str">
        <f aca="false">IF(C123="","",IF(IFERROR(INDEX(05_Строки_КП!$O$4:$O$203,MATCH(C123,05_Строки_КП!$A$4:$A$203,0)),"")="READY",IFERROR(INDEX(05_Строки_КП!$H$4:$H$203,MATCH(C123,05_Строки_КП!$A$4:$A$203,0)),""),""))</f>
        <v/>
      </c>
      <c r="P123" s="5" t="str">
        <f aca="false">IF(C123="","",IF(IFERROR(INDEX(05_Строки_КП!$O$4:$O$203,MATCH(C123,05_Строки_КП!$A$4:$A$203,0)),"")="READY",IFERROR(INDEX(05_Строки_КП!$L$4:$L$203,MATCH(C123,05_Строки_КП!$A$4:$A$203,0)),""),""))</f>
        <v/>
      </c>
      <c r="Q123" s="5" t="str">
        <f aca="false">IF(C123="","",IF(IFERROR(INDEX(05_Строки_КП!$O$4:$O$203,MATCH(C123,05_Строки_КП!$A$4:$A$203,0)),"")="READY",IFERROR(INDEX(05_Строки_КП!$M$4:$M$203,MATCH(C123,05_Строки_КП!$A$4:$A$203,0)),""),""))</f>
        <v/>
      </c>
      <c r="R123" s="7" t="str">
        <f aca="false">IF(OR(V123="SELECTED_READY",V123="COMPARABLE_READY"),O123*G123*H123+SUM(K123:N123),"")</f>
        <v/>
      </c>
      <c r="S123" s="4"/>
      <c r="T123" s="4"/>
      <c r="U123" s="6"/>
      <c r="V123" s="5" t="str">
        <f aca="false">IF(A123="","",IF(AND(COUNTIF(A$4:A$203,A123)=1,B123&lt;&gt;"",C123&lt;&gt;"",D123&lt;&gt;"",COUNTIF(05_Строки_КП!$A$4:$A$203,C123)=1,IFERROR(INDEX(05_Строки_КП!$C$4:$C$203,MATCH(C123,05_Строки_КП!$A$4:$A$203,0)),"")=D123,IFERROR(INDEX(05_Строки_КП!$O$4:$O$203,MATCH(C123,05_Строки_КП!$A$4:$A$203,0)),"")="READY",E123="COMPARABLE",F123&lt;&gt;"",COUNT(G123:H123)=2,G123&gt;0,H123&gt;0,I123&lt;&gt;"",J123&lt;&gt;"",COUNTIF(13_Источники!$A$4:$A$203,J123)=1,W123&lt;&gt;"",COUNTIF(13_Источники!$A$4:$A$203,W123)=1,COUNT(K123:N123)=4,ISNUMBER(O123),U123&lt;&gt;"",01_Основания!$B$8&lt;&gt;"",OR(01_Основания!$B$9="NET",01_Основания!$B$9="GROSS"),01_Основания!$B$10&lt;&gt;"",IF(AND(ISNUMBER(O123),ISNUMBER(G123),ISNUMBER(H123)),O123*G123*H123+SUM(K123:N123)&gt;=0,FALSE())),IF(S123="SELECTED",IF(AND(COUNTIFS(B$4:B$203,B123,S$4:S$203,"SELECTED")=1,T123&lt;&gt;""),"SELECTED_READY","SELECTION_ERROR"),"COMPARABLE_READY"),"INCOMPLETE / NOT_COMPARABLE"))</f>
        <v/>
      </c>
      <c r="W123" s="6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6"/>
      <c r="L124" s="6"/>
      <c r="M124" s="6"/>
      <c r="N124" s="6"/>
      <c r="O124" s="7" t="str">
        <f aca="false">IF(C124="","",IF(IFERROR(INDEX(05_Строки_КП!$O$4:$O$203,MATCH(C124,05_Строки_КП!$A$4:$A$203,0)),"")="READY",IFERROR(INDEX(05_Строки_КП!$H$4:$H$203,MATCH(C124,05_Строки_КП!$A$4:$A$203,0)),""),""))</f>
        <v/>
      </c>
      <c r="P124" s="5" t="str">
        <f aca="false">IF(C124="","",IF(IFERROR(INDEX(05_Строки_КП!$O$4:$O$203,MATCH(C124,05_Строки_КП!$A$4:$A$203,0)),"")="READY",IFERROR(INDEX(05_Строки_КП!$L$4:$L$203,MATCH(C124,05_Строки_КП!$A$4:$A$203,0)),""),""))</f>
        <v/>
      </c>
      <c r="Q124" s="5" t="str">
        <f aca="false">IF(C124="","",IF(IFERROR(INDEX(05_Строки_КП!$O$4:$O$203,MATCH(C124,05_Строки_КП!$A$4:$A$203,0)),"")="READY",IFERROR(INDEX(05_Строки_КП!$M$4:$M$203,MATCH(C124,05_Строки_КП!$A$4:$A$203,0)),""),""))</f>
        <v/>
      </c>
      <c r="R124" s="7" t="str">
        <f aca="false">IF(OR(V124="SELECTED_READY",V124="COMPARABLE_READY"),O124*G124*H124+SUM(K124:N124),"")</f>
        <v/>
      </c>
      <c r="S124" s="4"/>
      <c r="T124" s="4"/>
      <c r="U124" s="6"/>
      <c r="V124" s="5" t="str">
        <f aca="false">IF(A124="","",IF(AND(COUNTIF(A$4:A$203,A124)=1,B124&lt;&gt;"",C124&lt;&gt;"",D124&lt;&gt;"",COUNTIF(05_Строки_КП!$A$4:$A$203,C124)=1,IFERROR(INDEX(05_Строки_КП!$C$4:$C$203,MATCH(C124,05_Строки_КП!$A$4:$A$203,0)),"")=D124,IFERROR(INDEX(05_Строки_КП!$O$4:$O$203,MATCH(C124,05_Строки_КП!$A$4:$A$203,0)),"")="READY",E124="COMPARABLE",F124&lt;&gt;"",COUNT(G124:H124)=2,G124&gt;0,H124&gt;0,I124&lt;&gt;"",J124&lt;&gt;"",COUNTIF(13_Источники!$A$4:$A$203,J124)=1,W124&lt;&gt;"",COUNTIF(13_Источники!$A$4:$A$203,W124)=1,COUNT(K124:N124)=4,ISNUMBER(O124),U124&lt;&gt;"",01_Основания!$B$8&lt;&gt;"",OR(01_Основания!$B$9="NET",01_Основания!$B$9="GROSS"),01_Основания!$B$10&lt;&gt;"",IF(AND(ISNUMBER(O124),ISNUMBER(G124),ISNUMBER(H124)),O124*G124*H124+SUM(K124:N124)&gt;=0,FALSE())),IF(S124="SELECTED",IF(AND(COUNTIFS(B$4:B$203,B124,S$4:S$203,"SELECTED")=1,T124&lt;&gt;""),"SELECTED_READY","SELECTION_ERROR"),"COMPARABLE_READY"),"INCOMPLETE / NOT_COMPARABLE"))</f>
        <v/>
      </c>
      <c r="W124" s="6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6"/>
      <c r="L125" s="6"/>
      <c r="M125" s="6"/>
      <c r="N125" s="6"/>
      <c r="O125" s="7" t="str">
        <f aca="false">IF(C125="","",IF(IFERROR(INDEX(05_Строки_КП!$O$4:$O$203,MATCH(C125,05_Строки_КП!$A$4:$A$203,0)),"")="READY",IFERROR(INDEX(05_Строки_КП!$H$4:$H$203,MATCH(C125,05_Строки_КП!$A$4:$A$203,0)),""),""))</f>
        <v/>
      </c>
      <c r="P125" s="5" t="str">
        <f aca="false">IF(C125="","",IF(IFERROR(INDEX(05_Строки_КП!$O$4:$O$203,MATCH(C125,05_Строки_КП!$A$4:$A$203,0)),"")="READY",IFERROR(INDEX(05_Строки_КП!$L$4:$L$203,MATCH(C125,05_Строки_КП!$A$4:$A$203,0)),""),""))</f>
        <v/>
      </c>
      <c r="Q125" s="5" t="str">
        <f aca="false">IF(C125="","",IF(IFERROR(INDEX(05_Строки_КП!$O$4:$O$203,MATCH(C125,05_Строки_КП!$A$4:$A$203,0)),"")="READY",IFERROR(INDEX(05_Строки_КП!$M$4:$M$203,MATCH(C125,05_Строки_КП!$A$4:$A$203,0)),""),""))</f>
        <v/>
      </c>
      <c r="R125" s="7" t="str">
        <f aca="false">IF(OR(V125="SELECTED_READY",V125="COMPARABLE_READY"),O125*G125*H125+SUM(K125:N125),"")</f>
        <v/>
      </c>
      <c r="S125" s="4"/>
      <c r="T125" s="4"/>
      <c r="U125" s="6"/>
      <c r="V125" s="5" t="str">
        <f aca="false">IF(A125="","",IF(AND(COUNTIF(A$4:A$203,A125)=1,B125&lt;&gt;"",C125&lt;&gt;"",D125&lt;&gt;"",COUNTIF(05_Строки_КП!$A$4:$A$203,C125)=1,IFERROR(INDEX(05_Строки_КП!$C$4:$C$203,MATCH(C125,05_Строки_КП!$A$4:$A$203,0)),"")=D125,IFERROR(INDEX(05_Строки_КП!$O$4:$O$203,MATCH(C125,05_Строки_КП!$A$4:$A$203,0)),"")="READY",E125="COMPARABLE",F125&lt;&gt;"",COUNT(G125:H125)=2,G125&gt;0,H125&gt;0,I125&lt;&gt;"",J125&lt;&gt;"",COUNTIF(13_Источники!$A$4:$A$203,J125)=1,W125&lt;&gt;"",COUNTIF(13_Источники!$A$4:$A$203,W125)=1,COUNT(K125:N125)=4,ISNUMBER(O125),U125&lt;&gt;"",01_Основания!$B$8&lt;&gt;"",OR(01_Основания!$B$9="NET",01_Основания!$B$9="GROSS"),01_Основания!$B$10&lt;&gt;"",IF(AND(ISNUMBER(O125),ISNUMBER(G125),ISNUMBER(H125)),O125*G125*H125+SUM(K125:N125)&gt;=0,FALSE())),IF(S125="SELECTED",IF(AND(COUNTIFS(B$4:B$203,B125,S$4:S$203,"SELECTED")=1,T125&lt;&gt;""),"SELECTED_READY","SELECTION_ERROR"),"COMPARABLE_READY"),"INCOMPLETE / NOT_COMPARABLE"))</f>
        <v/>
      </c>
      <c r="W125" s="6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6"/>
      <c r="L126" s="6"/>
      <c r="M126" s="6"/>
      <c r="N126" s="6"/>
      <c r="O126" s="7" t="str">
        <f aca="false">IF(C126="","",IF(IFERROR(INDEX(05_Строки_КП!$O$4:$O$203,MATCH(C126,05_Строки_КП!$A$4:$A$203,0)),"")="READY",IFERROR(INDEX(05_Строки_КП!$H$4:$H$203,MATCH(C126,05_Строки_КП!$A$4:$A$203,0)),""),""))</f>
        <v/>
      </c>
      <c r="P126" s="5" t="str">
        <f aca="false">IF(C126="","",IF(IFERROR(INDEX(05_Строки_КП!$O$4:$O$203,MATCH(C126,05_Строки_КП!$A$4:$A$203,0)),"")="READY",IFERROR(INDEX(05_Строки_КП!$L$4:$L$203,MATCH(C126,05_Строки_КП!$A$4:$A$203,0)),""),""))</f>
        <v/>
      </c>
      <c r="Q126" s="5" t="str">
        <f aca="false">IF(C126="","",IF(IFERROR(INDEX(05_Строки_КП!$O$4:$O$203,MATCH(C126,05_Строки_КП!$A$4:$A$203,0)),"")="READY",IFERROR(INDEX(05_Строки_КП!$M$4:$M$203,MATCH(C126,05_Строки_КП!$A$4:$A$203,0)),""),""))</f>
        <v/>
      </c>
      <c r="R126" s="7" t="str">
        <f aca="false">IF(OR(V126="SELECTED_READY",V126="COMPARABLE_READY"),O126*G126*H126+SUM(K126:N126),"")</f>
        <v/>
      </c>
      <c r="S126" s="4"/>
      <c r="T126" s="4"/>
      <c r="U126" s="6"/>
      <c r="V126" s="5" t="str">
        <f aca="false">IF(A126="","",IF(AND(COUNTIF(A$4:A$203,A126)=1,B126&lt;&gt;"",C126&lt;&gt;"",D126&lt;&gt;"",COUNTIF(05_Строки_КП!$A$4:$A$203,C126)=1,IFERROR(INDEX(05_Строки_КП!$C$4:$C$203,MATCH(C126,05_Строки_КП!$A$4:$A$203,0)),"")=D126,IFERROR(INDEX(05_Строки_КП!$O$4:$O$203,MATCH(C126,05_Строки_КП!$A$4:$A$203,0)),"")="READY",E126="COMPARABLE",F126&lt;&gt;"",COUNT(G126:H126)=2,G126&gt;0,H126&gt;0,I126&lt;&gt;"",J126&lt;&gt;"",COUNTIF(13_Источники!$A$4:$A$203,J126)=1,W126&lt;&gt;"",COUNTIF(13_Источники!$A$4:$A$203,W126)=1,COUNT(K126:N126)=4,ISNUMBER(O126),U126&lt;&gt;"",01_Основания!$B$8&lt;&gt;"",OR(01_Основания!$B$9="NET",01_Основания!$B$9="GROSS"),01_Основания!$B$10&lt;&gt;"",IF(AND(ISNUMBER(O126),ISNUMBER(G126),ISNUMBER(H126)),O126*G126*H126+SUM(K126:N126)&gt;=0,FALSE())),IF(S126="SELECTED",IF(AND(COUNTIFS(B$4:B$203,B126,S$4:S$203,"SELECTED")=1,T126&lt;&gt;""),"SELECTED_READY","SELECTION_ERROR"),"COMPARABLE_READY"),"INCOMPLETE / NOT_COMPARABLE"))</f>
        <v/>
      </c>
      <c r="W126" s="6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6"/>
      <c r="L127" s="6"/>
      <c r="M127" s="6"/>
      <c r="N127" s="6"/>
      <c r="O127" s="7" t="str">
        <f aca="false">IF(C127="","",IF(IFERROR(INDEX(05_Строки_КП!$O$4:$O$203,MATCH(C127,05_Строки_КП!$A$4:$A$203,0)),"")="READY",IFERROR(INDEX(05_Строки_КП!$H$4:$H$203,MATCH(C127,05_Строки_КП!$A$4:$A$203,0)),""),""))</f>
        <v/>
      </c>
      <c r="P127" s="5" t="str">
        <f aca="false">IF(C127="","",IF(IFERROR(INDEX(05_Строки_КП!$O$4:$O$203,MATCH(C127,05_Строки_КП!$A$4:$A$203,0)),"")="READY",IFERROR(INDEX(05_Строки_КП!$L$4:$L$203,MATCH(C127,05_Строки_КП!$A$4:$A$203,0)),""),""))</f>
        <v/>
      </c>
      <c r="Q127" s="5" t="str">
        <f aca="false">IF(C127="","",IF(IFERROR(INDEX(05_Строки_КП!$O$4:$O$203,MATCH(C127,05_Строки_КП!$A$4:$A$203,0)),"")="READY",IFERROR(INDEX(05_Строки_КП!$M$4:$M$203,MATCH(C127,05_Строки_КП!$A$4:$A$203,0)),""),""))</f>
        <v/>
      </c>
      <c r="R127" s="7" t="str">
        <f aca="false">IF(OR(V127="SELECTED_READY",V127="COMPARABLE_READY"),O127*G127*H127+SUM(K127:N127),"")</f>
        <v/>
      </c>
      <c r="S127" s="4"/>
      <c r="T127" s="4"/>
      <c r="U127" s="6"/>
      <c r="V127" s="5" t="str">
        <f aca="false">IF(A127="","",IF(AND(COUNTIF(A$4:A$203,A127)=1,B127&lt;&gt;"",C127&lt;&gt;"",D127&lt;&gt;"",COUNTIF(05_Строки_КП!$A$4:$A$203,C127)=1,IFERROR(INDEX(05_Строки_КП!$C$4:$C$203,MATCH(C127,05_Строки_КП!$A$4:$A$203,0)),"")=D127,IFERROR(INDEX(05_Строки_КП!$O$4:$O$203,MATCH(C127,05_Строки_КП!$A$4:$A$203,0)),"")="READY",E127="COMPARABLE",F127&lt;&gt;"",COUNT(G127:H127)=2,G127&gt;0,H127&gt;0,I127&lt;&gt;"",J127&lt;&gt;"",COUNTIF(13_Источники!$A$4:$A$203,J127)=1,W127&lt;&gt;"",COUNTIF(13_Источники!$A$4:$A$203,W127)=1,COUNT(K127:N127)=4,ISNUMBER(O127),U127&lt;&gt;"",01_Основания!$B$8&lt;&gt;"",OR(01_Основания!$B$9="NET",01_Основания!$B$9="GROSS"),01_Основания!$B$10&lt;&gt;"",IF(AND(ISNUMBER(O127),ISNUMBER(G127),ISNUMBER(H127)),O127*G127*H127+SUM(K127:N127)&gt;=0,FALSE())),IF(S127="SELECTED",IF(AND(COUNTIFS(B$4:B$203,B127,S$4:S$203,"SELECTED")=1,T127&lt;&gt;""),"SELECTED_READY","SELECTION_ERROR"),"COMPARABLE_READY"),"INCOMPLETE / NOT_COMPARABLE"))</f>
        <v/>
      </c>
      <c r="W127" s="6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6"/>
      <c r="L128" s="6"/>
      <c r="M128" s="6"/>
      <c r="N128" s="6"/>
      <c r="O128" s="7" t="str">
        <f aca="false">IF(C128="","",IF(IFERROR(INDEX(05_Строки_КП!$O$4:$O$203,MATCH(C128,05_Строки_КП!$A$4:$A$203,0)),"")="READY",IFERROR(INDEX(05_Строки_КП!$H$4:$H$203,MATCH(C128,05_Строки_КП!$A$4:$A$203,0)),""),""))</f>
        <v/>
      </c>
      <c r="P128" s="5" t="str">
        <f aca="false">IF(C128="","",IF(IFERROR(INDEX(05_Строки_КП!$O$4:$O$203,MATCH(C128,05_Строки_КП!$A$4:$A$203,0)),"")="READY",IFERROR(INDEX(05_Строки_КП!$L$4:$L$203,MATCH(C128,05_Строки_КП!$A$4:$A$203,0)),""),""))</f>
        <v/>
      </c>
      <c r="Q128" s="5" t="str">
        <f aca="false">IF(C128="","",IF(IFERROR(INDEX(05_Строки_КП!$O$4:$O$203,MATCH(C128,05_Строки_КП!$A$4:$A$203,0)),"")="READY",IFERROR(INDEX(05_Строки_КП!$M$4:$M$203,MATCH(C128,05_Строки_КП!$A$4:$A$203,0)),""),""))</f>
        <v/>
      </c>
      <c r="R128" s="7" t="str">
        <f aca="false">IF(OR(V128="SELECTED_READY",V128="COMPARABLE_READY"),O128*G128*H128+SUM(K128:N128),"")</f>
        <v/>
      </c>
      <c r="S128" s="4"/>
      <c r="T128" s="4"/>
      <c r="U128" s="6"/>
      <c r="V128" s="5" t="str">
        <f aca="false">IF(A128="","",IF(AND(COUNTIF(A$4:A$203,A128)=1,B128&lt;&gt;"",C128&lt;&gt;"",D128&lt;&gt;"",COUNTIF(05_Строки_КП!$A$4:$A$203,C128)=1,IFERROR(INDEX(05_Строки_КП!$C$4:$C$203,MATCH(C128,05_Строки_КП!$A$4:$A$203,0)),"")=D128,IFERROR(INDEX(05_Строки_КП!$O$4:$O$203,MATCH(C128,05_Строки_КП!$A$4:$A$203,0)),"")="READY",E128="COMPARABLE",F128&lt;&gt;"",COUNT(G128:H128)=2,G128&gt;0,H128&gt;0,I128&lt;&gt;"",J128&lt;&gt;"",COUNTIF(13_Источники!$A$4:$A$203,J128)=1,W128&lt;&gt;"",COUNTIF(13_Источники!$A$4:$A$203,W128)=1,COUNT(K128:N128)=4,ISNUMBER(O128),U128&lt;&gt;"",01_Основания!$B$8&lt;&gt;"",OR(01_Основания!$B$9="NET",01_Основания!$B$9="GROSS"),01_Основания!$B$10&lt;&gt;"",IF(AND(ISNUMBER(O128),ISNUMBER(G128),ISNUMBER(H128)),O128*G128*H128+SUM(K128:N128)&gt;=0,FALSE())),IF(S128="SELECTED",IF(AND(COUNTIFS(B$4:B$203,B128,S$4:S$203,"SELECTED")=1,T128&lt;&gt;""),"SELECTED_READY","SELECTION_ERROR"),"COMPARABLE_READY"),"INCOMPLETE / NOT_COMPARABLE"))</f>
        <v/>
      </c>
      <c r="W128" s="6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6"/>
      <c r="L129" s="6"/>
      <c r="M129" s="6"/>
      <c r="N129" s="6"/>
      <c r="O129" s="7" t="str">
        <f aca="false">IF(C129="","",IF(IFERROR(INDEX(05_Строки_КП!$O$4:$O$203,MATCH(C129,05_Строки_КП!$A$4:$A$203,0)),"")="READY",IFERROR(INDEX(05_Строки_КП!$H$4:$H$203,MATCH(C129,05_Строки_КП!$A$4:$A$203,0)),""),""))</f>
        <v/>
      </c>
      <c r="P129" s="5" t="str">
        <f aca="false">IF(C129="","",IF(IFERROR(INDEX(05_Строки_КП!$O$4:$O$203,MATCH(C129,05_Строки_КП!$A$4:$A$203,0)),"")="READY",IFERROR(INDEX(05_Строки_КП!$L$4:$L$203,MATCH(C129,05_Строки_КП!$A$4:$A$203,0)),""),""))</f>
        <v/>
      </c>
      <c r="Q129" s="5" t="str">
        <f aca="false">IF(C129="","",IF(IFERROR(INDEX(05_Строки_КП!$O$4:$O$203,MATCH(C129,05_Строки_КП!$A$4:$A$203,0)),"")="READY",IFERROR(INDEX(05_Строки_КП!$M$4:$M$203,MATCH(C129,05_Строки_КП!$A$4:$A$203,0)),""),""))</f>
        <v/>
      </c>
      <c r="R129" s="7" t="str">
        <f aca="false">IF(OR(V129="SELECTED_READY",V129="COMPARABLE_READY"),O129*G129*H129+SUM(K129:N129),"")</f>
        <v/>
      </c>
      <c r="S129" s="4"/>
      <c r="T129" s="4"/>
      <c r="U129" s="6"/>
      <c r="V129" s="5" t="str">
        <f aca="false">IF(A129="","",IF(AND(COUNTIF(A$4:A$203,A129)=1,B129&lt;&gt;"",C129&lt;&gt;"",D129&lt;&gt;"",COUNTIF(05_Строки_КП!$A$4:$A$203,C129)=1,IFERROR(INDEX(05_Строки_КП!$C$4:$C$203,MATCH(C129,05_Строки_КП!$A$4:$A$203,0)),"")=D129,IFERROR(INDEX(05_Строки_КП!$O$4:$O$203,MATCH(C129,05_Строки_КП!$A$4:$A$203,0)),"")="READY",E129="COMPARABLE",F129&lt;&gt;"",COUNT(G129:H129)=2,G129&gt;0,H129&gt;0,I129&lt;&gt;"",J129&lt;&gt;"",COUNTIF(13_Источники!$A$4:$A$203,J129)=1,W129&lt;&gt;"",COUNTIF(13_Источники!$A$4:$A$203,W129)=1,COUNT(K129:N129)=4,ISNUMBER(O129),U129&lt;&gt;"",01_Основания!$B$8&lt;&gt;"",OR(01_Основания!$B$9="NET",01_Основания!$B$9="GROSS"),01_Основания!$B$10&lt;&gt;"",IF(AND(ISNUMBER(O129),ISNUMBER(G129),ISNUMBER(H129)),O129*G129*H129+SUM(K129:N129)&gt;=0,FALSE())),IF(S129="SELECTED",IF(AND(COUNTIFS(B$4:B$203,B129,S$4:S$203,"SELECTED")=1,T129&lt;&gt;""),"SELECTED_READY","SELECTION_ERROR"),"COMPARABLE_READY"),"INCOMPLETE / NOT_COMPARABLE"))</f>
        <v/>
      </c>
      <c r="W129" s="6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6"/>
      <c r="L130" s="6"/>
      <c r="M130" s="6"/>
      <c r="N130" s="6"/>
      <c r="O130" s="7" t="str">
        <f aca="false">IF(C130="","",IF(IFERROR(INDEX(05_Строки_КП!$O$4:$O$203,MATCH(C130,05_Строки_КП!$A$4:$A$203,0)),"")="READY",IFERROR(INDEX(05_Строки_КП!$H$4:$H$203,MATCH(C130,05_Строки_КП!$A$4:$A$203,0)),""),""))</f>
        <v/>
      </c>
      <c r="P130" s="5" t="str">
        <f aca="false">IF(C130="","",IF(IFERROR(INDEX(05_Строки_КП!$O$4:$O$203,MATCH(C130,05_Строки_КП!$A$4:$A$203,0)),"")="READY",IFERROR(INDEX(05_Строки_КП!$L$4:$L$203,MATCH(C130,05_Строки_КП!$A$4:$A$203,0)),""),""))</f>
        <v/>
      </c>
      <c r="Q130" s="5" t="str">
        <f aca="false">IF(C130="","",IF(IFERROR(INDEX(05_Строки_КП!$O$4:$O$203,MATCH(C130,05_Строки_КП!$A$4:$A$203,0)),"")="READY",IFERROR(INDEX(05_Строки_КП!$M$4:$M$203,MATCH(C130,05_Строки_КП!$A$4:$A$203,0)),""),""))</f>
        <v/>
      </c>
      <c r="R130" s="7" t="str">
        <f aca="false">IF(OR(V130="SELECTED_READY",V130="COMPARABLE_READY"),O130*G130*H130+SUM(K130:N130),"")</f>
        <v/>
      </c>
      <c r="S130" s="4"/>
      <c r="T130" s="4"/>
      <c r="U130" s="6"/>
      <c r="V130" s="5" t="str">
        <f aca="false">IF(A130="","",IF(AND(COUNTIF(A$4:A$203,A130)=1,B130&lt;&gt;"",C130&lt;&gt;"",D130&lt;&gt;"",COUNTIF(05_Строки_КП!$A$4:$A$203,C130)=1,IFERROR(INDEX(05_Строки_КП!$C$4:$C$203,MATCH(C130,05_Строки_КП!$A$4:$A$203,0)),"")=D130,IFERROR(INDEX(05_Строки_КП!$O$4:$O$203,MATCH(C130,05_Строки_КП!$A$4:$A$203,0)),"")="READY",E130="COMPARABLE",F130&lt;&gt;"",COUNT(G130:H130)=2,G130&gt;0,H130&gt;0,I130&lt;&gt;"",J130&lt;&gt;"",COUNTIF(13_Источники!$A$4:$A$203,J130)=1,W130&lt;&gt;"",COUNTIF(13_Источники!$A$4:$A$203,W130)=1,COUNT(K130:N130)=4,ISNUMBER(O130),U130&lt;&gt;"",01_Основания!$B$8&lt;&gt;"",OR(01_Основания!$B$9="NET",01_Основания!$B$9="GROSS"),01_Основания!$B$10&lt;&gt;"",IF(AND(ISNUMBER(O130),ISNUMBER(G130),ISNUMBER(H130)),O130*G130*H130+SUM(K130:N130)&gt;=0,FALSE())),IF(S130="SELECTED",IF(AND(COUNTIFS(B$4:B$203,B130,S$4:S$203,"SELECTED")=1,T130&lt;&gt;""),"SELECTED_READY","SELECTION_ERROR"),"COMPARABLE_READY"),"INCOMPLETE / NOT_COMPARABLE"))</f>
        <v/>
      </c>
      <c r="W130" s="6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6"/>
      <c r="L131" s="6"/>
      <c r="M131" s="6"/>
      <c r="N131" s="6"/>
      <c r="O131" s="7" t="str">
        <f aca="false">IF(C131="","",IF(IFERROR(INDEX(05_Строки_КП!$O$4:$O$203,MATCH(C131,05_Строки_КП!$A$4:$A$203,0)),"")="READY",IFERROR(INDEX(05_Строки_КП!$H$4:$H$203,MATCH(C131,05_Строки_КП!$A$4:$A$203,0)),""),""))</f>
        <v/>
      </c>
      <c r="P131" s="5" t="str">
        <f aca="false">IF(C131="","",IF(IFERROR(INDEX(05_Строки_КП!$O$4:$O$203,MATCH(C131,05_Строки_КП!$A$4:$A$203,0)),"")="READY",IFERROR(INDEX(05_Строки_КП!$L$4:$L$203,MATCH(C131,05_Строки_КП!$A$4:$A$203,0)),""),""))</f>
        <v/>
      </c>
      <c r="Q131" s="5" t="str">
        <f aca="false">IF(C131="","",IF(IFERROR(INDEX(05_Строки_КП!$O$4:$O$203,MATCH(C131,05_Строки_КП!$A$4:$A$203,0)),"")="READY",IFERROR(INDEX(05_Строки_КП!$M$4:$M$203,MATCH(C131,05_Строки_КП!$A$4:$A$203,0)),""),""))</f>
        <v/>
      </c>
      <c r="R131" s="7" t="str">
        <f aca="false">IF(OR(V131="SELECTED_READY",V131="COMPARABLE_READY"),O131*G131*H131+SUM(K131:N131),"")</f>
        <v/>
      </c>
      <c r="S131" s="4"/>
      <c r="T131" s="4"/>
      <c r="U131" s="6"/>
      <c r="V131" s="5" t="str">
        <f aca="false">IF(A131="","",IF(AND(COUNTIF(A$4:A$203,A131)=1,B131&lt;&gt;"",C131&lt;&gt;"",D131&lt;&gt;"",COUNTIF(05_Строки_КП!$A$4:$A$203,C131)=1,IFERROR(INDEX(05_Строки_КП!$C$4:$C$203,MATCH(C131,05_Строки_КП!$A$4:$A$203,0)),"")=D131,IFERROR(INDEX(05_Строки_КП!$O$4:$O$203,MATCH(C131,05_Строки_КП!$A$4:$A$203,0)),"")="READY",E131="COMPARABLE",F131&lt;&gt;"",COUNT(G131:H131)=2,G131&gt;0,H131&gt;0,I131&lt;&gt;"",J131&lt;&gt;"",COUNTIF(13_Источники!$A$4:$A$203,J131)=1,W131&lt;&gt;"",COUNTIF(13_Источники!$A$4:$A$203,W131)=1,COUNT(K131:N131)=4,ISNUMBER(O131),U131&lt;&gt;"",01_Основания!$B$8&lt;&gt;"",OR(01_Основания!$B$9="NET",01_Основания!$B$9="GROSS"),01_Основания!$B$10&lt;&gt;"",IF(AND(ISNUMBER(O131),ISNUMBER(G131),ISNUMBER(H131)),O131*G131*H131+SUM(K131:N131)&gt;=0,FALSE())),IF(S131="SELECTED",IF(AND(COUNTIFS(B$4:B$203,B131,S$4:S$203,"SELECTED")=1,T131&lt;&gt;""),"SELECTED_READY","SELECTION_ERROR"),"COMPARABLE_READY"),"INCOMPLETE / NOT_COMPARABLE"))</f>
        <v/>
      </c>
      <c r="W131" s="6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6"/>
      <c r="L132" s="6"/>
      <c r="M132" s="6"/>
      <c r="N132" s="6"/>
      <c r="O132" s="7" t="str">
        <f aca="false">IF(C132="","",IF(IFERROR(INDEX(05_Строки_КП!$O$4:$O$203,MATCH(C132,05_Строки_КП!$A$4:$A$203,0)),"")="READY",IFERROR(INDEX(05_Строки_КП!$H$4:$H$203,MATCH(C132,05_Строки_КП!$A$4:$A$203,0)),""),""))</f>
        <v/>
      </c>
      <c r="P132" s="5" t="str">
        <f aca="false">IF(C132="","",IF(IFERROR(INDEX(05_Строки_КП!$O$4:$O$203,MATCH(C132,05_Строки_КП!$A$4:$A$203,0)),"")="READY",IFERROR(INDEX(05_Строки_КП!$L$4:$L$203,MATCH(C132,05_Строки_КП!$A$4:$A$203,0)),""),""))</f>
        <v/>
      </c>
      <c r="Q132" s="5" t="str">
        <f aca="false">IF(C132="","",IF(IFERROR(INDEX(05_Строки_КП!$O$4:$O$203,MATCH(C132,05_Строки_КП!$A$4:$A$203,0)),"")="READY",IFERROR(INDEX(05_Строки_КП!$M$4:$M$203,MATCH(C132,05_Строки_КП!$A$4:$A$203,0)),""),""))</f>
        <v/>
      </c>
      <c r="R132" s="7" t="str">
        <f aca="false">IF(OR(V132="SELECTED_READY",V132="COMPARABLE_READY"),O132*G132*H132+SUM(K132:N132),"")</f>
        <v/>
      </c>
      <c r="S132" s="4"/>
      <c r="T132" s="4"/>
      <c r="U132" s="6"/>
      <c r="V132" s="5" t="str">
        <f aca="false">IF(A132="","",IF(AND(COUNTIF(A$4:A$203,A132)=1,B132&lt;&gt;"",C132&lt;&gt;"",D132&lt;&gt;"",COUNTIF(05_Строки_КП!$A$4:$A$203,C132)=1,IFERROR(INDEX(05_Строки_КП!$C$4:$C$203,MATCH(C132,05_Строки_КП!$A$4:$A$203,0)),"")=D132,IFERROR(INDEX(05_Строки_КП!$O$4:$O$203,MATCH(C132,05_Строки_КП!$A$4:$A$203,0)),"")="READY",E132="COMPARABLE",F132&lt;&gt;"",COUNT(G132:H132)=2,G132&gt;0,H132&gt;0,I132&lt;&gt;"",J132&lt;&gt;"",COUNTIF(13_Источники!$A$4:$A$203,J132)=1,W132&lt;&gt;"",COUNTIF(13_Источники!$A$4:$A$203,W132)=1,COUNT(K132:N132)=4,ISNUMBER(O132),U132&lt;&gt;"",01_Основания!$B$8&lt;&gt;"",OR(01_Основания!$B$9="NET",01_Основания!$B$9="GROSS"),01_Основания!$B$10&lt;&gt;"",IF(AND(ISNUMBER(O132),ISNUMBER(G132),ISNUMBER(H132)),O132*G132*H132+SUM(K132:N132)&gt;=0,FALSE())),IF(S132="SELECTED",IF(AND(COUNTIFS(B$4:B$203,B132,S$4:S$203,"SELECTED")=1,T132&lt;&gt;""),"SELECTED_READY","SELECTION_ERROR"),"COMPARABLE_READY"),"INCOMPLETE / NOT_COMPARABLE"))</f>
        <v/>
      </c>
      <c r="W132" s="6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6"/>
      <c r="L133" s="6"/>
      <c r="M133" s="6"/>
      <c r="N133" s="6"/>
      <c r="O133" s="7" t="str">
        <f aca="false">IF(C133="","",IF(IFERROR(INDEX(05_Строки_КП!$O$4:$O$203,MATCH(C133,05_Строки_КП!$A$4:$A$203,0)),"")="READY",IFERROR(INDEX(05_Строки_КП!$H$4:$H$203,MATCH(C133,05_Строки_КП!$A$4:$A$203,0)),""),""))</f>
        <v/>
      </c>
      <c r="P133" s="5" t="str">
        <f aca="false">IF(C133="","",IF(IFERROR(INDEX(05_Строки_КП!$O$4:$O$203,MATCH(C133,05_Строки_КП!$A$4:$A$203,0)),"")="READY",IFERROR(INDEX(05_Строки_КП!$L$4:$L$203,MATCH(C133,05_Строки_КП!$A$4:$A$203,0)),""),""))</f>
        <v/>
      </c>
      <c r="Q133" s="5" t="str">
        <f aca="false">IF(C133="","",IF(IFERROR(INDEX(05_Строки_КП!$O$4:$O$203,MATCH(C133,05_Строки_КП!$A$4:$A$203,0)),"")="READY",IFERROR(INDEX(05_Строки_КП!$M$4:$M$203,MATCH(C133,05_Строки_КП!$A$4:$A$203,0)),""),""))</f>
        <v/>
      </c>
      <c r="R133" s="7" t="str">
        <f aca="false">IF(OR(V133="SELECTED_READY",V133="COMPARABLE_READY"),O133*G133*H133+SUM(K133:N133),"")</f>
        <v/>
      </c>
      <c r="S133" s="4"/>
      <c r="T133" s="4"/>
      <c r="U133" s="6"/>
      <c r="V133" s="5" t="str">
        <f aca="false">IF(A133="","",IF(AND(COUNTIF(A$4:A$203,A133)=1,B133&lt;&gt;"",C133&lt;&gt;"",D133&lt;&gt;"",COUNTIF(05_Строки_КП!$A$4:$A$203,C133)=1,IFERROR(INDEX(05_Строки_КП!$C$4:$C$203,MATCH(C133,05_Строки_КП!$A$4:$A$203,0)),"")=D133,IFERROR(INDEX(05_Строки_КП!$O$4:$O$203,MATCH(C133,05_Строки_КП!$A$4:$A$203,0)),"")="READY",E133="COMPARABLE",F133&lt;&gt;"",COUNT(G133:H133)=2,G133&gt;0,H133&gt;0,I133&lt;&gt;"",J133&lt;&gt;"",COUNTIF(13_Источники!$A$4:$A$203,J133)=1,W133&lt;&gt;"",COUNTIF(13_Источники!$A$4:$A$203,W133)=1,COUNT(K133:N133)=4,ISNUMBER(O133),U133&lt;&gt;"",01_Основания!$B$8&lt;&gt;"",OR(01_Основания!$B$9="NET",01_Основания!$B$9="GROSS"),01_Основания!$B$10&lt;&gt;"",IF(AND(ISNUMBER(O133),ISNUMBER(G133),ISNUMBER(H133)),O133*G133*H133+SUM(K133:N133)&gt;=0,FALSE())),IF(S133="SELECTED",IF(AND(COUNTIFS(B$4:B$203,B133,S$4:S$203,"SELECTED")=1,T133&lt;&gt;""),"SELECTED_READY","SELECTION_ERROR"),"COMPARABLE_READY"),"INCOMPLETE / NOT_COMPARABLE"))</f>
        <v/>
      </c>
      <c r="W133" s="6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6"/>
      <c r="L134" s="6"/>
      <c r="M134" s="6"/>
      <c r="N134" s="6"/>
      <c r="O134" s="7" t="str">
        <f aca="false">IF(C134="","",IF(IFERROR(INDEX(05_Строки_КП!$O$4:$O$203,MATCH(C134,05_Строки_КП!$A$4:$A$203,0)),"")="READY",IFERROR(INDEX(05_Строки_КП!$H$4:$H$203,MATCH(C134,05_Строки_КП!$A$4:$A$203,0)),""),""))</f>
        <v/>
      </c>
      <c r="P134" s="5" t="str">
        <f aca="false">IF(C134="","",IF(IFERROR(INDEX(05_Строки_КП!$O$4:$O$203,MATCH(C134,05_Строки_КП!$A$4:$A$203,0)),"")="READY",IFERROR(INDEX(05_Строки_КП!$L$4:$L$203,MATCH(C134,05_Строки_КП!$A$4:$A$203,0)),""),""))</f>
        <v/>
      </c>
      <c r="Q134" s="5" t="str">
        <f aca="false">IF(C134="","",IF(IFERROR(INDEX(05_Строки_КП!$O$4:$O$203,MATCH(C134,05_Строки_КП!$A$4:$A$203,0)),"")="READY",IFERROR(INDEX(05_Строки_КП!$M$4:$M$203,MATCH(C134,05_Строки_КП!$A$4:$A$203,0)),""),""))</f>
        <v/>
      </c>
      <c r="R134" s="7" t="str">
        <f aca="false">IF(OR(V134="SELECTED_READY",V134="COMPARABLE_READY"),O134*G134*H134+SUM(K134:N134),"")</f>
        <v/>
      </c>
      <c r="S134" s="4"/>
      <c r="T134" s="4"/>
      <c r="U134" s="6"/>
      <c r="V134" s="5" t="str">
        <f aca="false">IF(A134="","",IF(AND(COUNTIF(A$4:A$203,A134)=1,B134&lt;&gt;"",C134&lt;&gt;"",D134&lt;&gt;"",COUNTIF(05_Строки_КП!$A$4:$A$203,C134)=1,IFERROR(INDEX(05_Строки_КП!$C$4:$C$203,MATCH(C134,05_Строки_КП!$A$4:$A$203,0)),"")=D134,IFERROR(INDEX(05_Строки_КП!$O$4:$O$203,MATCH(C134,05_Строки_КП!$A$4:$A$203,0)),"")="READY",E134="COMPARABLE",F134&lt;&gt;"",COUNT(G134:H134)=2,G134&gt;0,H134&gt;0,I134&lt;&gt;"",J134&lt;&gt;"",COUNTIF(13_Источники!$A$4:$A$203,J134)=1,W134&lt;&gt;"",COUNTIF(13_Источники!$A$4:$A$203,W134)=1,COUNT(K134:N134)=4,ISNUMBER(O134),U134&lt;&gt;"",01_Основания!$B$8&lt;&gt;"",OR(01_Основания!$B$9="NET",01_Основания!$B$9="GROSS"),01_Основания!$B$10&lt;&gt;"",IF(AND(ISNUMBER(O134),ISNUMBER(G134),ISNUMBER(H134)),O134*G134*H134+SUM(K134:N134)&gt;=0,FALSE())),IF(S134="SELECTED",IF(AND(COUNTIFS(B$4:B$203,B134,S$4:S$203,"SELECTED")=1,T134&lt;&gt;""),"SELECTED_READY","SELECTION_ERROR"),"COMPARABLE_READY"),"INCOMPLETE / NOT_COMPARABLE"))</f>
        <v/>
      </c>
      <c r="W134" s="6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6"/>
      <c r="L135" s="6"/>
      <c r="M135" s="6"/>
      <c r="N135" s="6"/>
      <c r="O135" s="7" t="str">
        <f aca="false">IF(C135="","",IF(IFERROR(INDEX(05_Строки_КП!$O$4:$O$203,MATCH(C135,05_Строки_КП!$A$4:$A$203,0)),"")="READY",IFERROR(INDEX(05_Строки_КП!$H$4:$H$203,MATCH(C135,05_Строки_КП!$A$4:$A$203,0)),""),""))</f>
        <v/>
      </c>
      <c r="P135" s="5" t="str">
        <f aca="false">IF(C135="","",IF(IFERROR(INDEX(05_Строки_КП!$O$4:$O$203,MATCH(C135,05_Строки_КП!$A$4:$A$203,0)),"")="READY",IFERROR(INDEX(05_Строки_КП!$L$4:$L$203,MATCH(C135,05_Строки_КП!$A$4:$A$203,0)),""),""))</f>
        <v/>
      </c>
      <c r="Q135" s="5" t="str">
        <f aca="false">IF(C135="","",IF(IFERROR(INDEX(05_Строки_КП!$O$4:$O$203,MATCH(C135,05_Строки_КП!$A$4:$A$203,0)),"")="READY",IFERROR(INDEX(05_Строки_КП!$M$4:$M$203,MATCH(C135,05_Строки_КП!$A$4:$A$203,0)),""),""))</f>
        <v/>
      </c>
      <c r="R135" s="7" t="str">
        <f aca="false">IF(OR(V135="SELECTED_READY",V135="COMPARABLE_READY"),O135*G135*H135+SUM(K135:N135),"")</f>
        <v/>
      </c>
      <c r="S135" s="4"/>
      <c r="T135" s="4"/>
      <c r="U135" s="6"/>
      <c r="V135" s="5" t="str">
        <f aca="false">IF(A135="","",IF(AND(COUNTIF(A$4:A$203,A135)=1,B135&lt;&gt;"",C135&lt;&gt;"",D135&lt;&gt;"",COUNTIF(05_Строки_КП!$A$4:$A$203,C135)=1,IFERROR(INDEX(05_Строки_КП!$C$4:$C$203,MATCH(C135,05_Строки_КП!$A$4:$A$203,0)),"")=D135,IFERROR(INDEX(05_Строки_КП!$O$4:$O$203,MATCH(C135,05_Строки_КП!$A$4:$A$203,0)),"")="READY",E135="COMPARABLE",F135&lt;&gt;"",COUNT(G135:H135)=2,G135&gt;0,H135&gt;0,I135&lt;&gt;"",J135&lt;&gt;"",COUNTIF(13_Источники!$A$4:$A$203,J135)=1,W135&lt;&gt;"",COUNTIF(13_Источники!$A$4:$A$203,W135)=1,COUNT(K135:N135)=4,ISNUMBER(O135),U135&lt;&gt;"",01_Основания!$B$8&lt;&gt;"",OR(01_Основания!$B$9="NET",01_Основания!$B$9="GROSS"),01_Основания!$B$10&lt;&gt;"",IF(AND(ISNUMBER(O135),ISNUMBER(G135),ISNUMBER(H135)),O135*G135*H135+SUM(K135:N135)&gt;=0,FALSE())),IF(S135="SELECTED",IF(AND(COUNTIFS(B$4:B$203,B135,S$4:S$203,"SELECTED")=1,T135&lt;&gt;""),"SELECTED_READY","SELECTION_ERROR"),"COMPARABLE_READY"),"INCOMPLETE / NOT_COMPARABLE"))</f>
        <v/>
      </c>
      <c r="W135" s="6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6"/>
      <c r="L136" s="6"/>
      <c r="M136" s="6"/>
      <c r="N136" s="6"/>
      <c r="O136" s="7" t="str">
        <f aca="false">IF(C136="","",IF(IFERROR(INDEX(05_Строки_КП!$O$4:$O$203,MATCH(C136,05_Строки_КП!$A$4:$A$203,0)),"")="READY",IFERROR(INDEX(05_Строки_КП!$H$4:$H$203,MATCH(C136,05_Строки_КП!$A$4:$A$203,0)),""),""))</f>
        <v/>
      </c>
      <c r="P136" s="5" t="str">
        <f aca="false">IF(C136="","",IF(IFERROR(INDEX(05_Строки_КП!$O$4:$O$203,MATCH(C136,05_Строки_КП!$A$4:$A$203,0)),"")="READY",IFERROR(INDEX(05_Строки_КП!$L$4:$L$203,MATCH(C136,05_Строки_КП!$A$4:$A$203,0)),""),""))</f>
        <v/>
      </c>
      <c r="Q136" s="5" t="str">
        <f aca="false">IF(C136="","",IF(IFERROR(INDEX(05_Строки_КП!$O$4:$O$203,MATCH(C136,05_Строки_КП!$A$4:$A$203,0)),"")="READY",IFERROR(INDEX(05_Строки_КП!$M$4:$M$203,MATCH(C136,05_Строки_КП!$A$4:$A$203,0)),""),""))</f>
        <v/>
      </c>
      <c r="R136" s="7" t="str">
        <f aca="false">IF(OR(V136="SELECTED_READY",V136="COMPARABLE_READY"),O136*G136*H136+SUM(K136:N136),"")</f>
        <v/>
      </c>
      <c r="S136" s="4"/>
      <c r="T136" s="4"/>
      <c r="U136" s="6"/>
      <c r="V136" s="5" t="str">
        <f aca="false">IF(A136="","",IF(AND(COUNTIF(A$4:A$203,A136)=1,B136&lt;&gt;"",C136&lt;&gt;"",D136&lt;&gt;"",COUNTIF(05_Строки_КП!$A$4:$A$203,C136)=1,IFERROR(INDEX(05_Строки_КП!$C$4:$C$203,MATCH(C136,05_Строки_КП!$A$4:$A$203,0)),"")=D136,IFERROR(INDEX(05_Строки_КП!$O$4:$O$203,MATCH(C136,05_Строки_КП!$A$4:$A$203,0)),"")="READY",E136="COMPARABLE",F136&lt;&gt;"",COUNT(G136:H136)=2,G136&gt;0,H136&gt;0,I136&lt;&gt;"",J136&lt;&gt;"",COUNTIF(13_Источники!$A$4:$A$203,J136)=1,W136&lt;&gt;"",COUNTIF(13_Источники!$A$4:$A$203,W136)=1,COUNT(K136:N136)=4,ISNUMBER(O136),U136&lt;&gt;"",01_Основания!$B$8&lt;&gt;"",OR(01_Основания!$B$9="NET",01_Основания!$B$9="GROSS"),01_Основания!$B$10&lt;&gt;"",IF(AND(ISNUMBER(O136),ISNUMBER(G136),ISNUMBER(H136)),O136*G136*H136+SUM(K136:N136)&gt;=0,FALSE())),IF(S136="SELECTED",IF(AND(COUNTIFS(B$4:B$203,B136,S$4:S$203,"SELECTED")=1,T136&lt;&gt;""),"SELECTED_READY","SELECTION_ERROR"),"COMPARABLE_READY"),"INCOMPLETE / NOT_COMPARABLE"))</f>
        <v/>
      </c>
      <c r="W136" s="6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6"/>
      <c r="L137" s="6"/>
      <c r="M137" s="6"/>
      <c r="N137" s="6"/>
      <c r="O137" s="7" t="str">
        <f aca="false">IF(C137="","",IF(IFERROR(INDEX(05_Строки_КП!$O$4:$O$203,MATCH(C137,05_Строки_КП!$A$4:$A$203,0)),"")="READY",IFERROR(INDEX(05_Строки_КП!$H$4:$H$203,MATCH(C137,05_Строки_КП!$A$4:$A$203,0)),""),""))</f>
        <v/>
      </c>
      <c r="P137" s="5" t="str">
        <f aca="false">IF(C137="","",IF(IFERROR(INDEX(05_Строки_КП!$O$4:$O$203,MATCH(C137,05_Строки_КП!$A$4:$A$203,0)),"")="READY",IFERROR(INDEX(05_Строки_КП!$L$4:$L$203,MATCH(C137,05_Строки_КП!$A$4:$A$203,0)),""),""))</f>
        <v/>
      </c>
      <c r="Q137" s="5" t="str">
        <f aca="false">IF(C137="","",IF(IFERROR(INDEX(05_Строки_КП!$O$4:$O$203,MATCH(C137,05_Строки_КП!$A$4:$A$203,0)),"")="READY",IFERROR(INDEX(05_Строки_КП!$M$4:$M$203,MATCH(C137,05_Строки_КП!$A$4:$A$203,0)),""),""))</f>
        <v/>
      </c>
      <c r="R137" s="7" t="str">
        <f aca="false">IF(OR(V137="SELECTED_READY",V137="COMPARABLE_READY"),O137*G137*H137+SUM(K137:N137),"")</f>
        <v/>
      </c>
      <c r="S137" s="4"/>
      <c r="T137" s="4"/>
      <c r="U137" s="6"/>
      <c r="V137" s="5" t="str">
        <f aca="false">IF(A137="","",IF(AND(COUNTIF(A$4:A$203,A137)=1,B137&lt;&gt;"",C137&lt;&gt;"",D137&lt;&gt;"",COUNTIF(05_Строки_КП!$A$4:$A$203,C137)=1,IFERROR(INDEX(05_Строки_КП!$C$4:$C$203,MATCH(C137,05_Строки_КП!$A$4:$A$203,0)),"")=D137,IFERROR(INDEX(05_Строки_КП!$O$4:$O$203,MATCH(C137,05_Строки_КП!$A$4:$A$203,0)),"")="READY",E137="COMPARABLE",F137&lt;&gt;"",COUNT(G137:H137)=2,G137&gt;0,H137&gt;0,I137&lt;&gt;"",J137&lt;&gt;"",COUNTIF(13_Источники!$A$4:$A$203,J137)=1,W137&lt;&gt;"",COUNTIF(13_Источники!$A$4:$A$203,W137)=1,COUNT(K137:N137)=4,ISNUMBER(O137),U137&lt;&gt;"",01_Основания!$B$8&lt;&gt;"",OR(01_Основания!$B$9="NET",01_Основания!$B$9="GROSS"),01_Основания!$B$10&lt;&gt;"",IF(AND(ISNUMBER(O137),ISNUMBER(G137),ISNUMBER(H137)),O137*G137*H137+SUM(K137:N137)&gt;=0,FALSE())),IF(S137="SELECTED",IF(AND(COUNTIFS(B$4:B$203,B137,S$4:S$203,"SELECTED")=1,T137&lt;&gt;""),"SELECTED_READY","SELECTION_ERROR"),"COMPARABLE_READY"),"INCOMPLETE / NOT_COMPARABLE"))</f>
        <v/>
      </c>
      <c r="W137" s="6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6"/>
      <c r="L138" s="6"/>
      <c r="M138" s="6"/>
      <c r="N138" s="6"/>
      <c r="O138" s="7" t="str">
        <f aca="false">IF(C138="","",IF(IFERROR(INDEX(05_Строки_КП!$O$4:$O$203,MATCH(C138,05_Строки_КП!$A$4:$A$203,0)),"")="READY",IFERROR(INDEX(05_Строки_КП!$H$4:$H$203,MATCH(C138,05_Строки_КП!$A$4:$A$203,0)),""),""))</f>
        <v/>
      </c>
      <c r="P138" s="5" t="str">
        <f aca="false">IF(C138="","",IF(IFERROR(INDEX(05_Строки_КП!$O$4:$O$203,MATCH(C138,05_Строки_КП!$A$4:$A$203,0)),"")="READY",IFERROR(INDEX(05_Строки_КП!$L$4:$L$203,MATCH(C138,05_Строки_КП!$A$4:$A$203,0)),""),""))</f>
        <v/>
      </c>
      <c r="Q138" s="5" t="str">
        <f aca="false">IF(C138="","",IF(IFERROR(INDEX(05_Строки_КП!$O$4:$O$203,MATCH(C138,05_Строки_КП!$A$4:$A$203,0)),"")="READY",IFERROR(INDEX(05_Строки_КП!$M$4:$M$203,MATCH(C138,05_Строки_КП!$A$4:$A$203,0)),""),""))</f>
        <v/>
      </c>
      <c r="R138" s="7" t="str">
        <f aca="false">IF(OR(V138="SELECTED_READY",V138="COMPARABLE_READY"),O138*G138*H138+SUM(K138:N138),"")</f>
        <v/>
      </c>
      <c r="S138" s="4"/>
      <c r="T138" s="4"/>
      <c r="U138" s="6"/>
      <c r="V138" s="5" t="str">
        <f aca="false">IF(A138="","",IF(AND(COUNTIF(A$4:A$203,A138)=1,B138&lt;&gt;"",C138&lt;&gt;"",D138&lt;&gt;"",COUNTIF(05_Строки_КП!$A$4:$A$203,C138)=1,IFERROR(INDEX(05_Строки_КП!$C$4:$C$203,MATCH(C138,05_Строки_КП!$A$4:$A$203,0)),"")=D138,IFERROR(INDEX(05_Строки_КП!$O$4:$O$203,MATCH(C138,05_Строки_КП!$A$4:$A$203,0)),"")="READY",E138="COMPARABLE",F138&lt;&gt;"",COUNT(G138:H138)=2,G138&gt;0,H138&gt;0,I138&lt;&gt;"",J138&lt;&gt;"",COUNTIF(13_Источники!$A$4:$A$203,J138)=1,W138&lt;&gt;"",COUNTIF(13_Источники!$A$4:$A$203,W138)=1,COUNT(K138:N138)=4,ISNUMBER(O138),U138&lt;&gt;"",01_Основания!$B$8&lt;&gt;"",OR(01_Основания!$B$9="NET",01_Основания!$B$9="GROSS"),01_Основания!$B$10&lt;&gt;"",IF(AND(ISNUMBER(O138),ISNUMBER(G138),ISNUMBER(H138)),O138*G138*H138+SUM(K138:N138)&gt;=0,FALSE())),IF(S138="SELECTED",IF(AND(COUNTIFS(B$4:B$203,B138,S$4:S$203,"SELECTED")=1,T138&lt;&gt;""),"SELECTED_READY","SELECTION_ERROR"),"COMPARABLE_READY"),"INCOMPLETE / NOT_COMPARABLE"))</f>
        <v/>
      </c>
      <c r="W138" s="6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6"/>
      <c r="L139" s="6"/>
      <c r="M139" s="6"/>
      <c r="N139" s="6"/>
      <c r="O139" s="7" t="str">
        <f aca="false">IF(C139="","",IF(IFERROR(INDEX(05_Строки_КП!$O$4:$O$203,MATCH(C139,05_Строки_КП!$A$4:$A$203,0)),"")="READY",IFERROR(INDEX(05_Строки_КП!$H$4:$H$203,MATCH(C139,05_Строки_КП!$A$4:$A$203,0)),""),""))</f>
        <v/>
      </c>
      <c r="P139" s="5" t="str">
        <f aca="false">IF(C139="","",IF(IFERROR(INDEX(05_Строки_КП!$O$4:$O$203,MATCH(C139,05_Строки_КП!$A$4:$A$203,0)),"")="READY",IFERROR(INDEX(05_Строки_КП!$L$4:$L$203,MATCH(C139,05_Строки_КП!$A$4:$A$203,0)),""),""))</f>
        <v/>
      </c>
      <c r="Q139" s="5" t="str">
        <f aca="false">IF(C139="","",IF(IFERROR(INDEX(05_Строки_КП!$O$4:$O$203,MATCH(C139,05_Строки_КП!$A$4:$A$203,0)),"")="READY",IFERROR(INDEX(05_Строки_КП!$M$4:$M$203,MATCH(C139,05_Строки_КП!$A$4:$A$203,0)),""),""))</f>
        <v/>
      </c>
      <c r="R139" s="7" t="str">
        <f aca="false">IF(OR(V139="SELECTED_READY",V139="COMPARABLE_READY"),O139*G139*H139+SUM(K139:N139),"")</f>
        <v/>
      </c>
      <c r="S139" s="4"/>
      <c r="T139" s="4"/>
      <c r="U139" s="6"/>
      <c r="V139" s="5" t="str">
        <f aca="false">IF(A139="","",IF(AND(COUNTIF(A$4:A$203,A139)=1,B139&lt;&gt;"",C139&lt;&gt;"",D139&lt;&gt;"",COUNTIF(05_Строки_КП!$A$4:$A$203,C139)=1,IFERROR(INDEX(05_Строки_КП!$C$4:$C$203,MATCH(C139,05_Строки_КП!$A$4:$A$203,0)),"")=D139,IFERROR(INDEX(05_Строки_КП!$O$4:$O$203,MATCH(C139,05_Строки_КП!$A$4:$A$203,0)),"")="READY",E139="COMPARABLE",F139&lt;&gt;"",COUNT(G139:H139)=2,G139&gt;0,H139&gt;0,I139&lt;&gt;"",J139&lt;&gt;"",COUNTIF(13_Источники!$A$4:$A$203,J139)=1,W139&lt;&gt;"",COUNTIF(13_Источники!$A$4:$A$203,W139)=1,COUNT(K139:N139)=4,ISNUMBER(O139),U139&lt;&gt;"",01_Основания!$B$8&lt;&gt;"",OR(01_Основания!$B$9="NET",01_Основания!$B$9="GROSS"),01_Основания!$B$10&lt;&gt;"",IF(AND(ISNUMBER(O139),ISNUMBER(G139),ISNUMBER(H139)),O139*G139*H139+SUM(K139:N139)&gt;=0,FALSE())),IF(S139="SELECTED",IF(AND(COUNTIFS(B$4:B$203,B139,S$4:S$203,"SELECTED")=1,T139&lt;&gt;""),"SELECTED_READY","SELECTION_ERROR"),"COMPARABLE_READY"),"INCOMPLETE / NOT_COMPARABLE"))</f>
        <v/>
      </c>
      <c r="W139" s="6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6"/>
      <c r="L140" s="6"/>
      <c r="M140" s="6"/>
      <c r="N140" s="6"/>
      <c r="O140" s="7" t="str">
        <f aca="false">IF(C140="","",IF(IFERROR(INDEX(05_Строки_КП!$O$4:$O$203,MATCH(C140,05_Строки_КП!$A$4:$A$203,0)),"")="READY",IFERROR(INDEX(05_Строки_КП!$H$4:$H$203,MATCH(C140,05_Строки_КП!$A$4:$A$203,0)),""),""))</f>
        <v/>
      </c>
      <c r="P140" s="5" t="str">
        <f aca="false">IF(C140="","",IF(IFERROR(INDEX(05_Строки_КП!$O$4:$O$203,MATCH(C140,05_Строки_КП!$A$4:$A$203,0)),"")="READY",IFERROR(INDEX(05_Строки_КП!$L$4:$L$203,MATCH(C140,05_Строки_КП!$A$4:$A$203,0)),""),""))</f>
        <v/>
      </c>
      <c r="Q140" s="5" t="str">
        <f aca="false">IF(C140="","",IF(IFERROR(INDEX(05_Строки_КП!$O$4:$O$203,MATCH(C140,05_Строки_КП!$A$4:$A$203,0)),"")="READY",IFERROR(INDEX(05_Строки_КП!$M$4:$M$203,MATCH(C140,05_Строки_КП!$A$4:$A$203,0)),""),""))</f>
        <v/>
      </c>
      <c r="R140" s="7" t="str">
        <f aca="false">IF(OR(V140="SELECTED_READY",V140="COMPARABLE_READY"),O140*G140*H140+SUM(K140:N140),"")</f>
        <v/>
      </c>
      <c r="S140" s="4"/>
      <c r="T140" s="4"/>
      <c r="U140" s="6"/>
      <c r="V140" s="5" t="str">
        <f aca="false">IF(A140="","",IF(AND(COUNTIF(A$4:A$203,A140)=1,B140&lt;&gt;"",C140&lt;&gt;"",D140&lt;&gt;"",COUNTIF(05_Строки_КП!$A$4:$A$203,C140)=1,IFERROR(INDEX(05_Строки_КП!$C$4:$C$203,MATCH(C140,05_Строки_КП!$A$4:$A$203,0)),"")=D140,IFERROR(INDEX(05_Строки_КП!$O$4:$O$203,MATCH(C140,05_Строки_КП!$A$4:$A$203,0)),"")="READY",E140="COMPARABLE",F140&lt;&gt;"",COUNT(G140:H140)=2,G140&gt;0,H140&gt;0,I140&lt;&gt;"",J140&lt;&gt;"",COUNTIF(13_Источники!$A$4:$A$203,J140)=1,W140&lt;&gt;"",COUNTIF(13_Источники!$A$4:$A$203,W140)=1,COUNT(K140:N140)=4,ISNUMBER(O140),U140&lt;&gt;"",01_Основания!$B$8&lt;&gt;"",OR(01_Основания!$B$9="NET",01_Основания!$B$9="GROSS"),01_Основания!$B$10&lt;&gt;"",IF(AND(ISNUMBER(O140),ISNUMBER(G140),ISNUMBER(H140)),O140*G140*H140+SUM(K140:N140)&gt;=0,FALSE())),IF(S140="SELECTED",IF(AND(COUNTIFS(B$4:B$203,B140,S$4:S$203,"SELECTED")=1,T140&lt;&gt;""),"SELECTED_READY","SELECTION_ERROR"),"COMPARABLE_READY"),"INCOMPLETE / NOT_COMPARABLE"))</f>
        <v/>
      </c>
      <c r="W140" s="6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6"/>
      <c r="L141" s="6"/>
      <c r="M141" s="6"/>
      <c r="N141" s="6"/>
      <c r="O141" s="7" t="str">
        <f aca="false">IF(C141="","",IF(IFERROR(INDEX(05_Строки_КП!$O$4:$O$203,MATCH(C141,05_Строки_КП!$A$4:$A$203,0)),"")="READY",IFERROR(INDEX(05_Строки_КП!$H$4:$H$203,MATCH(C141,05_Строки_КП!$A$4:$A$203,0)),""),""))</f>
        <v/>
      </c>
      <c r="P141" s="5" t="str">
        <f aca="false">IF(C141="","",IF(IFERROR(INDEX(05_Строки_КП!$O$4:$O$203,MATCH(C141,05_Строки_КП!$A$4:$A$203,0)),"")="READY",IFERROR(INDEX(05_Строки_КП!$L$4:$L$203,MATCH(C141,05_Строки_КП!$A$4:$A$203,0)),""),""))</f>
        <v/>
      </c>
      <c r="Q141" s="5" t="str">
        <f aca="false">IF(C141="","",IF(IFERROR(INDEX(05_Строки_КП!$O$4:$O$203,MATCH(C141,05_Строки_КП!$A$4:$A$203,0)),"")="READY",IFERROR(INDEX(05_Строки_КП!$M$4:$M$203,MATCH(C141,05_Строки_КП!$A$4:$A$203,0)),""),""))</f>
        <v/>
      </c>
      <c r="R141" s="7" t="str">
        <f aca="false">IF(OR(V141="SELECTED_READY",V141="COMPARABLE_READY"),O141*G141*H141+SUM(K141:N141),"")</f>
        <v/>
      </c>
      <c r="S141" s="4"/>
      <c r="T141" s="4"/>
      <c r="U141" s="6"/>
      <c r="V141" s="5" t="str">
        <f aca="false">IF(A141="","",IF(AND(COUNTIF(A$4:A$203,A141)=1,B141&lt;&gt;"",C141&lt;&gt;"",D141&lt;&gt;"",COUNTIF(05_Строки_КП!$A$4:$A$203,C141)=1,IFERROR(INDEX(05_Строки_КП!$C$4:$C$203,MATCH(C141,05_Строки_КП!$A$4:$A$203,0)),"")=D141,IFERROR(INDEX(05_Строки_КП!$O$4:$O$203,MATCH(C141,05_Строки_КП!$A$4:$A$203,0)),"")="READY",E141="COMPARABLE",F141&lt;&gt;"",COUNT(G141:H141)=2,G141&gt;0,H141&gt;0,I141&lt;&gt;"",J141&lt;&gt;"",COUNTIF(13_Источники!$A$4:$A$203,J141)=1,W141&lt;&gt;"",COUNTIF(13_Источники!$A$4:$A$203,W141)=1,COUNT(K141:N141)=4,ISNUMBER(O141),U141&lt;&gt;"",01_Основания!$B$8&lt;&gt;"",OR(01_Основания!$B$9="NET",01_Основания!$B$9="GROSS"),01_Основания!$B$10&lt;&gt;"",IF(AND(ISNUMBER(O141),ISNUMBER(G141),ISNUMBER(H141)),O141*G141*H141+SUM(K141:N141)&gt;=0,FALSE())),IF(S141="SELECTED",IF(AND(COUNTIFS(B$4:B$203,B141,S$4:S$203,"SELECTED")=1,T141&lt;&gt;""),"SELECTED_READY","SELECTION_ERROR"),"COMPARABLE_READY"),"INCOMPLETE / NOT_COMPARABLE"))</f>
        <v/>
      </c>
      <c r="W141" s="6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6"/>
      <c r="L142" s="6"/>
      <c r="M142" s="6"/>
      <c r="N142" s="6"/>
      <c r="O142" s="7" t="str">
        <f aca="false">IF(C142="","",IF(IFERROR(INDEX(05_Строки_КП!$O$4:$O$203,MATCH(C142,05_Строки_КП!$A$4:$A$203,0)),"")="READY",IFERROR(INDEX(05_Строки_КП!$H$4:$H$203,MATCH(C142,05_Строки_КП!$A$4:$A$203,0)),""),""))</f>
        <v/>
      </c>
      <c r="P142" s="5" t="str">
        <f aca="false">IF(C142="","",IF(IFERROR(INDEX(05_Строки_КП!$O$4:$O$203,MATCH(C142,05_Строки_КП!$A$4:$A$203,0)),"")="READY",IFERROR(INDEX(05_Строки_КП!$L$4:$L$203,MATCH(C142,05_Строки_КП!$A$4:$A$203,0)),""),""))</f>
        <v/>
      </c>
      <c r="Q142" s="5" t="str">
        <f aca="false">IF(C142="","",IF(IFERROR(INDEX(05_Строки_КП!$O$4:$O$203,MATCH(C142,05_Строки_КП!$A$4:$A$203,0)),"")="READY",IFERROR(INDEX(05_Строки_КП!$M$4:$M$203,MATCH(C142,05_Строки_КП!$A$4:$A$203,0)),""),""))</f>
        <v/>
      </c>
      <c r="R142" s="7" t="str">
        <f aca="false">IF(OR(V142="SELECTED_READY",V142="COMPARABLE_READY"),O142*G142*H142+SUM(K142:N142),"")</f>
        <v/>
      </c>
      <c r="S142" s="4"/>
      <c r="T142" s="4"/>
      <c r="U142" s="6"/>
      <c r="V142" s="5" t="str">
        <f aca="false">IF(A142="","",IF(AND(COUNTIF(A$4:A$203,A142)=1,B142&lt;&gt;"",C142&lt;&gt;"",D142&lt;&gt;"",COUNTIF(05_Строки_КП!$A$4:$A$203,C142)=1,IFERROR(INDEX(05_Строки_КП!$C$4:$C$203,MATCH(C142,05_Строки_КП!$A$4:$A$203,0)),"")=D142,IFERROR(INDEX(05_Строки_КП!$O$4:$O$203,MATCH(C142,05_Строки_КП!$A$4:$A$203,0)),"")="READY",E142="COMPARABLE",F142&lt;&gt;"",COUNT(G142:H142)=2,G142&gt;0,H142&gt;0,I142&lt;&gt;"",J142&lt;&gt;"",COUNTIF(13_Источники!$A$4:$A$203,J142)=1,W142&lt;&gt;"",COUNTIF(13_Источники!$A$4:$A$203,W142)=1,COUNT(K142:N142)=4,ISNUMBER(O142),U142&lt;&gt;"",01_Основания!$B$8&lt;&gt;"",OR(01_Основания!$B$9="NET",01_Основания!$B$9="GROSS"),01_Основания!$B$10&lt;&gt;"",IF(AND(ISNUMBER(O142),ISNUMBER(G142),ISNUMBER(H142)),O142*G142*H142+SUM(K142:N142)&gt;=0,FALSE())),IF(S142="SELECTED",IF(AND(COUNTIFS(B$4:B$203,B142,S$4:S$203,"SELECTED")=1,T142&lt;&gt;""),"SELECTED_READY","SELECTION_ERROR"),"COMPARABLE_READY"),"INCOMPLETE / NOT_COMPARABLE"))</f>
        <v/>
      </c>
      <c r="W142" s="6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6"/>
      <c r="L143" s="6"/>
      <c r="M143" s="6"/>
      <c r="N143" s="6"/>
      <c r="O143" s="7" t="str">
        <f aca="false">IF(C143="","",IF(IFERROR(INDEX(05_Строки_КП!$O$4:$O$203,MATCH(C143,05_Строки_КП!$A$4:$A$203,0)),"")="READY",IFERROR(INDEX(05_Строки_КП!$H$4:$H$203,MATCH(C143,05_Строки_КП!$A$4:$A$203,0)),""),""))</f>
        <v/>
      </c>
      <c r="P143" s="5" t="str">
        <f aca="false">IF(C143="","",IF(IFERROR(INDEX(05_Строки_КП!$O$4:$O$203,MATCH(C143,05_Строки_КП!$A$4:$A$203,0)),"")="READY",IFERROR(INDEX(05_Строки_КП!$L$4:$L$203,MATCH(C143,05_Строки_КП!$A$4:$A$203,0)),""),""))</f>
        <v/>
      </c>
      <c r="Q143" s="5" t="str">
        <f aca="false">IF(C143="","",IF(IFERROR(INDEX(05_Строки_КП!$O$4:$O$203,MATCH(C143,05_Строки_КП!$A$4:$A$203,0)),"")="READY",IFERROR(INDEX(05_Строки_КП!$M$4:$M$203,MATCH(C143,05_Строки_КП!$A$4:$A$203,0)),""),""))</f>
        <v/>
      </c>
      <c r="R143" s="7" t="str">
        <f aca="false">IF(OR(V143="SELECTED_READY",V143="COMPARABLE_READY"),O143*G143*H143+SUM(K143:N143),"")</f>
        <v/>
      </c>
      <c r="S143" s="4"/>
      <c r="T143" s="4"/>
      <c r="U143" s="6"/>
      <c r="V143" s="5" t="str">
        <f aca="false">IF(A143="","",IF(AND(COUNTIF(A$4:A$203,A143)=1,B143&lt;&gt;"",C143&lt;&gt;"",D143&lt;&gt;"",COUNTIF(05_Строки_КП!$A$4:$A$203,C143)=1,IFERROR(INDEX(05_Строки_КП!$C$4:$C$203,MATCH(C143,05_Строки_КП!$A$4:$A$203,0)),"")=D143,IFERROR(INDEX(05_Строки_КП!$O$4:$O$203,MATCH(C143,05_Строки_КП!$A$4:$A$203,0)),"")="READY",E143="COMPARABLE",F143&lt;&gt;"",COUNT(G143:H143)=2,G143&gt;0,H143&gt;0,I143&lt;&gt;"",J143&lt;&gt;"",COUNTIF(13_Источники!$A$4:$A$203,J143)=1,W143&lt;&gt;"",COUNTIF(13_Источники!$A$4:$A$203,W143)=1,COUNT(K143:N143)=4,ISNUMBER(O143),U143&lt;&gt;"",01_Основания!$B$8&lt;&gt;"",OR(01_Основания!$B$9="NET",01_Основания!$B$9="GROSS"),01_Основания!$B$10&lt;&gt;"",IF(AND(ISNUMBER(O143),ISNUMBER(G143),ISNUMBER(H143)),O143*G143*H143+SUM(K143:N143)&gt;=0,FALSE())),IF(S143="SELECTED",IF(AND(COUNTIFS(B$4:B$203,B143,S$4:S$203,"SELECTED")=1,T143&lt;&gt;""),"SELECTED_READY","SELECTION_ERROR"),"COMPARABLE_READY"),"INCOMPLETE / NOT_COMPARABLE"))</f>
        <v/>
      </c>
      <c r="W143" s="6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6"/>
      <c r="L144" s="6"/>
      <c r="M144" s="6"/>
      <c r="N144" s="6"/>
      <c r="O144" s="7" t="str">
        <f aca="false">IF(C144="","",IF(IFERROR(INDEX(05_Строки_КП!$O$4:$O$203,MATCH(C144,05_Строки_КП!$A$4:$A$203,0)),"")="READY",IFERROR(INDEX(05_Строки_КП!$H$4:$H$203,MATCH(C144,05_Строки_КП!$A$4:$A$203,0)),""),""))</f>
        <v/>
      </c>
      <c r="P144" s="5" t="str">
        <f aca="false">IF(C144="","",IF(IFERROR(INDEX(05_Строки_КП!$O$4:$O$203,MATCH(C144,05_Строки_КП!$A$4:$A$203,0)),"")="READY",IFERROR(INDEX(05_Строки_КП!$L$4:$L$203,MATCH(C144,05_Строки_КП!$A$4:$A$203,0)),""),""))</f>
        <v/>
      </c>
      <c r="Q144" s="5" t="str">
        <f aca="false">IF(C144="","",IF(IFERROR(INDEX(05_Строки_КП!$O$4:$O$203,MATCH(C144,05_Строки_КП!$A$4:$A$203,0)),"")="READY",IFERROR(INDEX(05_Строки_КП!$M$4:$M$203,MATCH(C144,05_Строки_КП!$A$4:$A$203,0)),""),""))</f>
        <v/>
      </c>
      <c r="R144" s="7" t="str">
        <f aca="false">IF(OR(V144="SELECTED_READY",V144="COMPARABLE_READY"),O144*G144*H144+SUM(K144:N144),"")</f>
        <v/>
      </c>
      <c r="S144" s="4"/>
      <c r="T144" s="4"/>
      <c r="U144" s="6"/>
      <c r="V144" s="5" t="str">
        <f aca="false">IF(A144="","",IF(AND(COUNTIF(A$4:A$203,A144)=1,B144&lt;&gt;"",C144&lt;&gt;"",D144&lt;&gt;"",COUNTIF(05_Строки_КП!$A$4:$A$203,C144)=1,IFERROR(INDEX(05_Строки_КП!$C$4:$C$203,MATCH(C144,05_Строки_КП!$A$4:$A$203,0)),"")=D144,IFERROR(INDEX(05_Строки_КП!$O$4:$O$203,MATCH(C144,05_Строки_КП!$A$4:$A$203,0)),"")="READY",E144="COMPARABLE",F144&lt;&gt;"",COUNT(G144:H144)=2,G144&gt;0,H144&gt;0,I144&lt;&gt;"",J144&lt;&gt;"",COUNTIF(13_Источники!$A$4:$A$203,J144)=1,W144&lt;&gt;"",COUNTIF(13_Источники!$A$4:$A$203,W144)=1,COUNT(K144:N144)=4,ISNUMBER(O144),U144&lt;&gt;"",01_Основания!$B$8&lt;&gt;"",OR(01_Основания!$B$9="NET",01_Основания!$B$9="GROSS"),01_Основания!$B$10&lt;&gt;"",IF(AND(ISNUMBER(O144),ISNUMBER(G144),ISNUMBER(H144)),O144*G144*H144+SUM(K144:N144)&gt;=0,FALSE())),IF(S144="SELECTED",IF(AND(COUNTIFS(B$4:B$203,B144,S$4:S$203,"SELECTED")=1,T144&lt;&gt;""),"SELECTED_READY","SELECTION_ERROR"),"COMPARABLE_READY"),"INCOMPLETE / NOT_COMPARABLE"))</f>
        <v/>
      </c>
      <c r="W144" s="6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6"/>
      <c r="L145" s="6"/>
      <c r="M145" s="6"/>
      <c r="N145" s="6"/>
      <c r="O145" s="7" t="str">
        <f aca="false">IF(C145="","",IF(IFERROR(INDEX(05_Строки_КП!$O$4:$O$203,MATCH(C145,05_Строки_КП!$A$4:$A$203,0)),"")="READY",IFERROR(INDEX(05_Строки_КП!$H$4:$H$203,MATCH(C145,05_Строки_КП!$A$4:$A$203,0)),""),""))</f>
        <v/>
      </c>
      <c r="P145" s="5" t="str">
        <f aca="false">IF(C145="","",IF(IFERROR(INDEX(05_Строки_КП!$O$4:$O$203,MATCH(C145,05_Строки_КП!$A$4:$A$203,0)),"")="READY",IFERROR(INDEX(05_Строки_КП!$L$4:$L$203,MATCH(C145,05_Строки_КП!$A$4:$A$203,0)),""),""))</f>
        <v/>
      </c>
      <c r="Q145" s="5" t="str">
        <f aca="false">IF(C145="","",IF(IFERROR(INDEX(05_Строки_КП!$O$4:$O$203,MATCH(C145,05_Строки_КП!$A$4:$A$203,0)),"")="READY",IFERROR(INDEX(05_Строки_КП!$M$4:$M$203,MATCH(C145,05_Строки_КП!$A$4:$A$203,0)),""),""))</f>
        <v/>
      </c>
      <c r="R145" s="7" t="str">
        <f aca="false">IF(OR(V145="SELECTED_READY",V145="COMPARABLE_READY"),O145*G145*H145+SUM(K145:N145),"")</f>
        <v/>
      </c>
      <c r="S145" s="4"/>
      <c r="T145" s="4"/>
      <c r="U145" s="6"/>
      <c r="V145" s="5" t="str">
        <f aca="false">IF(A145="","",IF(AND(COUNTIF(A$4:A$203,A145)=1,B145&lt;&gt;"",C145&lt;&gt;"",D145&lt;&gt;"",COUNTIF(05_Строки_КП!$A$4:$A$203,C145)=1,IFERROR(INDEX(05_Строки_КП!$C$4:$C$203,MATCH(C145,05_Строки_КП!$A$4:$A$203,0)),"")=D145,IFERROR(INDEX(05_Строки_КП!$O$4:$O$203,MATCH(C145,05_Строки_КП!$A$4:$A$203,0)),"")="READY",E145="COMPARABLE",F145&lt;&gt;"",COUNT(G145:H145)=2,G145&gt;0,H145&gt;0,I145&lt;&gt;"",J145&lt;&gt;"",COUNTIF(13_Источники!$A$4:$A$203,J145)=1,W145&lt;&gt;"",COUNTIF(13_Источники!$A$4:$A$203,W145)=1,COUNT(K145:N145)=4,ISNUMBER(O145),U145&lt;&gt;"",01_Основания!$B$8&lt;&gt;"",OR(01_Основания!$B$9="NET",01_Основания!$B$9="GROSS"),01_Основания!$B$10&lt;&gt;"",IF(AND(ISNUMBER(O145),ISNUMBER(G145),ISNUMBER(H145)),O145*G145*H145+SUM(K145:N145)&gt;=0,FALSE())),IF(S145="SELECTED",IF(AND(COUNTIFS(B$4:B$203,B145,S$4:S$203,"SELECTED")=1,T145&lt;&gt;""),"SELECTED_READY","SELECTION_ERROR"),"COMPARABLE_READY"),"INCOMPLETE / NOT_COMPARABLE"))</f>
        <v/>
      </c>
      <c r="W145" s="6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6"/>
      <c r="L146" s="6"/>
      <c r="M146" s="6"/>
      <c r="N146" s="6"/>
      <c r="O146" s="7" t="str">
        <f aca="false">IF(C146="","",IF(IFERROR(INDEX(05_Строки_КП!$O$4:$O$203,MATCH(C146,05_Строки_КП!$A$4:$A$203,0)),"")="READY",IFERROR(INDEX(05_Строки_КП!$H$4:$H$203,MATCH(C146,05_Строки_КП!$A$4:$A$203,0)),""),""))</f>
        <v/>
      </c>
      <c r="P146" s="5" t="str">
        <f aca="false">IF(C146="","",IF(IFERROR(INDEX(05_Строки_КП!$O$4:$O$203,MATCH(C146,05_Строки_КП!$A$4:$A$203,0)),"")="READY",IFERROR(INDEX(05_Строки_КП!$L$4:$L$203,MATCH(C146,05_Строки_КП!$A$4:$A$203,0)),""),""))</f>
        <v/>
      </c>
      <c r="Q146" s="5" t="str">
        <f aca="false">IF(C146="","",IF(IFERROR(INDEX(05_Строки_КП!$O$4:$O$203,MATCH(C146,05_Строки_КП!$A$4:$A$203,0)),"")="READY",IFERROR(INDEX(05_Строки_КП!$M$4:$M$203,MATCH(C146,05_Строки_КП!$A$4:$A$203,0)),""),""))</f>
        <v/>
      </c>
      <c r="R146" s="7" t="str">
        <f aca="false">IF(OR(V146="SELECTED_READY",V146="COMPARABLE_READY"),O146*G146*H146+SUM(K146:N146),"")</f>
        <v/>
      </c>
      <c r="S146" s="4"/>
      <c r="T146" s="4"/>
      <c r="U146" s="6"/>
      <c r="V146" s="5" t="str">
        <f aca="false">IF(A146="","",IF(AND(COUNTIF(A$4:A$203,A146)=1,B146&lt;&gt;"",C146&lt;&gt;"",D146&lt;&gt;"",COUNTIF(05_Строки_КП!$A$4:$A$203,C146)=1,IFERROR(INDEX(05_Строки_КП!$C$4:$C$203,MATCH(C146,05_Строки_КП!$A$4:$A$203,0)),"")=D146,IFERROR(INDEX(05_Строки_КП!$O$4:$O$203,MATCH(C146,05_Строки_КП!$A$4:$A$203,0)),"")="READY",E146="COMPARABLE",F146&lt;&gt;"",COUNT(G146:H146)=2,G146&gt;0,H146&gt;0,I146&lt;&gt;"",J146&lt;&gt;"",COUNTIF(13_Источники!$A$4:$A$203,J146)=1,W146&lt;&gt;"",COUNTIF(13_Источники!$A$4:$A$203,W146)=1,COUNT(K146:N146)=4,ISNUMBER(O146),U146&lt;&gt;"",01_Основания!$B$8&lt;&gt;"",OR(01_Основания!$B$9="NET",01_Основания!$B$9="GROSS"),01_Основания!$B$10&lt;&gt;"",IF(AND(ISNUMBER(O146),ISNUMBER(G146),ISNUMBER(H146)),O146*G146*H146+SUM(K146:N146)&gt;=0,FALSE())),IF(S146="SELECTED",IF(AND(COUNTIFS(B$4:B$203,B146,S$4:S$203,"SELECTED")=1,T146&lt;&gt;""),"SELECTED_READY","SELECTION_ERROR"),"COMPARABLE_READY"),"INCOMPLETE / NOT_COMPARABLE"))</f>
        <v/>
      </c>
      <c r="W146" s="6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6"/>
      <c r="L147" s="6"/>
      <c r="M147" s="6"/>
      <c r="N147" s="6"/>
      <c r="O147" s="7" t="str">
        <f aca="false">IF(C147="","",IF(IFERROR(INDEX(05_Строки_КП!$O$4:$O$203,MATCH(C147,05_Строки_КП!$A$4:$A$203,0)),"")="READY",IFERROR(INDEX(05_Строки_КП!$H$4:$H$203,MATCH(C147,05_Строки_КП!$A$4:$A$203,0)),""),""))</f>
        <v/>
      </c>
      <c r="P147" s="5" t="str">
        <f aca="false">IF(C147="","",IF(IFERROR(INDEX(05_Строки_КП!$O$4:$O$203,MATCH(C147,05_Строки_КП!$A$4:$A$203,0)),"")="READY",IFERROR(INDEX(05_Строки_КП!$L$4:$L$203,MATCH(C147,05_Строки_КП!$A$4:$A$203,0)),""),""))</f>
        <v/>
      </c>
      <c r="Q147" s="5" t="str">
        <f aca="false">IF(C147="","",IF(IFERROR(INDEX(05_Строки_КП!$O$4:$O$203,MATCH(C147,05_Строки_КП!$A$4:$A$203,0)),"")="READY",IFERROR(INDEX(05_Строки_КП!$M$4:$M$203,MATCH(C147,05_Строки_КП!$A$4:$A$203,0)),""),""))</f>
        <v/>
      </c>
      <c r="R147" s="7" t="str">
        <f aca="false">IF(OR(V147="SELECTED_READY",V147="COMPARABLE_READY"),O147*G147*H147+SUM(K147:N147),"")</f>
        <v/>
      </c>
      <c r="S147" s="4"/>
      <c r="T147" s="4"/>
      <c r="U147" s="6"/>
      <c r="V147" s="5" t="str">
        <f aca="false">IF(A147="","",IF(AND(COUNTIF(A$4:A$203,A147)=1,B147&lt;&gt;"",C147&lt;&gt;"",D147&lt;&gt;"",COUNTIF(05_Строки_КП!$A$4:$A$203,C147)=1,IFERROR(INDEX(05_Строки_КП!$C$4:$C$203,MATCH(C147,05_Строки_КП!$A$4:$A$203,0)),"")=D147,IFERROR(INDEX(05_Строки_КП!$O$4:$O$203,MATCH(C147,05_Строки_КП!$A$4:$A$203,0)),"")="READY",E147="COMPARABLE",F147&lt;&gt;"",COUNT(G147:H147)=2,G147&gt;0,H147&gt;0,I147&lt;&gt;"",J147&lt;&gt;"",COUNTIF(13_Источники!$A$4:$A$203,J147)=1,W147&lt;&gt;"",COUNTIF(13_Источники!$A$4:$A$203,W147)=1,COUNT(K147:N147)=4,ISNUMBER(O147),U147&lt;&gt;"",01_Основания!$B$8&lt;&gt;"",OR(01_Основания!$B$9="NET",01_Основания!$B$9="GROSS"),01_Основания!$B$10&lt;&gt;"",IF(AND(ISNUMBER(O147),ISNUMBER(G147),ISNUMBER(H147)),O147*G147*H147+SUM(K147:N147)&gt;=0,FALSE())),IF(S147="SELECTED",IF(AND(COUNTIFS(B$4:B$203,B147,S$4:S$203,"SELECTED")=1,T147&lt;&gt;""),"SELECTED_READY","SELECTION_ERROR"),"COMPARABLE_READY"),"INCOMPLETE / NOT_COMPARABLE"))</f>
        <v/>
      </c>
      <c r="W147" s="6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6"/>
      <c r="L148" s="6"/>
      <c r="M148" s="6"/>
      <c r="N148" s="6"/>
      <c r="O148" s="7" t="str">
        <f aca="false">IF(C148="","",IF(IFERROR(INDEX(05_Строки_КП!$O$4:$O$203,MATCH(C148,05_Строки_КП!$A$4:$A$203,0)),"")="READY",IFERROR(INDEX(05_Строки_КП!$H$4:$H$203,MATCH(C148,05_Строки_КП!$A$4:$A$203,0)),""),""))</f>
        <v/>
      </c>
      <c r="P148" s="5" t="str">
        <f aca="false">IF(C148="","",IF(IFERROR(INDEX(05_Строки_КП!$O$4:$O$203,MATCH(C148,05_Строки_КП!$A$4:$A$203,0)),"")="READY",IFERROR(INDEX(05_Строки_КП!$L$4:$L$203,MATCH(C148,05_Строки_КП!$A$4:$A$203,0)),""),""))</f>
        <v/>
      </c>
      <c r="Q148" s="5" t="str">
        <f aca="false">IF(C148="","",IF(IFERROR(INDEX(05_Строки_КП!$O$4:$O$203,MATCH(C148,05_Строки_КП!$A$4:$A$203,0)),"")="READY",IFERROR(INDEX(05_Строки_КП!$M$4:$M$203,MATCH(C148,05_Строки_КП!$A$4:$A$203,0)),""),""))</f>
        <v/>
      </c>
      <c r="R148" s="7" t="str">
        <f aca="false">IF(OR(V148="SELECTED_READY",V148="COMPARABLE_READY"),O148*G148*H148+SUM(K148:N148),"")</f>
        <v/>
      </c>
      <c r="S148" s="4"/>
      <c r="T148" s="4"/>
      <c r="U148" s="6"/>
      <c r="V148" s="5" t="str">
        <f aca="false">IF(A148="","",IF(AND(COUNTIF(A$4:A$203,A148)=1,B148&lt;&gt;"",C148&lt;&gt;"",D148&lt;&gt;"",COUNTIF(05_Строки_КП!$A$4:$A$203,C148)=1,IFERROR(INDEX(05_Строки_КП!$C$4:$C$203,MATCH(C148,05_Строки_КП!$A$4:$A$203,0)),"")=D148,IFERROR(INDEX(05_Строки_КП!$O$4:$O$203,MATCH(C148,05_Строки_КП!$A$4:$A$203,0)),"")="READY",E148="COMPARABLE",F148&lt;&gt;"",COUNT(G148:H148)=2,G148&gt;0,H148&gt;0,I148&lt;&gt;"",J148&lt;&gt;"",COUNTIF(13_Источники!$A$4:$A$203,J148)=1,W148&lt;&gt;"",COUNTIF(13_Источники!$A$4:$A$203,W148)=1,COUNT(K148:N148)=4,ISNUMBER(O148),U148&lt;&gt;"",01_Основания!$B$8&lt;&gt;"",OR(01_Основания!$B$9="NET",01_Основания!$B$9="GROSS"),01_Основания!$B$10&lt;&gt;"",IF(AND(ISNUMBER(O148),ISNUMBER(G148),ISNUMBER(H148)),O148*G148*H148+SUM(K148:N148)&gt;=0,FALSE())),IF(S148="SELECTED",IF(AND(COUNTIFS(B$4:B$203,B148,S$4:S$203,"SELECTED")=1,T148&lt;&gt;""),"SELECTED_READY","SELECTION_ERROR"),"COMPARABLE_READY"),"INCOMPLETE / NOT_COMPARABLE"))</f>
        <v/>
      </c>
      <c r="W148" s="6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6"/>
      <c r="L149" s="6"/>
      <c r="M149" s="6"/>
      <c r="N149" s="6"/>
      <c r="O149" s="7" t="str">
        <f aca="false">IF(C149="","",IF(IFERROR(INDEX(05_Строки_КП!$O$4:$O$203,MATCH(C149,05_Строки_КП!$A$4:$A$203,0)),"")="READY",IFERROR(INDEX(05_Строки_КП!$H$4:$H$203,MATCH(C149,05_Строки_КП!$A$4:$A$203,0)),""),""))</f>
        <v/>
      </c>
      <c r="P149" s="5" t="str">
        <f aca="false">IF(C149="","",IF(IFERROR(INDEX(05_Строки_КП!$O$4:$O$203,MATCH(C149,05_Строки_КП!$A$4:$A$203,0)),"")="READY",IFERROR(INDEX(05_Строки_КП!$L$4:$L$203,MATCH(C149,05_Строки_КП!$A$4:$A$203,0)),""),""))</f>
        <v/>
      </c>
      <c r="Q149" s="5" t="str">
        <f aca="false">IF(C149="","",IF(IFERROR(INDEX(05_Строки_КП!$O$4:$O$203,MATCH(C149,05_Строки_КП!$A$4:$A$203,0)),"")="READY",IFERROR(INDEX(05_Строки_КП!$M$4:$M$203,MATCH(C149,05_Строки_КП!$A$4:$A$203,0)),""),""))</f>
        <v/>
      </c>
      <c r="R149" s="7" t="str">
        <f aca="false">IF(OR(V149="SELECTED_READY",V149="COMPARABLE_READY"),O149*G149*H149+SUM(K149:N149),"")</f>
        <v/>
      </c>
      <c r="S149" s="4"/>
      <c r="T149" s="4"/>
      <c r="U149" s="6"/>
      <c r="V149" s="5" t="str">
        <f aca="false">IF(A149="","",IF(AND(COUNTIF(A$4:A$203,A149)=1,B149&lt;&gt;"",C149&lt;&gt;"",D149&lt;&gt;"",COUNTIF(05_Строки_КП!$A$4:$A$203,C149)=1,IFERROR(INDEX(05_Строки_КП!$C$4:$C$203,MATCH(C149,05_Строки_КП!$A$4:$A$203,0)),"")=D149,IFERROR(INDEX(05_Строки_КП!$O$4:$O$203,MATCH(C149,05_Строки_КП!$A$4:$A$203,0)),"")="READY",E149="COMPARABLE",F149&lt;&gt;"",COUNT(G149:H149)=2,G149&gt;0,H149&gt;0,I149&lt;&gt;"",J149&lt;&gt;"",COUNTIF(13_Источники!$A$4:$A$203,J149)=1,W149&lt;&gt;"",COUNTIF(13_Источники!$A$4:$A$203,W149)=1,COUNT(K149:N149)=4,ISNUMBER(O149),U149&lt;&gt;"",01_Основания!$B$8&lt;&gt;"",OR(01_Основания!$B$9="NET",01_Основания!$B$9="GROSS"),01_Основания!$B$10&lt;&gt;"",IF(AND(ISNUMBER(O149),ISNUMBER(G149),ISNUMBER(H149)),O149*G149*H149+SUM(K149:N149)&gt;=0,FALSE())),IF(S149="SELECTED",IF(AND(COUNTIFS(B$4:B$203,B149,S$4:S$203,"SELECTED")=1,T149&lt;&gt;""),"SELECTED_READY","SELECTION_ERROR"),"COMPARABLE_READY"),"INCOMPLETE / NOT_COMPARABLE"))</f>
        <v/>
      </c>
      <c r="W149" s="6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6"/>
      <c r="L150" s="6"/>
      <c r="M150" s="6"/>
      <c r="N150" s="6"/>
      <c r="O150" s="7" t="str">
        <f aca="false">IF(C150="","",IF(IFERROR(INDEX(05_Строки_КП!$O$4:$O$203,MATCH(C150,05_Строки_КП!$A$4:$A$203,0)),"")="READY",IFERROR(INDEX(05_Строки_КП!$H$4:$H$203,MATCH(C150,05_Строки_КП!$A$4:$A$203,0)),""),""))</f>
        <v/>
      </c>
      <c r="P150" s="5" t="str">
        <f aca="false">IF(C150="","",IF(IFERROR(INDEX(05_Строки_КП!$O$4:$O$203,MATCH(C150,05_Строки_КП!$A$4:$A$203,0)),"")="READY",IFERROR(INDEX(05_Строки_КП!$L$4:$L$203,MATCH(C150,05_Строки_КП!$A$4:$A$203,0)),""),""))</f>
        <v/>
      </c>
      <c r="Q150" s="5" t="str">
        <f aca="false">IF(C150="","",IF(IFERROR(INDEX(05_Строки_КП!$O$4:$O$203,MATCH(C150,05_Строки_КП!$A$4:$A$203,0)),"")="READY",IFERROR(INDEX(05_Строки_КП!$M$4:$M$203,MATCH(C150,05_Строки_КП!$A$4:$A$203,0)),""),""))</f>
        <v/>
      </c>
      <c r="R150" s="7" t="str">
        <f aca="false">IF(OR(V150="SELECTED_READY",V150="COMPARABLE_READY"),O150*G150*H150+SUM(K150:N150),"")</f>
        <v/>
      </c>
      <c r="S150" s="4"/>
      <c r="T150" s="4"/>
      <c r="U150" s="6"/>
      <c r="V150" s="5" t="str">
        <f aca="false">IF(A150="","",IF(AND(COUNTIF(A$4:A$203,A150)=1,B150&lt;&gt;"",C150&lt;&gt;"",D150&lt;&gt;"",COUNTIF(05_Строки_КП!$A$4:$A$203,C150)=1,IFERROR(INDEX(05_Строки_КП!$C$4:$C$203,MATCH(C150,05_Строки_КП!$A$4:$A$203,0)),"")=D150,IFERROR(INDEX(05_Строки_КП!$O$4:$O$203,MATCH(C150,05_Строки_КП!$A$4:$A$203,0)),"")="READY",E150="COMPARABLE",F150&lt;&gt;"",COUNT(G150:H150)=2,G150&gt;0,H150&gt;0,I150&lt;&gt;"",J150&lt;&gt;"",COUNTIF(13_Источники!$A$4:$A$203,J150)=1,W150&lt;&gt;"",COUNTIF(13_Источники!$A$4:$A$203,W150)=1,COUNT(K150:N150)=4,ISNUMBER(O150),U150&lt;&gt;"",01_Основания!$B$8&lt;&gt;"",OR(01_Основания!$B$9="NET",01_Основания!$B$9="GROSS"),01_Основания!$B$10&lt;&gt;"",IF(AND(ISNUMBER(O150),ISNUMBER(G150),ISNUMBER(H150)),O150*G150*H150+SUM(K150:N150)&gt;=0,FALSE())),IF(S150="SELECTED",IF(AND(COUNTIFS(B$4:B$203,B150,S$4:S$203,"SELECTED")=1,T150&lt;&gt;""),"SELECTED_READY","SELECTION_ERROR"),"COMPARABLE_READY"),"INCOMPLETE / NOT_COMPARABLE"))</f>
        <v/>
      </c>
      <c r="W150" s="6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6"/>
      <c r="L151" s="6"/>
      <c r="M151" s="6"/>
      <c r="N151" s="6"/>
      <c r="O151" s="7" t="str">
        <f aca="false">IF(C151="","",IF(IFERROR(INDEX(05_Строки_КП!$O$4:$O$203,MATCH(C151,05_Строки_КП!$A$4:$A$203,0)),"")="READY",IFERROR(INDEX(05_Строки_КП!$H$4:$H$203,MATCH(C151,05_Строки_КП!$A$4:$A$203,0)),""),""))</f>
        <v/>
      </c>
      <c r="P151" s="5" t="str">
        <f aca="false">IF(C151="","",IF(IFERROR(INDEX(05_Строки_КП!$O$4:$O$203,MATCH(C151,05_Строки_КП!$A$4:$A$203,0)),"")="READY",IFERROR(INDEX(05_Строки_КП!$L$4:$L$203,MATCH(C151,05_Строки_КП!$A$4:$A$203,0)),""),""))</f>
        <v/>
      </c>
      <c r="Q151" s="5" t="str">
        <f aca="false">IF(C151="","",IF(IFERROR(INDEX(05_Строки_КП!$O$4:$O$203,MATCH(C151,05_Строки_КП!$A$4:$A$203,0)),"")="READY",IFERROR(INDEX(05_Строки_КП!$M$4:$M$203,MATCH(C151,05_Строки_КП!$A$4:$A$203,0)),""),""))</f>
        <v/>
      </c>
      <c r="R151" s="7" t="str">
        <f aca="false">IF(OR(V151="SELECTED_READY",V151="COMPARABLE_READY"),O151*G151*H151+SUM(K151:N151),"")</f>
        <v/>
      </c>
      <c r="S151" s="4"/>
      <c r="T151" s="4"/>
      <c r="U151" s="6"/>
      <c r="V151" s="5" t="str">
        <f aca="false">IF(A151="","",IF(AND(COUNTIF(A$4:A$203,A151)=1,B151&lt;&gt;"",C151&lt;&gt;"",D151&lt;&gt;"",COUNTIF(05_Строки_КП!$A$4:$A$203,C151)=1,IFERROR(INDEX(05_Строки_КП!$C$4:$C$203,MATCH(C151,05_Строки_КП!$A$4:$A$203,0)),"")=D151,IFERROR(INDEX(05_Строки_КП!$O$4:$O$203,MATCH(C151,05_Строки_КП!$A$4:$A$203,0)),"")="READY",E151="COMPARABLE",F151&lt;&gt;"",COUNT(G151:H151)=2,G151&gt;0,H151&gt;0,I151&lt;&gt;"",J151&lt;&gt;"",COUNTIF(13_Источники!$A$4:$A$203,J151)=1,W151&lt;&gt;"",COUNTIF(13_Источники!$A$4:$A$203,W151)=1,COUNT(K151:N151)=4,ISNUMBER(O151),U151&lt;&gt;"",01_Основания!$B$8&lt;&gt;"",OR(01_Основания!$B$9="NET",01_Основания!$B$9="GROSS"),01_Основания!$B$10&lt;&gt;"",IF(AND(ISNUMBER(O151),ISNUMBER(G151),ISNUMBER(H151)),O151*G151*H151+SUM(K151:N151)&gt;=0,FALSE())),IF(S151="SELECTED",IF(AND(COUNTIFS(B$4:B$203,B151,S$4:S$203,"SELECTED")=1,T151&lt;&gt;""),"SELECTED_READY","SELECTION_ERROR"),"COMPARABLE_READY"),"INCOMPLETE / NOT_COMPARABLE"))</f>
        <v/>
      </c>
      <c r="W151" s="6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6"/>
      <c r="L152" s="6"/>
      <c r="M152" s="6"/>
      <c r="N152" s="6"/>
      <c r="O152" s="7" t="str">
        <f aca="false">IF(C152="","",IF(IFERROR(INDEX(05_Строки_КП!$O$4:$O$203,MATCH(C152,05_Строки_КП!$A$4:$A$203,0)),"")="READY",IFERROR(INDEX(05_Строки_КП!$H$4:$H$203,MATCH(C152,05_Строки_КП!$A$4:$A$203,0)),""),""))</f>
        <v/>
      </c>
      <c r="P152" s="5" t="str">
        <f aca="false">IF(C152="","",IF(IFERROR(INDEX(05_Строки_КП!$O$4:$O$203,MATCH(C152,05_Строки_КП!$A$4:$A$203,0)),"")="READY",IFERROR(INDEX(05_Строки_КП!$L$4:$L$203,MATCH(C152,05_Строки_КП!$A$4:$A$203,0)),""),""))</f>
        <v/>
      </c>
      <c r="Q152" s="5" t="str">
        <f aca="false">IF(C152="","",IF(IFERROR(INDEX(05_Строки_КП!$O$4:$O$203,MATCH(C152,05_Строки_КП!$A$4:$A$203,0)),"")="READY",IFERROR(INDEX(05_Строки_КП!$M$4:$M$203,MATCH(C152,05_Строки_КП!$A$4:$A$203,0)),""),""))</f>
        <v/>
      </c>
      <c r="R152" s="7" t="str">
        <f aca="false">IF(OR(V152="SELECTED_READY",V152="COMPARABLE_READY"),O152*G152*H152+SUM(K152:N152),"")</f>
        <v/>
      </c>
      <c r="S152" s="4"/>
      <c r="T152" s="4"/>
      <c r="U152" s="6"/>
      <c r="V152" s="5" t="str">
        <f aca="false">IF(A152="","",IF(AND(COUNTIF(A$4:A$203,A152)=1,B152&lt;&gt;"",C152&lt;&gt;"",D152&lt;&gt;"",COUNTIF(05_Строки_КП!$A$4:$A$203,C152)=1,IFERROR(INDEX(05_Строки_КП!$C$4:$C$203,MATCH(C152,05_Строки_КП!$A$4:$A$203,0)),"")=D152,IFERROR(INDEX(05_Строки_КП!$O$4:$O$203,MATCH(C152,05_Строки_КП!$A$4:$A$203,0)),"")="READY",E152="COMPARABLE",F152&lt;&gt;"",COUNT(G152:H152)=2,G152&gt;0,H152&gt;0,I152&lt;&gt;"",J152&lt;&gt;"",COUNTIF(13_Источники!$A$4:$A$203,J152)=1,W152&lt;&gt;"",COUNTIF(13_Источники!$A$4:$A$203,W152)=1,COUNT(K152:N152)=4,ISNUMBER(O152),U152&lt;&gt;"",01_Основания!$B$8&lt;&gt;"",OR(01_Основания!$B$9="NET",01_Основания!$B$9="GROSS"),01_Основания!$B$10&lt;&gt;"",IF(AND(ISNUMBER(O152),ISNUMBER(G152),ISNUMBER(H152)),O152*G152*H152+SUM(K152:N152)&gt;=0,FALSE())),IF(S152="SELECTED",IF(AND(COUNTIFS(B$4:B$203,B152,S$4:S$203,"SELECTED")=1,T152&lt;&gt;""),"SELECTED_READY","SELECTION_ERROR"),"COMPARABLE_READY"),"INCOMPLETE / NOT_COMPARABLE"))</f>
        <v/>
      </c>
      <c r="W152" s="6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6"/>
      <c r="L153" s="6"/>
      <c r="M153" s="6"/>
      <c r="N153" s="6"/>
      <c r="O153" s="7" t="str">
        <f aca="false">IF(C153="","",IF(IFERROR(INDEX(05_Строки_КП!$O$4:$O$203,MATCH(C153,05_Строки_КП!$A$4:$A$203,0)),"")="READY",IFERROR(INDEX(05_Строки_КП!$H$4:$H$203,MATCH(C153,05_Строки_КП!$A$4:$A$203,0)),""),""))</f>
        <v/>
      </c>
      <c r="P153" s="5" t="str">
        <f aca="false">IF(C153="","",IF(IFERROR(INDEX(05_Строки_КП!$O$4:$O$203,MATCH(C153,05_Строки_КП!$A$4:$A$203,0)),"")="READY",IFERROR(INDEX(05_Строки_КП!$L$4:$L$203,MATCH(C153,05_Строки_КП!$A$4:$A$203,0)),""),""))</f>
        <v/>
      </c>
      <c r="Q153" s="5" t="str">
        <f aca="false">IF(C153="","",IF(IFERROR(INDEX(05_Строки_КП!$O$4:$O$203,MATCH(C153,05_Строки_КП!$A$4:$A$203,0)),"")="READY",IFERROR(INDEX(05_Строки_КП!$M$4:$M$203,MATCH(C153,05_Строки_КП!$A$4:$A$203,0)),""),""))</f>
        <v/>
      </c>
      <c r="R153" s="7" t="str">
        <f aca="false">IF(OR(V153="SELECTED_READY",V153="COMPARABLE_READY"),O153*G153*H153+SUM(K153:N153),"")</f>
        <v/>
      </c>
      <c r="S153" s="4"/>
      <c r="T153" s="4"/>
      <c r="U153" s="6"/>
      <c r="V153" s="5" t="str">
        <f aca="false">IF(A153="","",IF(AND(COUNTIF(A$4:A$203,A153)=1,B153&lt;&gt;"",C153&lt;&gt;"",D153&lt;&gt;"",COUNTIF(05_Строки_КП!$A$4:$A$203,C153)=1,IFERROR(INDEX(05_Строки_КП!$C$4:$C$203,MATCH(C153,05_Строки_КП!$A$4:$A$203,0)),"")=D153,IFERROR(INDEX(05_Строки_КП!$O$4:$O$203,MATCH(C153,05_Строки_КП!$A$4:$A$203,0)),"")="READY",E153="COMPARABLE",F153&lt;&gt;"",COUNT(G153:H153)=2,G153&gt;0,H153&gt;0,I153&lt;&gt;"",J153&lt;&gt;"",COUNTIF(13_Источники!$A$4:$A$203,J153)=1,W153&lt;&gt;"",COUNTIF(13_Источники!$A$4:$A$203,W153)=1,COUNT(K153:N153)=4,ISNUMBER(O153),U153&lt;&gt;"",01_Основания!$B$8&lt;&gt;"",OR(01_Основания!$B$9="NET",01_Основания!$B$9="GROSS"),01_Основания!$B$10&lt;&gt;"",IF(AND(ISNUMBER(O153),ISNUMBER(G153),ISNUMBER(H153)),O153*G153*H153+SUM(K153:N153)&gt;=0,FALSE())),IF(S153="SELECTED",IF(AND(COUNTIFS(B$4:B$203,B153,S$4:S$203,"SELECTED")=1,T153&lt;&gt;""),"SELECTED_READY","SELECTION_ERROR"),"COMPARABLE_READY"),"INCOMPLETE / NOT_COMPARABLE"))</f>
        <v/>
      </c>
      <c r="W153" s="6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6"/>
      <c r="L154" s="6"/>
      <c r="M154" s="6"/>
      <c r="N154" s="6"/>
      <c r="O154" s="7" t="str">
        <f aca="false">IF(C154="","",IF(IFERROR(INDEX(05_Строки_КП!$O$4:$O$203,MATCH(C154,05_Строки_КП!$A$4:$A$203,0)),"")="READY",IFERROR(INDEX(05_Строки_КП!$H$4:$H$203,MATCH(C154,05_Строки_КП!$A$4:$A$203,0)),""),""))</f>
        <v/>
      </c>
      <c r="P154" s="5" t="str">
        <f aca="false">IF(C154="","",IF(IFERROR(INDEX(05_Строки_КП!$O$4:$O$203,MATCH(C154,05_Строки_КП!$A$4:$A$203,0)),"")="READY",IFERROR(INDEX(05_Строки_КП!$L$4:$L$203,MATCH(C154,05_Строки_КП!$A$4:$A$203,0)),""),""))</f>
        <v/>
      </c>
      <c r="Q154" s="5" t="str">
        <f aca="false">IF(C154="","",IF(IFERROR(INDEX(05_Строки_КП!$O$4:$O$203,MATCH(C154,05_Строки_КП!$A$4:$A$203,0)),"")="READY",IFERROR(INDEX(05_Строки_КП!$M$4:$M$203,MATCH(C154,05_Строки_КП!$A$4:$A$203,0)),""),""))</f>
        <v/>
      </c>
      <c r="R154" s="7" t="str">
        <f aca="false">IF(OR(V154="SELECTED_READY",V154="COMPARABLE_READY"),O154*G154*H154+SUM(K154:N154),"")</f>
        <v/>
      </c>
      <c r="S154" s="4"/>
      <c r="T154" s="4"/>
      <c r="U154" s="6"/>
      <c r="V154" s="5" t="str">
        <f aca="false">IF(A154="","",IF(AND(COUNTIF(A$4:A$203,A154)=1,B154&lt;&gt;"",C154&lt;&gt;"",D154&lt;&gt;"",COUNTIF(05_Строки_КП!$A$4:$A$203,C154)=1,IFERROR(INDEX(05_Строки_КП!$C$4:$C$203,MATCH(C154,05_Строки_КП!$A$4:$A$203,0)),"")=D154,IFERROR(INDEX(05_Строки_КП!$O$4:$O$203,MATCH(C154,05_Строки_КП!$A$4:$A$203,0)),"")="READY",E154="COMPARABLE",F154&lt;&gt;"",COUNT(G154:H154)=2,G154&gt;0,H154&gt;0,I154&lt;&gt;"",J154&lt;&gt;"",COUNTIF(13_Источники!$A$4:$A$203,J154)=1,W154&lt;&gt;"",COUNTIF(13_Источники!$A$4:$A$203,W154)=1,COUNT(K154:N154)=4,ISNUMBER(O154),U154&lt;&gt;"",01_Основания!$B$8&lt;&gt;"",OR(01_Основания!$B$9="NET",01_Основания!$B$9="GROSS"),01_Основания!$B$10&lt;&gt;"",IF(AND(ISNUMBER(O154),ISNUMBER(G154),ISNUMBER(H154)),O154*G154*H154+SUM(K154:N154)&gt;=0,FALSE())),IF(S154="SELECTED",IF(AND(COUNTIFS(B$4:B$203,B154,S$4:S$203,"SELECTED")=1,T154&lt;&gt;""),"SELECTED_READY","SELECTION_ERROR"),"COMPARABLE_READY"),"INCOMPLETE / NOT_COMPARABLE"))</f>
        <v/>
      </c>
      <c r="W154" s="6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6"/>
      <c r="L155" s="6"/>
      <c r="M155" s="6"/>
      <c r="N155" s="6"/>
      <c r="O155" s="7" t="str">
        <f aca="false">IF(C155="","",IF(IFERROR(INDEX(05_Строки_КП!$O$4:$O$203,MATCH(C155,05_Строки_КП!$A$4:$A$203,0)),"")="READY",IFERROR(INDEX(05_Строки_КП!$H$4:$H$203,MATCH(C155,05_Строки_КП!$A$4:$A$203,0)),""),""))</f>
        <v/>
      </c>
      <c r="P155" s="5" t="str">
        <f aca="false">IF(C155="","",IF(IFERROR(INDEX(05_Строки_КП!$O$4:$O$203,MATCH(C155,05_Строки_КП!$A$4:$A$203,0)),"")="READY",IFERROR(INDEX(05_Строки_КП!$L$4:$L$203,MATCH(C155,05_Строки_КП!$A$4:$A$203,0)),""),""))</f>
        <v/>
      </c>
      <c r="Q155" s="5" t="str">
        <f aca="false">IF(C155="","",IF(IFERROR(INDEX(05_Строки_КП!$O$4:$O$203,MATCH(C155,05_Строки_КП!$A$4:$A$203,0)),"")="READY",IFERROR(INDEX(05_Строки_КП!$M$4:$M$203,MATCH(C155,05_Строки_КП!$A$4:$A$203,0)),""),""))</f>
        <v/>
      </c>
      <c r="R155" s="7" t="str">
        <f aca="false">IF(OR(V155="SELECTED_READY",V155="COMPARABLE_READY"),O155*G155*H155+SUM(K155:N155),"")</f>
        <v/>
      </c>
      <c r="S155" s="4"/>
      <c r="T155" s="4"/>
      <c r="U155" s="6"/>
      <c r="V155" s="5" t="str">
        <f aca="false">IF(A155="","",IF(AND(COUNTIF(A$4:A$203,A155)=1,B155&lt;&gt;"",C155&lt;&gt;"",D155&lt;&gt;"",COUNTIF(05_Строки_КП!$A$4:$A$203,C155)=1,IFERROR(INDEX(05_Строки_КП!$C$4:$C$203,MATCH(C155,05_Строки_КП!$A$4:$A$203,0)),"")=D155,IFERROR(INDEX(05_Строки_КП!$O$4:$O$203,MATCH(C155,05_Строки_КП!$A$4:$A$203,0)),"")="READY",E155="COMPARABLE",F155&lt;&gt;"",COUNT(G155:H155)=2,G155&gt;0,H155&gt;0,I155&lt;&gt;"",J155&lt;&gt;"",COUNTIF(13_Источники!$A$4:$A$203,J155)=1,W155&lt;&gt;"",COUNTIF(13_Источники!$A$4:$A$203,W155)=1,COUNT(K155:N155)=4,ISNUMBER(O155),U155&lt;&gt;"",01_Основания!$B$8&lt;&gt;"",OR(01_Основания!$B$9="NET",01_Основания!$B$9="GROSS"),01_Основания!$B$10&lt;&gt;"",IF(AND(ISNUMBER(O155),ISNUMBER(G155),ISNUMBER(H155)),O155*G155*H155+SUM(K155:N155)&gt;=0,FALSE())),IF(S155="SELECTED",IF(AND(COUNTIFS(B$4:B$203,B155,S$4:S$203,"SELECTED")=1,T155&lt;&gt;""),"SELECTED_READY","SELECTION_ERROR"),"COMPARABLE_READY"),"INCOMPLETE / NOT_COMPARABLE"))</f>
        <v/>
      </c>
      <c r="W155" s="6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6"/>
      <c r="L156" s="6"/>
      <c r="M156" s="6"/>
      <c r="N156" s="6"/>
      <c r="O156" s="7" t="str">
        <f aca="false">IF(C156="","",IF(IFERROR(INDEX(05_Строки_КП!$O$4:$O$203,MATCH(C156,05_Строки_КП!$A$4:$A$203,0)),"")="READY",IFERROR(INDEX(05_Строки_КП!$H$4:$H$203,MATCH(C156,05_Строки_КП!$A$4:$A$203,0)),""),""))</f>
        <v/>
      </c>
      <c r="P156" s="5" t="str">
        <f aca="false">IF(C156="","",IF(IFERROR(INDEX(05_Строки_КП!$O$4:$O$203,MATCH(C156,05_Строки_КП!$A$4:$A$203,0)),"")="READY",IFERROR(INDEX(05_Строки_КП!$L$4:$L$203,MATCH(C156,05_Строки_КП!$A$4:$A$203,0)),""),""))</f>
        <v/>
      </c>
      <c r="Q156" s="5" t="str">
        <f aca="false">IF(C156="","",IF(IFERROR(INDEX(05_Строки_КП!$O$4:$O$203,MATCH(C156,05_Строки_КП!$A$4:$A$203,0)),"")="READY",IFERROR(INDEX(05_Строки_КП!$M$4:$M$203,MATCH(C156,05_Строки_КП!$A$4:$A$203,0)),""),""))</f>
        <v/>
      </c>
      <c r="R156" s="7" t="str">
        <f aca="false">IF(OR(V156="SELECTED_READY",V156="COMPARABLE_READY"),O156*G156*H156+SUM(K156:N156),"")</f>
        <v/>
      </c>
      <c r="S156" s="4"/>
      <c r="T156" s="4"/>
      <c r="U156" s="6"/>
      <c r="V156" s="5" t="str">
        <f aca="false">IF(A156="","",IF(AND(COUNTIF(A$4:A$203,A156)=1,B156&lt;&gt;"",C156&lt;&gt;"",D156&lt;&gt;"",COUNTIF(05_Строки_КП!$A$4:$A$203,C156)=1,IFERROR(INDEX(05_Строки_КП!$C$4:$C$203,MATCH(C156,05_Строки_КП!$A$4:$A$203,0)),"")=D156,IFERROR(INDEX(05_Строки_КП!$O$4:$O$203,MATCH(C156,05_Строки_КП!$A$4:$A$203,0)),"")="READY",E156="COMPARABLE",F156&lt;&gt;"",COUNT(G156:H156)=2,G156&gt;0,H156&gt;0,I156&lt;&gt;"",J156&lt;&gt;"",COUNTIF(13_Источники!$A$4:$A$203,J156)=1,W156&lt;&gt;"",COUNTIF(13_Источники!$A$4:$A$203,W156)=1,COUNT(K156:N156)=4,ISNUMBER(O156),U156&lt;&gt;"",01_Основания!$B$8&lt;&gt;"",OR(01_Основания!$B$9="NET",01_Основания!$B$9="GROSS"),01_Основания!$B$10&lt;&gt;"",IF(AND(ISNUMBER(O156),ISNUMBER(G156),ISNUMBER(H156)),O156*G156*H156+SUM(K156:N156)&gt;=0,FALSE())),IF(S156="SELECTED",IF(AND(COUNTIFS(B$4:B$203,B156,S$4:S$203,"SELECTED")=1,T156&lt;&gt;""),"SELECTED_READY","SELECTION_ERROR"),"COMPARABLE_READY"),"INCOMPLETE / NOT_COMPARABLE"))</f>
        <v/>
      </c>
      <c r="W156" s="6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6"/>
      <c r="L157" s="6"/>
      <c r="M157" s="6"/>
      <c r="N157" s="6"/>
      <c r="O157" s="7" t="str">
        <f aca="false">IF(C157="","",IF(IFERROR(INDEX(05_Строки_КП!$O$4:$O$203,MATCH(C157,05_Строки_КП!$A$4:$A$203,0)),"")="READY",IFERROR(INDEX(05_Строки_КП!$H$4:$H$203,MATCH(C157,05_Строки_КП!$A$4:$A$203,0)),""),""))</f>
        <v/>
      </c>
      <c r="P157" s="5" t="str">
        <f aca="false">IF(C157="","",IF(IFERROR(INDEX(05_Строки_КП!$O$4:$O$203,MATCH(C157,05_Строки_КП!$A$4:$A$203,0)),"")="READY",IFERROR(INDEX(05_Строки_КП!$L$4:$L$203,MATCH(C157,05_Строки_КП!$A$4:$A$203,0)),""),""))</f>
        <v/>
      </c>
      <c r="Q157" s="5" t="str">
        <f aca="false">IF(C157="","",IF(IFERROR(INDEX(05_Строки_КП!$O$4:$O$203,MATCH(C157,05_Строки_КП!$A$4:$A$203,0)),"")="READY",IFERROR(INDEX(05_Строки_КП!$M$4:$M$203,MATCH(C157,05_Строки_КП!$A$4:$A$203,0)),""),""))</f>
        <v/>
      </c>
      <c r="R157" s="7" t="str">
        <f aca="false">IF(OR(V157="SELECTED_READY",V157="COMPARABLE_READY"),O157*G157*H157+SUM(K157:N157),"")</f>
        <v/>
      </c>
      <c r="S157" s="4"/>
      <c r="T157" s="4"/>
      <c r="U157" s="6"/>
      <c r="V157" s="5" t="str">
        <f aca="false">IF(A157="","",IF(AND(COUNTIF(A$4:A$203,A157)=1,B157&lt;&gt;"",C157&lt;&gt;"",D157&lt;&gt;"",COUNTIF(05_Строки_КП!$A$4:$A$203,C157)=1,IFERROR(INDEX(05_Строки_КП!$C$4:$C$203,MATCH(C157,05_Строки_КП!$A$4:$A$203,0)),"")=D157,IFERROR(INDEX(05_Строки_КП!$O$4:$O$203,MATCH(C157,05_Строки_КП!$A$4:$A$203,0)),"")="READY",E157="COMPARABLE",F157&lt;&gt;"",COUNT(G157:H157)=2,G157&gt;0,H157&gt;0,I157&lt;&gt;"",J157&lt;&gt;"",COUNTIF(13_Источники!$A$4:$A$203,J157)=1,W157&lt;&gt;"",COUNTIF(13_Источники!$A$4:$A$203,W157)=1,COUNT(K157:N157)=4,ISNUMBER(O157),U157&lt;&gt;"",01_Основания!$B$8&lt;&gt;"",OR(01_Основания!$B$9="NET",01_Основания!$B$9="GROSS"),01_Основания!$B$10&lt;&gt;"",IF(AND(ISNUMBER(O157),ISNUMBER(G157),ISNUMBER(H157)),O157*G157*H157+SUM(K157:N157)&gt;=0,FALSE())),IF(S157="SELECTED",IF(AND(COUNTIFS(B$4:B$203,B157,S$4:S$203,"SELECTED")=1,T157&lt;&gt;""),"SELECTED_READY","SELECTION_ERROR"),"COMPARABLE_READY"),"INCOMPLETE / NOT_COMPARABLE"))</f>
        <v/>
      </c>
      <c r="W157" s="6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6"/>
      <c r="L158" s="6"/>
      <c r="M158" s="6"/>
      <c r="N158" s="6"/>
      <c r="O158" s="7" t="str">
        <f aca="false">IF(C158="","",IF(IFERROR(INDEX(05_Строки_КП!$O$4:$O$203,MATCH(C158,05_Строки_КП!$A$4:$A$203,0)),"")="READY",IFERROR(INDEX(05_Строки_КП!$H$4:$H$203,MATCH(C158,05_Строки_КП!$A$4:$A$203,0)),""),""))</f>
        <v/>
      </c>
      <c r="P158" s="5" t="str">
        <f aca="false">IF(C158="","",IF(IFERROR(INDEX(05_Строки_КП!$O$4:$O$203,MATCH(C158,05_Строки_КП!$A$4:$A$203,0)),"")="READY",IFERROR(INDEX(05_Строки_КП!$L$4:$L$203,MATCH(C158,05_Строки_КП!$A$4:$A$203,0)),""),""))</f>
        <v/>
      </c>
      <c r="Q158" s="5" t="str">
        <f aca="false">IF(C158="","",IF(IFERROR(INDEX(05_Строки_КП!$O$4:$O$203,MATCH(C158,05_Строки_КП!$A$4:$A$203,0)),"")="READY",IFERROR(INDEX(05_Строки_КП!$M$4:$M$203,MATCH(C158,05_Строки_КП!$A$4:$A$203,0)),""),""))</f>
        <v/>
      </c>
      <c r="R158" s="7" t="str">
        <f aca="false">IF(OR(V158="SELECTED_READY",V158="COMPARABLE_READY"),O158*G158*H158+SUM(K158:N158),"")</f>
        <v/>
      </c>
      <c r="S158" s="4"/>
      <c r="T158" s="4"/>
      <c r="U158" s="6"/>
      <c r="V158" s="5" t="str">
        <f aca="false">IF(A158="","",IF(AND(COUNTIF(A$4:A$203,A158)=1,B158&lt;&gt;"",C158&lt;&gt;"",D158&lt;&gt;"",COUNTIF(05_Строки_КП!$A$4:$A$203,C158)=1,IFERROR(INDEX(05_Строки_КП!$C$4:$C$203,MATCH(C158,05_Строки_КП!$A$4:$A$203,0)),"")=D158,IFERROR(INDEX(05_Строки_КП!$O$4:$O$203,MATCH(C158,05_Строки_КП!$A$4:$A$203,0)),"")="READY",E158="COMPARABLE",F158&lt;&gt;"",COUNT(G158:H158)=2,G158&gt;0,H158&gt;0,I158&lt;&gt;"",J158&lt;&gt;"",COUNTIF(13_Источники!$A$4:$A$203,J158)=1,W158&lt;&gt;"",COUNTIF(13_Источники!$A$4:$A$203,W158)=1,COUNT(K158:N158)=4,ISNUMBER(O158),U158&lt;&gt;"",01_Основания!$B$8&lt;&gt;"",OR(01_Основания!$B$9="NET",01_Основания!$B$9="GROSS"),01_Основания!$B$10&lt;&gt;"",IF(AND(ISNUMBER(O158),ISNUMBER(G158),ISNUMBER(H158)),O158*G158*H158+SUM(K158:N158)&gt;=0,FALSE())),IF(S158="SELECTED",IF(AND(COUNTIFS(B$4:B$203,B158,S$4:S$203,"SELECTED")=1,T158&lt;&gt;""),"SELECTED_READY","SELECTION_ERROR"),"COMPARABLE_READY"),"INCOMPLETE / NOT_COMPARABLE"))</f>
        <v/>
      </c>
      <c r="W158" s="6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6"/>
      <c r="L159" s="6"/>
      <c r="M159" s="6"/>
      <c r="N159" s="6"/>
      <c r="O159" s="7" t="str">
        <f aca="false">IF(C159="","",IF(IFERROR(INDEX(05_Строки_КП!$O$4:$O$203,MATCH(C159,05_Строки_КП!$A$4:$A$203,0)),"")="READY",IFERROR(INDEX(05_Строки_КП!$H$4:$H$203,MATCH(C159,05_Строки_КП!$A$4:$A$203,0)),""),""))</f>
        <v/>
      </c>
      <c r="P159" s="5" t="str">
        <f aca="false">IF(C159="","",IF(IFERROR(INDEX(05_Строки_КП!$O$4:$O$203,MATCH(C159,05_Строки_КП!$A$4:$A$203,0)),"")="READY",IFERROR(INDEX(05_Строки_КП!$L$4:$L$203,MATCH(C159,05_Строки_КП!$A$4:$A$203,0)),""),""))</f>
        <v/>
      </c>
      <c r="Q159" s="5" t="str">
        <f aca="false">IF(C159="","",IF(IFERROR(INDEX(05_Строки_КП!$O$4:$O$203,MATCH(C159,05_Строки_КП!$A$4:$A$203,0)),"")="READY",IFERROR(INDEX(05_Строки_КП!$M$4:$M$203,MATCH(C159,05_Строки_КП!$A$4:$A$203,0)),""),""))</f>
        <v/>
      </c>
      <c r="R159" s="7" t="str">
        <f aca="false">IF(OR(V159="SELECTED_READY",V159="COMPARABLE_READY"),O159*G159*H159+SUM(K159:N159),"")</f>
        <v/>
      </c>
      <c r="S159" s="4"/>
      <c r="T159" s="4"/>
      <c r="U159" s="6"/>
      <c r="V159" s="5" t="str">
        <f aca="false">IF(A159="","",IF(AND(COUNTIF(A$4:A$203,A159)=1,B159&lt;&gt;"",C159&lt;&gt;"",D159&lt;&gt;"",COUNTIF(05_Строки_КП!$A$4:$A$203,C159)=1,IFERROR(INDEX(05_Строки_КП!$C$4:$C$203,MATCH(C159,05_Строки_КП!$A$4:$A$203,0)),"")=D159,IFERROR(INDEX(05_Строки_КП!$O$4:$O$203,MATCH(C159,05_Строки_КП!$A$4:$A$203,0)),"")="READY",E159="COMPARABLE",F159&lt;&gt;"",COUNT(G159:H159)=2,G159&gt;0,H159&gt;0,I159&lt;&gt;"",J159&lt;&gt;"",COUNTIF(13_Источники!$A$4:$A$203,J159)=1,W159&lt;&gt;"",COUNTIF(13_Источники!$A$4:$A$203,W159)=1,COUNT(K159:N159)=4,ISNUMBER(O159),U159&lt;&gt;"",01_Основания!$B$8&lt;&gt;"",OR(01_Основания!$B$9="NET",01_Основания!$B$9="GROSS"),01_Основания!$B$10&lt;&gt;"",IF(AND(ISNUMBER(O159),ISNUMBER(G159),ISNUMBER(H159)),O159*G159*H159+SUM(K159:N159)&gt;=0,FALSE())),IF(S159="SELECTED",IF(AND(COUNTIFS(B$4:B$203,B159,S$4:S$203,"SELECTED")=1,T159&lt;&gt;""),"SELECTED_READY","SELECTION_ERROR"),"COMPARABLE_READY"),"INCOMPLETE / NOT_COMPARABLE"))</f>
        <v/>
      </c>
      <c r="W159" s="6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6"/>
      <c r="L160" s="6"/>
      <c r="M160" s="6"/>
      <c r="N160" s="6"/>
      <c r="O160" s="7" t="str">
        <f aca="false">IF(C160="","",IF(IFERROR(INDEX(05_Строки_КП!$O$4:$O$203,MATCH(C160,05_Строки_КП!$A$4:$A$203,0)),"")="READY",IFERROR(INDEX(05_Строки_КП!$H$4:$H$203,MATCH(C160,05_Строки_КП!$A$4:$A$203,0)),""),""))</f>
        <v/>
      </c>
      <c r="P160" s="5" t="str">
        <f aca="false">IF(C160="","",IF(IFERROR(INDEX(05_Строки_КП!$O$4:$O$203,MATCH(C160,05_Строки_КП!$A$4:$A$203,0)),"")="READY",IFERROR(INDEX(05_Строки_КП!$L$4:$L$203,MATCH(C160,05_Строки_КП!$A$4:$A$203,0)),""),""))</f>
        <v/>
      </c>
      <c r="Q160" s="5" t="str">
        <f aca="false">IF(C160="","",IF(IFERROR(INDEX(05_Строки_КП!$O$4:$O$203,MATCH(C160,05_Строки_КП!$A$4:$A$203,0)),"")="READY",IFERROR(INDEX(05_Строки_КП!$M$4:$M$203,MATCH(C160,05_Строки_КП!$A$4:$A$203,0)),""),""))</f>
        <v/>
      </c>
      <c r="R160" s="7" t="str">
        <f aca="false">IF(OR(V160="SELECTED_READY",V160="COMPARABLE_READY"),O160*G160*H160+SUM(K160:N160),"")</f>
        <v/>
      </c>
      <c r="S160" s="4"/>
      <c r="T160" s="4"/>
      <c r="U160" s="6"/>
      <c r="V160" s="5" t="str">
        <f aca="false">IF(A160="","",IF(AND(COUNTIF(A$4:A$203,A160)=1,B160&lt;&gt;"",C160&lt;&gt;"",D160&lt;&gt;"",COUNTIF(05_Строки_КП!$A$4:$A$203,C160)=1,IFERROR(INDEX(05_Строки_КП!$C$4:$C$203,MATCH(C160,05_Строки_КП!$A$4:$A$203,0)),"")=D160,IFERROR(INDEX(05_Строки_КП!$O$4:$O$203,MATCH(C160,05_Строки_КП!$A$4:$A$203,0)),"")="READY",E160="COMPARABLE",F160&lt;&gt;"",COUNT(G160:H160)=2,G160&gt;0,H160&gt;0,I160&lt;&gt;"",J160&lt;&gt;"",COUNTIF(13_Источники!$A$4:$A$203,J160)=1,W160&lt;&gt;"",COUNTIF(13_Источники!$A$4:$A$203,W160)=1,COUNT(K160:N160)=4,ISNUMBER(O160),U160&lt;&gt;"",01_Основания!$B$8&lt;&gt;"",OR(01_Основания!$B$9="NET",01_Основания!$B$9="GROSS"),01_Основания!$B$10&lt;&gt;"",IF(AND(ISNUMBER(O160),ISNUMBER(G160),ISNUMBER(H160)),O160*G160*H160+SUM(K160:N160)&gt;=0,FALSE())),IF(S160="SELECTED",IF(AND(COUNTIFS(B$4:B$203,B160,S$4:S$203,"SELECTED")=1,T160&lt;&gt;""),"SELECTED_READY","SELECTION_ERROR"),"COMPARABLE_READY"),"INCOMPLETE / NOT_COMPARABLE"))</f>
        <v/>
      </c>
      <c r="W160" s="6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6"/>
      <c r="L161" s="6"/>
      <c r="M161" s="6"/>
      <c r="N161" s="6"/>
      <c r="O161" s="7" t="str">
        <f aca="false">IF(C161="","",IF(IFERROR(INDEX(05_Строки_КП!$O$4:$O$203,MATCH(C161,05_Строки_КП!$A$4:$A$203,0)),"")="READY",IFERROR(INDEX(05_Строки_КП!$H$4:$H$203,MATCH(C161,05_Строки_КП!$A$4:$A$203,0)),""),""))</f>
        <v/>
      </c>
      <c r="P161" s="5" t="str">
        <f aca="false">IF(C161="","",IF(IFERROR(INDEX(05_Строки_КП!$O$4:$O$203,MATCH(C161,05_Строки_КП!$A$4:$A$203,0)),"")="READY",IFERROR(INDEX(05_Строки_КП!$L$4:$L$203,MATCH(C161,05_Строки_КП!$A$4:$A$203,0)),""),""))</f>
        <v/>
      </c>
      <c r="Q161" s="5" t="str">
        <f aca="false">IF(C161="","",IF(IFERROR(INDEX(05_Строки_КП!$O$4:$O$203,MATCH(C161,05_Строки_КП!$A$4:$A$203,0)),"")="READY",IFERROR(INDEX(05_Строки_КП!$M$4:$M$203,MATCH(C161,05_Строки_КП!$A$4:$A$203,0)),""),""))</f>
        <v/>
      </c>
      <c r="R161" s="7" t="str">
        <f aca="false">IF(OR(V161="SELECTED_READY",V161="COMPARABLE_READY"),O161*G161*H161+SUM(K161:N161),"")</f>
        <v/>
      </c>
      <c r="S161" s="4"/>
      <c r="T161" s="4"/>
      <c r="U161" s="6"/>
      <c r="V161" s="5" t="str">
        <f aca="false">IF(A161="","",IF(AND(COUNTIF(A$4:A$203,A161)=1,B161&lt;&gt;"",C161&lt;&gt;"",D161&lt;&gt;"",COUNTIF(05_Строки_КП!$A$4:$A$203,C161)=1,IFERROR(INDEX(05_Строки_КП!$C$4:$C$203,MATCH(C161,05_Строки_КП!$A$4:$A$203,0)),"")=D161,IFERROR(INDEX(05_Строки_КП!$O$4:$O$203,MATCH(C161,05_Строки_КП!$A$4:$A$203,0)),"")="READY",E161="COMPARABLE",F161&lt;&gt;"",COUNT(G161:H161)=2,G161&gt;0,H161&gt;0,I161&lt;&gt;"",J161&lt;&gt;"",COUNTIF(13_Источники!$A$4:$A$203,J161)=1,W161&lt;&gt;"",COUNTIF(13_Источники!$A$4:$A$203,W161)=1,COUNT(K161:N161)=4,ISNUMBER(O161),U161&lt;&gt;"",01_Основания!$B$8&lt;&gt;"",OR(01_Основания!$B$9="NET",01_Основания!$B$9="GROSS"),01_Основания!$B$10&lt;&gt;"",IF(AND(ISNUMBER(O161),ISNUMBER(G161),ISNUMBER(H161)),O161*G161*H161+SUM(K161:N161)&gt;=0,FALSE())),IF(S161="SELECTED",IF(AND(COUNTIFS(B$4:B$203,B161,S$4:S$203,"SELECTED")=1,T161&lt;&gt;""),"SELECTED_READY","SELECTION_ERROR"),"COMPARABLE_READY"),"INCOMPLETE / NOT_COMPARABLE"))</f>
        <v/>
      </c>
      <c r="W161" s="6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6"/>
      <c r="L162" s="6"/>
      <c r="M162" s="6"/>
      <c r="N162" s="6"/>
      <c r="O162" s="7" t="str">
        <f aca="false">IF(C162="","",IF(IFERROR(INDEX(05_Строки_КП!$O$4:$O$203,MATCH(C162,05_Строки_КП!$A$4:$A$203,0)),"")="READY",IFERROR(INDEX(05_Строки_КП!$H$4:$H$203,MATCH(C162,05_Строки_КП!$A$4:$A$203,0)),""),""))</f>
        <v/>
      </c>
      <c r="P162" s="5" t="str">
        <f aca="false">IF(C162="","",IF(IFERROR(INDEX(05_Строки_КП!$O$4:$O$203,MATCH(C162,05_Строки_КП!$A$4:$A$203,0)),"")="READY",IFERROR(INDEX(05_Строки_КП!$L$4:$L$203,MATCH(C162,05_Строки_КП!$A$4:$A$203,0)),""),""))</f>
        <v/>
      </c>
      <c r="Q162" s="5" t="str">
        <f aca="false">IF(C162="","",IF(IFERROR(INDEX(05_Строки_КП!$O$4:$O$203,MATCH(C162,05_Строки_КП!$A$4:$A$203,0)),"")="READY",IFERROR(INDEX(05_Строки_КП!$M$4:$M$203,MATCH(C162,05_Строки_КП!$A$4:$A$203,0)),""),""))</f>
        <v/>
      </c>
      <c r="R162" s="7" t="str">
        <f aca="false">IF(OR(V162="SELECTED_READY",V162="COMPARABLE_READY"),O162*G162*H162+SUM(K162:N162),"")</f>
        <v/>
      </c>
      <c r="S162" s="4"/>
      <c r="T162" s="4"/>
      <c r="U162" s="6"/>
      <c r="V162" s="5" t="str">
        <f aca="false">IF(A162="","",IF(AND(COUNTIF(A$4:A$203,A162)=1,B162&lt;&gt;"",C162&lt;&gt;"",D162&lt;&gt;"",COUNTIF(05_Строки_КП!$A$4:$A$203,C162)=1,IFERROR(INDEX(05_Строки_КП!$C$4:$C$203,MATCH(C162,05_Строки_КП!$A$4:$A$203,0)),"")=D162,IFERROR(INDEX(05_Строки_КП!$O$4:$O$203,MATCH(C162,05_Строки_КП!$A$4:$A$203,0)),"")="READY",E162="COMPARABLE",F162&lt;&gt;"",COUNT(G162:H162)=2,G162&gt;0,H162&gt;0,I162&lt;&gt;"",J162&lt;&gt;"",COUNTIF(13_Источники!$A$4:$A$203,J162)=1,W162&lt;&gt;"",COUNTIF(13_Источники!$A$4:$A$203,W162)=1,COUNT(K162:N162)=4,ISNUMBER(O162),U162&lt;&gt;"",01_Основания!$B$8&lt;&gt;"",OR(01_Основания!$B$9="NET",01_Основания!$B$9="GROSS"),01_Основания!$B$10&lt;&gt;"",IF(AND(ISNUMBER(O162),ISNUMBER(G162),ISNUMBER(H162)),O162*G162*H162+SUM(K162:N162)&gt;=0,FALSE())),IF(S162="SELECTED",IF(AND(COUNTIFS(B$4:B$203,B162,S$4:S$203,"SELECTED")=1,T162&lt;&gt;""),"SELECTED_READY","SELECTION_ERROR"),"COMPARABLE_READY"),"INCOMPLETE / NOT_COMPARABLE"))</f>
        <v/>
      </c>
      <c r="W162" s="6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6"/>
      <c r="L163" s="6"/>
      <c r="M163" s="6"/>
      <c r="N163" s="6"/>
      <c r="O163" s="7" t="str">
        <f aca="false">IF(C163="","",IF(IFERROR(INDEX(05_Строки_КП!$O$4:$O$203,MATCH(C163,05_Строки_КП!$A$4:$A$203,0)),"")="READY",IFERROR(INDEX(05_Строки_КП!$H$4:$H$203,MATCH(C163,05_Строки_КП!$A$4:$A$203,0)),""),""))</f>
        <v/>
      </c>
      <c r="P163" s="5" t="str">
        <f aca="false">IF(C163="","",IF(IFERROR(INDEX(05_Строки_КП!$O$4:$O$203,MATCH(C163,05_Строки_КП!$A$4:$A$203,0)),"")="READY",IFERROR(INDEX(05_Строки_КП!$L$4:$L$203,MATCH(C163,05_Строки_КП!$A$4:$A$203,0)),""),""))</f>
        <v/>
      </c>
      <c r="Q163" s="5" t="str">
        <f aca="false">IF(C163="","",IF(IFERROR(INDEX(05_Строки_КП!$O$4:$O$203,MATCH(C163,05_Строки_КП!$A$4:$A$203,0)),"")="READY",IFERROR(INDEX(05_Строки_КП!$M$4:$M$203,MATCH(C163,05_Строки_КП!$A$4:$A$203,0)),""),""))</f>
        <v/>
      </c>
      <c r="R163" s="7" t="str">
        <f aca="false">IF(OR(V163="SELECTED_READY",V163="COMPARABLE_READY"),O163*G163*H163+SUM(K163:N163),"")</f>
        <v/>
      </c>
      <c r="S163" s="4"/>
      <c r="T163" s="4"/>
      <c r="U163" s="6"/>
      <c r="V163" s="5" t="str">
        <f aca="false">IF(A163="","",IF(AND(COUNTIF(A$4:A$203,A163)=1,B163&lt;&gt;"",C163&lt;&gt;"",D163&lt;&gt;"",COUNTIF(05_Строки_КП!$A$4:$A$203,C163)=1,IFERROR(INDEX(05_Строки_КП!$C$4:$C$203,MATCH(C163,05_Строки_КП!$A$4:$A$203,0)),"")=D163,IFERROR(INDEX(05_Строки_КП!$O$4:$O$203,MATCH(C163,05_Строки_КП!$A$4:$A$203,0)),"")="READY",E163="COMPARABLE",F163&lt;&gt;"",COUNT(G163:H163)=2,G163&gt;0,H163&gt;0,I163&lt;&gt;"",J163&lt;&gt;"",COUNTIF(13_Источники!$A$4:$A$203,J163)=1,W163&lt;&gt;"",COUNTIF(13_Источники!$A$4:$A$203,W163)=1,COUNT(K163:N163)=4,ISNUMBER(O163),U163&lt;&gt;"",01_Основания!$B$8&lt;&gt;"",OR(01_Основания!$B$9="NET",01_Основания!$B$9="GROSS"),01_Основания!$B$10&lt;&gt;"",IF(AND(ISNUMBER(O163),ISNUMBER(G163),ISNUMBER(H163)),O163*G163*H163+SUM(K163:N163)&gt;=0,FALSE())),IF(S163="SELECTED",IF(AND(COUNTIFS(B$4:B$203,B163,S$4:S$203,"SELECTED")=1,T163&lt;&gt;""),"SELECTED_READY","SELECTION_ERROR"),"COMPARABLE_READY"),"INCOMPLETE / NOT_COMPARABLE"))</f>
        <v/>
      </c>
      <c r="W163" s="6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6"/>
      <c r="L164" s="6"/>
      <c r="M164" s="6"/>
      <c r="N164" s="6"/>
      <c r="O164" s="7" t="str">
        <f aca="false">IF(C164="","",IF(IFERROR(INDEX(05_Строки_КП!$O$4:$O$203,MATCH(C164,05_Строки_КП!$A$4:$A$203,0)),"")="READY",IFERROR(INDEX(05_Строки_КП!$H$4:$H$203,MATCH(C164,05_Строки_КП!$A$4:$A$203,0)),""),""))</f>
        <v/>
      </c>
      <c r="P164" s="5" t="str">
        <f aca="false">IF(C164="","",IF(IFERROR(INDEX(05_Строки_КП!$O$4:$O$203,MATCH(C164,05_Строки_КП!$A$4:$A$203,0)),"")="READY",IFERROR(INDEX(05_Строки_КП!$L$4:$L$203,MATCH(C164,05_Строки_КП!$A$4:$A$203,0)),""),""))</f>
        <v/>
      </c>
      <c r="Q164" s="5" t="str">
        <f aca="false">IF(C164="","",IF(IFERROR(INDEX(05_Строки_КП!$O$4:$O$203,MATCH(C164,05_Строки_КП!$A$4:$A$203,0)),"")="READY",IFERROR(INDEX(05_Строки_КП!$M$4:$M$203,MATCH(C164,05_Строки_КП!$A$4:$A$203,0)),""),""))</f>
        <v/>
      </c>
      <c r="R164" s="7" t="str">
        <f aca="false">IF(OR(V164="SELECTED_READY",V164="COMPARABLE_READY"),O164*G164*H164+SUM(K164:N164),"")</f>
        <v/>
      </c>
      <c r="S164" s="4"/>
      <c r="T164" s="4"/>
      <c r="U164" s="6"/>
      <c r="V164" s="5" t="str">
        <f aca="false">IF(A164="","",IF(AND(COUNTIF(A$4:A$203,A164)=1,B164&lt;&gt;"",C164&lt;&gt;"",D164&lt;&gt;"",COUNTIF(05_Строки_КП!$A$4:$A$203,C164)=1,IFERROR(INDEX(05_Строки_КП!$C$4:$C$203,MATCH(C164,05_Строки_КП!$A$4:$A$203,0)),"")=D164,IFERROR(INDEX(05_Строки_КП!$O$4:$O$203,MATCH(C164,05_Строки_КП!$A$4:$A$203,0)),"")="READY",E164="COMPARABLE",F164&lt;&gt;"",COUNT(G164:H164)=2,G164&gt;0,H164&gt;0,I164&lt;&gt;"",J164&lt;&gt;"",COUNTIF(13_Источники!$A$4:$A$203,J164)=1,W164&lt;&gt;"",COUNTIF(13_Источники!$A$4:$A$203,W164)=1,COUNT(K164:N164)=4,ISNUMBER(O164),U164&lt;&gt;"",01_Основания!$B$8&lt;&gt;"",OR(01_Основания!$B$9="NET",01_Основания!$B$9="GROSS"),01_Основания!$B$10&lt;&gt;"",IF(AND(ISNUMBER(O164),ISNUMBER(G164),ISNUMBER(H164)),O164*G164*H164+SUM(K164:N164)&gt;=0,FALSE())),IF(S164="SELECTED",IF(AND(COUNTIFS(B$4:B$203,B164,S$4:S$203,"SELECTED")=1,T164&lt;&gt;""),"SELECTED_READY","SELECTION_ERROR"),"COMPARABLE_READY"),"INCOMPLETE / NOT_COMPARABLE"))</f>
        <v/>
      </c>
      <c r="W164" s="6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6"/>
      <c r="L165" s="6"/>
      <c r="M165" s="6"/>
      <c r="N165" s="6"/>
      <c r="O165" s="7" t="str">
        <f aca="false">IF(C165="","",IF(IFERROR(INDEX(05_Строки_КП!$O$4:$O$203,MATCH(C165,05_Строки_КП!$A$4:$A$203,0)),"")="READY",IFERROR(INDEX(05_Строки_КП!$H$4:$H$203,MATCH(C165,05_Строки_КП!$A$4:$A$203,0)),""),""))</f>
        <v/>
      </c>
      <c r="P165" s="5" t="str">
        <f aca="false">IF(C165="","",IF(IFERROR(INDEX(05_Строки_КП!$O$4:$O$203,MATCH(C165,05_Строки_КП!$A$4:$A$203,0)),"")="READY",IFERROR(INDEX(05_Строки_КП!$L$4:$L$203,MATCH(C165,05_Строки_КП!$A$4:$A$203,0)),""),""))</f>
        <v/>
      </c>
      <c r="Q165" s="5" t="str">
        <f aca="false">IF(C165="","",IF(IFERROR(INDEX(05_Строки_КП!$O$4:$O$203,MATCH(C165,05_Строки_КП!$A$4:$A$203,0)),"")="READY",IFERROR(INDEX(05_Строки_КП!$M$4:$M$203,MATCH(C165,05_Строки_КП!$A$4:$A$203,0)),""),""))</f>
        <v/>
      </c>
      <c r="R165" s="7" t="str">
        <f aca="false">IF(OR(V165="SELECTED_READY",V165="COMPARABLE_READY"),O165*G165*H165+SUM(K165:N165),"")</f>
        <v/>
      </c>
      <c r="S165" s="4"/>
      <c r="T165" s="4"/>
      <c r="U165" s="6"/>
      <c r="V165" s="5" t="str">
        <f aca="false">IF(A165="","",IF(AND(COUNTIF(A$4:A$203,A165)=1,B165&lt;&gt;"",C165&lt;&gt;"",D165&lt;&gt;"",COUNTIF(05_Строки_КП!$A$4:$A$203,C165)=1,IFERROR(INDEX(05_Строки_КП!$C$4:$C$203,MATCH(C165,05_Строки_КП!$A$4:$A$203,0)),"")=D165,IFERROR(INDEX(05_Строки_КП!$O$4:$O$203,MATCH(C165,05_Строки_КП!$A$4:$A$203,0)),"")="READY",E165="COMPARABLE",F165&lt;&gt;"",COUNT(G165:H165)=2,G165&gt;0,H165&gt;0,I165&lt;&gt;"",J165&lt;&gt;"",COUNTIF(13_Источники!$A$4:$A$203,J165)=1,W165&lt;&gt;"",COUNTIF(13_Источники!$A$4:$A$203,W165)=1,COUNT(K165:N165)=4,ISNUMBER(O165),U165&lt;&gt;"",01_Основания!$B$8&lt;&gt;"",OR(01_Основания!$B$9="NET",01_Основания!$B$9="GROSS"),01_Основания!$B$10&lt;&gt;"",IF(AND(ISNUMBER(O165),ISNUMBER(G165),ISNUMBER(H165)),O165*G165*H165+SUM(K165:N165)&gt;=0,FALSE())),IF(S165="SELECTED",IF(AND(COUNTIFS(B$4:B$203,B165,S$4:S$203,"SELECTED")=1,T165&lt;&gt;""),"SELECTED_READY","SELECTION_ERROR"),"COMPARABLE_READY"),"INCOMPLETE / NOT_COMPARABLE"))</f>
        <v/>
      </c>
      <c r="W165" s="6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6"/>
      <c r="L166" s="6"/>
      <c r="M166" s="6"/>
      <c r="N166" s="6"/>
      <c r="O166" s="7" t="str">
        <f aca="false">IF(C166="","",IF(IFERROR(INDEX(05_Строки_КП!$O$4:$O$203,MATCH(C166,05_Строки_КП!$A$4:$A$203,0)),"")="READY",IFERROR(INDEX(05_Строки_КП!$H$4:$H$203,MATCH(C166,05_Строки_КП!$A$4:$A$203,0)),""),""))</f>
        <v/>
      </c>
      <c r="P166" s="5" t="str">
        <f aca="false">IF(C166="","",IF(IFERROR(INDEX(05_Строки_КП!$O$4:$O$203,MATCH(C166,05_Строки_КП!$A$4:$A$203,0)),"")="READY",IFERROR(INDEX(05_Строки_КП!$L$4:$L$203,MATCH(C166,05_Строки_КП!$A$4:$A$203,0)),""),""))</f>
        <v/>
      </c>
      <c r="Q166" s="5" t="str">
        <f aca="false">IF(C166="","",IF(IFERROR(INDEX(05_Строки_КП!$O$4:$O$203,MATCH(C166,05_Строки_КП!$A$4:$A$203,0)),"")="READY",IFERROR(INDEX(05_Строки_КП!$M$4:$M$203,MATCH(C166,05_Строки_КП!$A$4:$A$203,0)),""),""))</f>
        <v/>
      </c>
      <c r="R166" s="7" t="str">
        <f aca="false">IF(OR(V166="SELECTED_READY",V166="COMPARABLE_READY"),O166*G166*H166+SUM(K166:N166),"")</f>
        <v/>
      </c>
      <c r="S166" s="4"/>
      <c r="T166" s="4"/>
      <c r="U166" s="6"/>
      <c r="V166" s="5" t="str">
        <f aca="false">IF(A166="","",IF(AND(COUNTIF(A$4:A$203,A166)=1,B166&lt;&gt;"",C166&lt;&gt;"",D166&lt;&gt;"",COUNTIF(05_Строки_КП!$A$4:$A$203,C166)=1,IFERROR(INDEX(05_Строки_КП!$C$4:$C$203,MATCH(C166,05_Строки_КП!$A$4:$A$203,0)),"")=D166,IFERROR(INDEX(05_Строки_КП!$O$4:$O$203,MATCH(C166,05_Строки_КП!$A$4:$A$203,0)),"")="READY",E166="COMPARABLE",F166&lt;&gt;"",COUNT(G166:H166)=2,G166&gt;0,H166&gt;0,I166&lt;&gt;"",J166&lt;&gt;"",COUNTIF(13_Источники!$A$4:$A$203,J166)=1,W166&lt;&gt;"",COUNTIF(13_Источники!$A$4:$A$203,W166)=1,COUNT(K166:N166)=4,ISNUMBER(O166),U166&lt;&gt;"",01_Основания!$B$8&lt;&gt;"",OR(01_Основания!$B$9="NET",01_Основания!$B$9="GROSS"),01_Основания!$B$10&lt;&gt;"",IF(AND(ISNUMBER(O166),ISNUMBER(G166),ISNUMBER(H166)),O166*G166*H166+SUM(K166:N166)&gt;=0,FALSE())),IF(S166="SELECTED",IF(AND(COUNTIFS(B$4:B$203,B166,S$4:S$203,"SELECTED")=1,T166&lt;&gt;""),"SELECTED_READY","SELECTION_ERROR"),"COMPARABLE_READY"),"INCOMPLETE / NOT_COMPARABLE"))</f>
        <v/>
      </c>
      <c r="W166" s="6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6"/>
      <c r="L167" s="6"/>
      <c r="M167" s="6"/>
      <c r="N167" s="6"/>
      <c r="O167" s="7" t="str">
        <f aca="false">IF(C167="","",IF(IFERROR(INDEX(05_Строки_КП!$O$4:$O$203,MATCH(C167,05_Строки_КП!$A$4:$A$203,0)),"")="READY",IFERROR(INDEX(05_Строки_КП!$H$4:$H$203,MATCH(C167,05_Строки_КП!$A$4:$A$203,0)),""),""))</f>
        <v/>
      </c>
      <c r="P167" s="5" t="str">
        <f aca="false">IF(C167="","",IF(IFERROR(INDEX(05_Строки_КП!$O$4:$O$203,MATCH(C167,05_Строки_КП!$A$4:$A$203,0)),"")="READY",IFERROR(INDEX(05_Строки_КП!$L$4:$L$203,MATCH(C167,05_Строки_КП!$A$4:$A$203,0)),""),""))</f>
        <v/>
      </c>
      <c r="Q167" s="5" t="str">
        <f aca="false">IF(C167="","",IF(IFERROR(INDEX(05_Строки_КП!$O$4:$O$203,MATCH(C167,05_Строки_КП!$A$4:$A$203,0)),"")="READY",IFERROR(INDEX(05_Строки_КП!$M$4:$M$203,MATCH(C167,05_Строки_КП!$A$4:$A$203,0)),""),""))</f>
        <v/>
      </c>
      <c r="R167" s="7" t="str">
        <f aca="false">IF(OR(V167="SELECTED_READY",V167="COMPARABLE_READY"),O167*G167*H167+SUM(K167:N167),"")</f>
        <v/>
      </c>
      <c r="S167" s="4"/>
      <c r="T167" s="4"/>
      <c r="U167" s="6"/>
      <c r="V167" s="5" t="str">
        <f aca="false">IF(A167="","",IF(AND(COUNTIF(A$4:A$203,A167)=1,B167&lt;&gt;"",C167&lt;&gt;"",D167&lt;&gt;"",COUNTIF(05_Строки_КП!$A$4:$A$203,C167)=1,IFERROR(INDEX(05_Строки_КП!$C$4:$C$203,MATCH(C167,05_Строки_КП!$A$4:$A$203,0)),"")=D167,IFERROR(INDEX(05_Строки_КП!$O$4:$O$203,MATCH(C167,05_Строки_КП!$A$4:$A$203,0)),"")="READY",E167="COMPARABLE",F167&lt;&gt;"",COUNT(G167:H167)=2,G167&gt;0,H167&gt;0,I167&lt;&gt;"",J167&lt;&gt;"",COUNTIF(13_Источники!$A$4:$A$203,J167)=1,W167&lt;&gt;"",COUNTIF(13_Источники!$A$4:$A$203,W167)=1,COUNT(K167:N167)=4,ISNUMBER(O167),U167&lt;&gt;"",01_Основания!$B$8&lt;&gt;"",OR(01_Основания!$B$9="NET",01_Основания!$B$9="GROSS"),01_Основания!$B$10&lt;&gt;"",IF(AND(ISNUMBER(O167),ISNUMBER(G167),ISNUMBER(H167)),O167*G167*H167+SUM(K167:N167)&gt;=0,FALSE())),IF(S167="SELECTED",IF(AND(COUNTIFS(B$4:B$203,B167,S$4:S$203,"SELECTED")=1,T167&lt;&gt;""),"SELECTED_READY","SELECTION_ERROR"),"COMPARABLE_READY"),"INCOMPLETE / NOT_COMPARABLE"))</f>
        <v/>
      </c>
      <c r="W167" s="6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6"/>
      <c r="L168" s="6"/>
      <c r="M168" s="6"/>
      <c r="N168" s="6"/>
      <c r="O168" s="7" t="str">
        <f aca="false">IF(C168="","",IF(IFERROR(INDEX(05_Строки_КП!$O$4:$O$203,MATCH(C168,05_Строки_КП!$A$4:$A$203,0)),"")="READY",IFERROR(INDEX(05_Строки_КП!$H$4:$H$203,MATCH(C168,05_Строки_КП!$A$4:$A$203,0)),""),""))</f>
        <v/>
      </c>
      <c r="P168" s="5" t="str">
        <f aca="false">IF(C168="","",IF(IFERROR(INDEX(05_Строки_КП!$O$4:$O$203,MATCH(C168,05_Строки_КП!$A$4:$A$203,0)),"")="READY",IFERROR(INDEX(05_Строки_КП!$L$4:$L$203,MATCH(C168,05_Строки_КП!$A$4:$A$203,0)),""),""))</f>
        <v/>
      </c>
      <c r="Q168" s="5" t="str">
        <f aca="false">IF(C168="","",IF(IFERROR(INDEX(05_Строки_КП!$O$4:$O$203,MATCH(C168,05_Строки_КП!$A$4:$A$203,0)),"")="READY",IFERROR(INDEX(05_Строки_КП!$M$4:$M$203,MATCH(C168,05_Строки_КП!$A$4:$A$203,0)),""),""))</f>
        <v/>
      </c>
      <c r="R168" s="7" t="str">
        <f aca="false">IF(OR(V168="SELECTED_READY",V168="COMPARABLE_READY"),O168*G168*H168+SUM(K168:N168),"")</f>
        <v/>
      </c>
      <c r="S168" s="4"/>
      <c r="T168" s="4"/>
      <c r="U168" s="6"/>
      <c r="V168" s="5" t="str">
        <f aca="false">IF(A168="","",IF(AND(COUNTIF(A$4:A$203,A168)=1,B168&lt;&gt;"",C168&lt;&gt;"",D168&lt;&gt;"",COUNTIF(05_Строки_КП!$A$4:$A$203,C168)=1,IFERROR(INDEX(05_Строки_КП!$C$4:$C$203,MATCH(C168,05_Строки_КП!$A$4:$A$203,0)),"")=D168,IFERROR(INDEX(05_Строки_КП!$O$4:$O$203,MATCH(C168,05_Строки_КП!$A$4:$A$203,0)),"")="READY",E168="COMPARABLE",F168&lt;&gt;"",COUNT(G168:H168)=2,G168&gt;0,H168&gt;0,I168&lt;&gt;"",J168&lt;&gt;"",COUNTIF(13_Источники!$A$4:$A$203,J168)=1,W168&lt;&gt;"",COUNTIF(13_Источники!$A$4:$A$203,W168)=1,COUNT(K168:N168)=4,ISNUMBER(O168),U168&lt;&gt;"",01_Основания!$B$8&lt;&gt;"",OR(01_Основания!$B$9="NET",01_Основания!$B$9="GROSS"),01_Основания!$B$10&lt;&gt;"",IF(AND(ISNUMBER(O168),ISNUMBER(G168),ISNUMBER(H168)),O168*G168*H168+SUM(K168:N168)&gt;=0,FALSE())),IF(S168="SELECTED",IF(AND(COUNTIFS(B$4:B$203,B168,S$4:S$203,"SELECTED")=1,T168&lt;&gt;""),"SELECTED_READY","SELECTION_ERROR"),"COMPARABLE_READY"),"INCOMPLETE / NOT_COMPARABLE"))</f>
        <v/>
      </c>
      <c r="W168" s="6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6"/>
      <c r="L169" s="6"/>
      <c r="M169" s="6"/>
      <c r="N169" s="6"/>
      <c r="O169" s="7" t="str">
        <f aca="false">IF(C169="","",IF(IFERROR(INDEX(05_Строки_КП!$O$4:$O$203,MATCH(C169,05_Строки_КП!$A$4:$A$203,0)),"")="READY",IFERROR(INDEX(05_Строки_КП!$H$4:$H$203,MATCH(C169,05_Строки_КП!$A$4:$A$203,0)),""),""))</f>
        <v/>
      </c>
      <c r="P169" s="5" t="str">
        <f aca="false">IF(C169="","",IF(IFERROR(INDEX(05_Строки_КП!$O$4:$O$203,MATCH(C169,05_Строки_КП!$A$4:$A$203,0)),"")="READY",IFERROR(INDEX(05_Строки_КП!$L$4:$L$203,MATCH(C169,05_Строки_КП!$A$4:$A$203,0)),""),""))</f>
        <v/>
      </c>
      <c r="Q169" s="5" t="str">
        <f aca="false">IF(C169="","",IF(IFERROR(INDEX(05_Строки_КП!$O$4:$O$203,MATCH(C169,05_Строки_КП!$A$4:$A$203,0)),"")="READY",IFERROR(INDEX(05_Строки_КП!$M$4:$M$203,MATCH(C169,05_Строки_КП!$A$4:$A$203,0)),""),""))</f>
        <v/>
      </c>
      <c r="R169" s="7" t="str">
        <f aca="false">IF(OR(V169="SELECTED_READY",V169="COMPARABLE_READY"),O169*G169*H169+SUM(K169:N169),"")</f>
        <v/>
      </c>
      <c r="S169" s="4"/>
      <c r="T169" s="4"/>
      <c r="U169" s="6"/>
      <c r="V169" s="5" t="str">
        <f aca="false">IF(A169="","",IF(AND(COUNTIF(A$4:A$203,A169)=1,B169&lt;&gt;"",C169&lt;&gt;"",D169&lt;&gt;"",COUNTIF(05_Строки_КП!$A$4:$A$203,C169)=1,IFERROR(INDEX(05_Строки_КП!$C$4:$C$203,MATCH(C169,05_Строки_КП!$A$4:$A$203,0)),"")=D169,IFERROR(INDEX(05_Строки_КП!$O$4:$O$203,MATCH(C169,05_Строки_КП!$A$4:$A$203,0)),"")="READY",E169="COMPARABLE",F169&lt;&gt;"",COUNT(G169:H169)=2,G169&gt;0,H169&gt;0,I169&lt;&gt;"",J169&lt;&gt;"",COUNTIF(13_Источники!$A$4:$A$203,J169)=1,W169&lt;&gt;"",COUNTIF(13_Источники!$A$4:$A$203,W169)=1,COUNT(K169:N169)=4,ISNUMBER(O169),U169&lt;&gt;"",01_Основания!$B$8&lt;&gt;"",OR(01_Основания!$B$9="NET",01_Основания!$B$9="GROSS"),01_Основания!$B$10&lt;&gt;"",IF(AND(ISNUMBER(O169),ISNUMBER(G169),ISNUMBER(H169)),O169*G169*H169+SUM(K169:N169)&gt;=0,FALSE())),IF(S169="SELECTED",IF(AND(COUNTIFS(B$4:B$203,B169,S$4:S$203,"SELECTED")=1,T169&lt;&gt;""),"SELECTED_READY","SELECTION_ERROR"),"COMPARABLE_READY"),"INCOMPLETE / NOT_COMPARABLE"))</f>
        <v/>
      </c>
      <c r="W169" s="6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6"/>
      <c r="L170" s="6"/>
      <c r="M170" s="6"/>
      <c r="N170" s="6"/>
      <c r="O170" s="7" t="str">
        <f aca="false">IF(C170="","",IF(IFERROR(INDEX(05_Строки_КП!$O$4:$O$203,MATCH(C170,05_Строки_КП!$A$4:$A$203,0)),"")="READY",IFERROR(INDEX(05_Строки_КП!$H$4:$H$203,MATCH(C170,05_Строки_КП!$A$4:$A$203,0)),""),""))</f>
        <v/>
      </c>
      <c r="P170" s="5" t="str">
        <f aca="false">IF(C170="","",IF(IFERROR(INDEX(05_Строки_КП!$O$4:$O$203,MATCH(C170,05_Строки_КП!$A$4:$A$203,0)),"")="READY",IFERROR(INDEX(05_Строки_КП!$L$4:$L$203,MATCH(C170,05_Строки_КП!$A$4:$A$203,0)),""),""))</f>
        <v/>
      </c>
      <c r="Q170" s="5" t="str">
        <f aca="false">IF(C170="","",IF(IFERROR(INDEX(05_Строки_КП!$O$4:$O$203,MATCH(C170,05_Строки_КП!$A$4:$A$203,0)),"")="READY",IFERROR(INDEX(05_Строки_КП!$M$4:$M$203,MATCH(C170,05_Строки_КП!$A$4:$A$203,0)),""),""))</f>
        <v/>
      </c>
      <c r="R170" s="7" t="str">
        <f aca="false">IF(OR(V170="SELECTED_READY",V170="COMPARABLE_READY"),O170*G170*H170+SUM(K170:N170),"")</f>
        <v/>
      </c>
      <c r="S170" s="4"/>
      <c r="T170" s="4"/>
      <c r="U170" s="6"/>
      <c r="V170" s="5" t="str">
        <f aca="false">IF(A170="","",IF(AND(COUNTIF(A$4:A$203,A170)=1,B170&lt;&gt;"",C170&lt;&gt;"",D170&lt;&gt;"",COUNTIF(05_Строки_КП!$A$4:$A$203,C170)=1,IFERROR(INDEX(05_Строки_КП!$C$4:$C$203,MATCH(C170,05_Строки_КП!$A$4:$A$203,0)),"")=D170,IFERROR(INDEX(05_Строки_КП!$O$4:$O$203,MATCH(C170,05_Строки_КП!$A$4:$A$203,0)),"")="READY",E170="COMPARABLE",F170&lt;&gt;"",COUNT(G170:H170)=2,G170&gt;0,H170&gt;0,I170&lt;&gt;"",J170&lt;&gt;"",COUNTIF(13_Источники!$A$4:$A$203,J170)=1,W170&lt;&gt;"",COUNTIF(13_Источники!$A$4:$A$203,W170)=1,COUNT(K170:N170)=4,ISNUMBER(O170),U170&lt;&gt;"",01_Основания!$B$8&lt;&gt;"",OR(01_Основания!$B$9="NET",01_Основания!$B$9="GROSS"),01_Основания!$B$10&lt;&gt;"",IF(AND(ISNUMBER(O170),ISNUMBER(G170),ISNUMBER(H170)),O170*G170*H170+SUM(K170:N170)&gt;=0,FALSE())),IF(S170="SELECTED",IF(AND(COUNTIFS(B$4:B$203,B170,S$4:S$203,"SELECTED")=1,T170&lt;&gt;""),"SELECTED_READY","SELECTION_ERROR"),"COMPARABLE_READY"),"INCOMPLETE / NOT_COMPARABLE"))</f>
        <v/>
      </c>
      <c r="W170" s="6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6"/>
      <c r="L171" s="6"/>
      <c r="M171" s="6"/>
      <c r="N171" s="6"/>
      <c r="O171" s="7" t="str">
        <f aca="false">IF(C171="","",IF(IFERROR(INDEX(05_Строки_КП!$O$4:$O$203,MATCH(C171,05_Строки_КП!$A$4:$A$203,0)),"")="READY",IFERROR(INDEX(05_Строки_КП!$H$4:$H$203,MATCH(C171,05_Строки_КП!$A$4:$A$203,0)),""),""))</f>
        <v/>
      </c>
      <c r="P171" s="5" t="str">
        <f aca="false">IF(C171="","",IF(IFERROR(INDEX(05_Строки_КП!$O$4:$O$203,MATCH(C171,05_Строки_КП!$A$4:$A$203,0)),"")="READY",IFERROR(INDEX(05_Строки_КП!$L$4:$L$203,MATCH(C171,05_Строки_КП!$A$4:$A$203,0)),""),""))</f>
        <v/>
      </c>
      <c r="Q171" s="5" t="str">
        <f aca="false">IF(C171="","",IF(IFERROR(INDEX(05_Строки_КП!$O$4:$O$203,MATCH(C171,05_Строки_КП!$A$4:$A$203,0)),"")="READY",IFERROR(INDEX(05_Строки_КП!$M$4:$M$203,MATCH(C171,05_Строки_КП!$A$4:$A$203,0)),""),""))</f>
        <v/>
      </c>
      <c r="R171" s="7" t="str">
        <f aca="false">IF(OR(V171="SELECTED_READY",V171="COMPARABLE_READY"),O171*G171*H171+SUM(K171:N171),"")</f>
        <v/>
      </c>
      <c r="S171" s="4"/>
      <c r="T171" s="4"/>
      <c r="U171" s="6"/>
      <c r="V171" s="5" t="str">
        <f aca="false">IF(A171="","",IF(AND(COUNTIF(A$4:A$203,A171)=1,B171&lt;&gt;"",C171&lt;&gt;"",D171&lt;&gt;"",COUNTIF(05_Строки_КП!$A$4:$A$203,C171)=1,IFERROR(INDEX(05_Строки_КП!$C$4:$C$203,MATCH(C171,05_Строки_КП!$A$4:$A$203,0)),"")=D171,IFERROR(INDEX(05_Строки_КП!$O$4:$O$203,MATCH(C171,05_Строки_КП!$A$4:$A$203,0)),"")="READY",E171="COMPARABLE",F171&lt;&gt;"",COUNT(G171:H171)=2,G171&gt;0,H171&gt;0,I171&lt;&gt;"",J171&lt;&gt;"",COUNTIF(13_Источники!$A$4:$A$203,J171)=1,W171&lt;&gt;"",COUNTIF(13_Источники!$A$4:$A$203,W171)=1,COUNT(K171:N171)=4,ISNUMBER(O171),U171&lt;&gt;"",01_Основания!$B$8&lt;&gt;"",OR(01_Основания!$B$9="NET",01_Основания!$B$9="GROSS"),01_Основания!$B$10&lt;&gt;"",IF(AND(ISNUMBER(O171),ISNUMBER(G171),ISNUMBER(H171)),O171*G171*H171+SUM(K171:N171)&gt;=0,FALSE())),IF(S171="SELECTED",IF(AND(COUNTIFS(B$4:B$203,B171,S$4:S$203,"SELECTED")=1,T171&lt;&gt;""),"SELECTED_READY","SELECTION_ERROR"),"COMPARABLE_READY"),"INCOMPLETE / NOT_COMPARABLE"))</f>
        <v/>
      </c>
      <c r="W171" s="6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6"/>
      <c r="L172" s="6"/>
      <c r="M172" s="6"/>
      <c r="N172" s="6"/>
      <c r="O172" s="7" t="str">
        <f aca="false">IF(C172="","",IF(IFERROR(INDEX(05_Строки_КП!$O$4:$O$203,MATCH(C172,05_Строки_КП!$A$4:$A$203,0)),"")="READY",IFERROR(INDEX(05_Строки_КП!$H$4:$H$203,MATCH(C172,05_Строки_КП!$A$4:$A$203,0)),""),""))</f>
        <v/>
      </c>
      <c r="P172" s="5" t="str">
        <f aca="false">IF(C172="","",IF(IFERROR(INDEX(05_Строки_КП!$O$4:$O$203,MATCH(C172,05_Строки_КП!$A$4:$A$203,0)),"")="READY",IFERROR(INDEX(05_Строки_КП!$L$4:$L$203,MATCH(C172,05_Строки_КП!$A$4:$A$203,0)),""),""))</f>
        <v/>
      </c>
      <c r="Q172" s="5" t="str">
        <f aca="false">IF(C172="","",IF(IFERROR(INDEX(05_Строки_КП!$O$4:$O$203,MATCH(C172,05_Строки_КП!$A$4:$A$203,0)),"")="READY",IFERROR(INDEX(05_Строки_КП!$M$4:$M$203,MATCH(C172,05_Строки_КП!$A$4:$A$203,0)),""),""))</f>
        <v/>
      </c>
      <c r="R172" s="7" t="str">
        <f aca="false">IF(OR(V172="SELECTED_READY",V172="COMPARABLE_READY"),O172*G172*H172+SUM(K172:N172),"")</f>
        <v/>
      </c>
      <c r="S172" s="4"/>
      <c r="T172" s="4"/>
      <c r="U172" s="6"/>
      <c r="V172" s="5" t="str">
        <f aca="false">IF(A172="","",IF(AND(COUNTIF(A$4:A$203,A172)=1,B172&lt;&gt;"",C172&lt;&gt;"",D172&lt;&gt;"",COUNTIF(05_Строки_КП!$A$4:$A$203,C172)=1,IFERROR(INDEX(05_Строки_КП!$C$4:$C$203,MATCH(C172,05_Строки_КП!$A$4:$A$203,0)),"")=D172,IFERROR(INDEX(05_Строки_КП!$O$4:$O$203,MATCH(C172,05_Строки_КП!$A$4:$A$203,0)),"")="READY",E172="COMPARABLE",F172&lt;&gt;"",COUNT(G172:H172)=2,G172&gt;0,H172&gt;0,I172&lt;&gt;"",J172&lt;&gt;"",COUNTIF(13_Источники!$A$4:$A$203,J172)=1,W172&lt;&gt;"",COUNTIF(13_Источники!$A$4:$A$203,W172)=1,COUNT(K172:N172)=4,ISNUMBER(O172),U172&lt;&gt;"",01_Основания!$B$8&lt;&gt;"",OR(01_Основания!$B$9="NET",01_Основания!$B$9="GROSS"),01_Основания!$B$10&lt;&gt;"",IF(AND(ISNUMBER(O172),ISNUMBER(G172),ISNUMBER(H172)),O172*G172*H172+SUM(K172:N172)&gt;=0,FALSE())),IF(S172="SELECTED",IF(AND(COUNTIFS(B$4:B$203,B172,S$4:S$203,"SELECTED")=1,T172&lt;&gt;""),"SELECTED_READY","SELECTION_ERROR"),"COMPARABLE_READY"),"INCOMPLETE / NOT_COMPARABLE"))</f>
        <v/>
      </c>
      <c r="W172" s="6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6"/>
      <c r="L173" s="6"/>
      <c r="M173" s="6"/>
      <c r="N173" s="6"/>
      <c r="O173" s="7" t="str">
        <f aca="false">IF(C173="","",IF(IFERROR(INDEX(05_Строки_КП!$O$4:$O$203,MATCH(C173,05_Строки_КП!$A$4:$A$203,0)),"")="READY",IFERROR(INDEX(05_Строки_КП!$H$4:$H$203,MATCH(C173,05_Строки_КП!$A$4:$A$203,0)),""),""))</f>
        <v/>
      </c>
      <c r="P173" s="5" t="str">
        <f aca="false">IF(C173="","",IF(IFERROR(INDEX(05_Строки_КП!$O$4:$O$203,MATCH(C173,05_Строки_КП!$A$4:$A$203,0)),"")="READY",IFERROR(INDEX(05_Строки_КП!$L$4:$L$203,MATCH(C173,05_Строки_КП!$A$4:$A$203,0)),""),""))</f>
        <v/>
      </c>
      <c r="Q173" s="5" t="str">
        <f aca="false">IF(C173="","",IF(IFERROR(INDEX(05_Строки_КП!$O$4:$O$203,MATCH(C173,05_Строки_КП!$A$4:$A$203,0)),"")="READY",IFERROR(INDEX(05_Строки_КП!$M$4:$M$203,MATCH(C173,05_Строки_КП!$A$4:$A$203,0)),""),""))</f>
        <v/>
      </c>
      <c r="R173" s="7" t="str">
        <f aca="false">IF(OR(V173="SELECTED_READY",V173="COMPARABLE_READY"),O173*G173*H173+SUM(K173:N173),"")</f>
        <v/>
      </c>
      <c r="S173" s="4"/>
      <c r="T173" s="4"/>
      <c r="U173" s="6"/>
      <c r="V173" s="5" t="str">
        <f aca="false">IF(A173="","",IF(AND(COUNTIF(A$4:A$203,A173)=1,B173&lt;&gt;"",C173&lt;&gt;"",D173&lt;&gt;"",COUNTIF(05_Строки_КП!$A$4:$A$203,C173)=1,IFERROR(INDEX(05_Строки_КП!$C$4:$C$203,MATCH(C173,05_Строки_КП!$A$4:$A$203,0)),"")=D173,IFERROR(INDEX(05_Строки_КП!$O$4:$O$203,MATCH(C173,05_Строки_КП!$A$4:$A$203,0)),"")="READY",E173="COMPARABLE",F173&lt;&gt;"",COUNT(G173:H173)=2,G173&gt;0,H173&gt;0,I173&lt;&gt;"",J173&lt;&gt;"",COUNTIF(13_Источники!$A$4:$A$203,J173)=1,W173&lt;&gt;"",COUNTIF(13_Источники!$A$4:$A$203,W173)=1,COUNT(K173:N173)=4,ISNUMBER(O173),U173&lt;&gt;"",01_Основания!$B$8&lt;&gt;"",OR(01_Основания!$B$9="NET",01_Основания!$B$9="GROSS"),01_Основания!$B$10&lt;&gt;"",IF(AND(ISNUMBER(O173),ISNUMBER(G173),ISNUMBER(H173)),O173*G173*H173+SUM(K173:N173)&gt;=0,FALSE())),IF(S173="SELECTED",IF(AND(COUNTIFS(B$4:B$203,B173,S$4:S$203,"SELECTED")=1,T173&lt;&gt;""),"SELECTED_READY","SELECTION_ERROR"),"COMPARABLE_READY"),"INCOMPLETE / NOT_COMPARABLE"))</f>
        <v/>
      </c>
      <c r="W173" s="6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6"/>
      <c r="L174" s="6"/>
      <c r="M174" s="6"/>
      <c r="N174" s="6"/>
      <c r="O174" s="7" t="str">
        <f aca="false">IF(C174="","",IF(IFERROR(INDEX(05_Строки_КП!$O$4:$O$203,MATCH(C174,05_Строки_КП!$A$4:$A$203,0)),"")="READY",IFERROR(INDEX(05_Строки_КП!$H$4:$H$203,MATCH(C174,05_Строки_КП!$A$4:$A$203,0)),""),""))</f>
        <v/>
      </c>
      <c r="P174" s="5" t="str">
        <f aca="false">IF(C174="","",IF(IFERROR(INDEX(05_Строки_КП!$O$4:$O$203,MATCH(C174,05_Строки_КП!$A$4:$A$203,0)),"")="READY",IFERROR(INDEX(05_Строки_КП!$L$4:$L$203,MATCH(C174,05_Строки_КП!$A$4:$A$203,0)),""),""))</f>
        <v/>
      </c>
      <c r="Q174" s="5" t="str">
        <f aca="false">IF(C174="","",IF(IFERROR(INDEX(05_Строки_КП!$O$4:$O$203,MATCH(C174,05_Строки_КП!$A$4:$A$203,0)),"")="READY",IFERROR(INDEX(05_Строки_КП!$M$4:$M$203,MATCH(C174,05_Строки_КП!$A$4:$A$203,0)),""),""))</f>
        <v/>
      </c>
      <c r="R174" s="7" t="str">
        <f aca="false">IF(OR(V174="SELECTED_READY",V174="COMPARABLE_READY"),O174*G174*H174+SUM(K174:N174),"")</f>
        <v/>
      </c>
      <c r="S174" s="4"/>
      <c r="T174" s="4"/>
      <c r="U174" s="6"/>
      <c r="V174" s="5" t="str">
        <f aca="false">IF(A174="","",IF(AND(COUNTIF(A$4:A$203,A174)=1,B174&lt;&gt;"",C174&lt;&gt;"",D174&lt;&gt;"",COUNTIF(05_Строки_КП!$A$4:$A$203,C174)=1,IFERROR(INDEX(05_Строки_КП!$C$4:$C$203,MATCH(C174,05_Строки_КП!$A$4:$A$203,0)),"")=D174,IFERROR(INDEX(05_Строки_КП!$O$4:$O$203,MATCH(C174,05_Строки_КП!$A$4:$A$203,0)),"")="READY",E174="COMPARABLE",F174&lt;&gt;"",COUNT(G174:H174)=2,G174&gt;0,H174&gt;0,I174&lt;&gt;"",J174&lt;&gt;"",COUNTIF(13_Источники!$A$4:$A$203,J174)=1,W174&lt;&gt;"",COUNTIF(13_Источники!$A$4:$A$203,W174)=1,COUNT(K174:N174)=4,ISNUMBER(O174),U174&lt;&gt;"",01_Основания!$B$8&lt;&gt;"",OR(01_Основания!$B$9="NET",01_Основания!$B$9="GROSS"),01_Основания!$B$10&lt;&gt;"",IF(AND(ISNUMBER(O174),ISNUMBER(G174),ISNUMBER(H174)),O174*G174*H174+SUM(K174:N174)&gt;=0,FALSE())),IF(S174="SELECTED",IF(AND(COUNTIFS(B$4:B$203,B174,S$4:S$203,"SELECTED")=1,T174&lt;&gt;""),"SELECTED_READY","SELECTION_ERROR"),"COMPARABLE_READY"),"INCOMPLETE / NOT_COMPARABLE"))</f>
        <v/>
      </c>
      <c r="W174" s="6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6"/>
      <c r="L175" s="6"/>
      <c r="M175" s="6"/>
      <c r="N175" s="6"/>
      <c r="O175" s="7" t="str">
        <f aca="false">IF(C175="","",IF(IFERROR(INDEX(05_Строки_КП!$O$4:$O$203,MATCH(C175,05_Строки_КП!$A$4:$A$203,0)),"")="READY",IFERROR(INDEX(05_Строки_КП!$H$4:$H$203,MATCH(C175,05_Строки_КП!$A$4:$A$203,0)),""),""))</f>
        <v/>
      </c>
      <c r="P175" s="5" t="str">
        <f aca="false">IF(C175="","",IF(IFERROR(INDEX(05_Строки_КП!$O$4:$O$203,MATCH(C175,05_Строки_КП!$A$4:$A$203,0)),"")="READY",IFERROR(INDEX(05_Строки_КП!$L$4:$L$203,MATCH(C175,05_Строки_КП!$A$4:$A$203,0)),""),""))</f>
        <v/>
      </c>
      <c r="Q175" s="5" t="str">
        <f aca="false">IF(C175="","",IF(IFERROR(INDEX(05_Строки_КП!$O$4:$O$203,MATCH(C175,05_Строки_КП!$A$4:$A$203,0)),"")="READY",IFERROR(INDEX(05_Строки_КП!$M$4:$M$203,MATCH(C175,05_Строки_КП!$A$4:$A$203,0)),""),""))</f>
        <v/>
      </c>
      <c r="R175" s="7" t="str">
        <f aca="false">IF(OR(V175="SELECTED_READY",V175="COMPARABLE_READY"),O175*G175*H175+SUM(K175:N175),"")</f>
        <v/>
      </c>
      <c r="S175" s="4"/>
      <c r="T175" s="4"/>
      <c r="U175" s="6"/>
      <c r="V175" s="5" t="str">
        <f aca="false">IF(A175="","",IF(AND(COUNTIF(A$4:A$203,A175)=1,B175&lt;&gt;"",C175&lt;&gt;"",D175&lt;&gt;"",COUNTIF(05_Строки_КП!$A$4:$A$203,C175)=1,IFERROR(INDEX(05_Строки_КП!$C$4:$C$203,MATCH(C175,05_Строки_КП!$A$4:$A$203,0)),"")=D175,IFERROR(INDEX(05_Строки_КП!$O$4:$O$203,MATCH(C175,05_Строки_КП!$A$4:$A$203,0)),"")="READY",E175="COMPARABLE",F175&lt;&gt;"",COUNT(G175:H175)=2,G175&gt;0,H175&gt;0,I175&lt;&gt;"",J175&lt;&gt;"",COUNTIF(13_Источники!$A$4:$A$203,J175)=1,W175&lt;&gt;"",COUNTIF(13_Источники!$A$4:$A$203,W175)=1,COUNT(K175:N175)=4,ISNUMBER(O175),U175&lt;&gt;"",01_Основания!$B$8&lt;&gt;"",OR(01_Основания!$B$9="NET",01_Основания!$B$9="GROSS"),01_Основания!$B$10&lt;&gt;"",IF(AND(ISNUMBER(O175),ISNUMBER(G175),ISNUMBER(H175)),O175*G175*H175+SUM(K175:N175)&gt;=0,FALSE())),IF(S175="SELECTED",IF(AND(COUNTIFS(B$4:B$203,B175,S$4:S$203,"SELECTED")=1,T175&lt;&gt;""),"SELECTED_READY","SELECTION_ERROR"),"COMPARABLE_READY"),"INCOMPLETE / NOT_COMPARABLE"))</f>
        <v/>
      </c>
      <c r="W175" s="6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6"/>
      <c r="L176" s="6"/>
      <c r="M176" s="6"/>
      <c r="N176" s="6"/>
      <c r="O176" s="7" t="str">
        <f aca="false">IF(C176="","",IF(IFERROR(INDEX(05_Строки_КП!$O$4:$O$203,MATCH(C176,05_Строки_КП!$A$4:$A$203,0)),"")="READY",IFERROR(INDEX(05_Строки_КП!$H$4:$H$203,MATCH(C176,05_Строки_КП!$A$4:$A$203,0)),""),""))</f>
        <v/>
      </c>
      <c r="P176" s="5" t="str">
        <f aca="false">IF(C176="","",IF(IFERROR(INDEX(05_Строки_КП!$O$4:$O$203,MATCH(C176,05_Строки_КП!$A$4:$A$203,0)),"")="READY",IFERROR(INDEX(05_Строки_КП!$L$4:$L$203,MATCH(C176,05_Строки_КП!$A$4:$A$203,0)),""),""))</f>
        <v/>
      </c>
      <c r="Q176" s="5" t="str">
        <f aca="false">IF(C176="","",IF(IFERROR(INDEX(05_Строки_КП!$O$4:$O$203,MATCH(C176,05_Строки_КП!$A$4:$A$203,0)),"")="READY",IFERROR(INDEX(05_Строки_КП!$M$4:$M$203,MATCH(C176,05_Строки_КП!$A$4:$A$203,0)),""),""))</f>
        <v/>
      </c>
      <c r="R176" s="7" t="str">
        <f aca="false">IF(OR(V176="SELECTED_READY",V176="COMPARABLE_READY"),O176*G176*H176+SUM(K176:N176),"")</f>
        <v/>
      </c>
      <c r="S176" s="4"/>
      <c r="T176" s="4"/>
      <c r="U176" s="6"/>
      <c r="V176" s="5" t="str">
        <f aca="false">IF(A176="","",IF(AND(COUNTIF(A$4:A$203,A176)=1,B176&lt;&gt;"",C176&lt;&gt;"",D176&lt;&gt;"",COUNTIF(05_Строки_КП!$A$4:$A$203,C176)=1,IFERROR(INDEX(05_Строки_КП!$C$4:$C$203,MATCH(C176,05_Строки_КП!$A$4:$A$203,0)),"")=D176,IFERROR(INDEX(05_Строки_КП!$O$4:$O$203,MATCH(C176,05_Строки_КП!$A$4:$A$203,0)),"")="READY",E176="COMPARABLE",F176&lt;&gt;"",COUNT(G176:H176)=2,G176&gt;0,H176&gt;0,I176&lt;&gt;"",J176&lt;&gt;"",COUNTIF(13_Источники!$A$4:$A$203,J176)=1,W176&lt;&gt;"",COUNTIF(13_Источники!$A$4:$A$203,W176)=1,COUNT(K176:N176)=4,ISNUMBER(O176),U176&lt;&gt;"",01_Основания!$B$8&lt;&gt;"",OR(01_Основания!$B$9="NET",01_Основания!$B$9="GROSS"),01_Основания!$B$10&lt;&gt;"",IF(AND(ISNUMBER(O176),ISNUMBER(G176),ISNUMBER(H176)),O176*G176*H176+SUM(K176:N176)&gt;=0,FALSE())),IF(S176="SELECTED",IF(AND(COUNTIFS(B$4:B$203,B176,S$4:S$203,"SELECTED")=1,T176&lt;&gt;""),"SELECTED_READY","SELECTION_ERROR"),"COMPARABLE_READY"),"INCOMPLETE / NOT_COMPARABLE"))</f>
        <v/>
      </c>
      <c r="W176" s="6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6"/>
      <c r="L177" s="6"/>
      <c r="M177" s="6"/>
      <c r="N177" s="6"/>
      <c r="O177" s="7" t="str">
        <f aca="false">IF(C177="","",IF(IFERROR(INDEX(05_Строки_КП!$O$4:$O$203,MATCH(C177,05_Строки_КП!$A$4:$A$203,0)),"")="READY",IFERROR(INDEX(05_Строки_КП!$H$4:$H$203,MATCH(C177,05_Строки_КП!$A$4:$A$203,0)),""),""))</f>
        <v/>
      </c>
      <c r="P177" s="5" t="str">
        <f aca="false">IF(C177="","",IF(IFERROR(INDEX(05_Строки_КП!$O$4:$O$203,MATCH(C177,05_Строки_КП!$A$4:$A$203,0)),"")="READY",IFERROR(INDEX(05_Строки_КП!$L$4:$L$203,MATCH(C177,05_Строки_КП!$A$4:$A$203,0)),""),""))</f>
        <v/>
      </c>
      <c r="Q177" s="5" t="str">
        <f aca="false">IF(C177="","",IF(IFERROR(INDEX(05_Строки_КП!$O$4:$O$203,MATCH(C177,05_Строки_КП!$A$4:$A$203,0)),"")="READY",IFERROR(INDEX(05_Строки_КП!$M$4:$M$203,MATCH(C177,05_Строки_КП!$A$4:$A$203,0)),""),""))</f>
        <v/>
      </c>
      <c r="R177" s="7" t="str">
        <f aca="false">IF(OR(V177="SELECTED_READY",V177="COMPARABLE_READY"),O177*G177*H177+SUM(K177:N177),"")</f>
        <v/>
      </c>
      <c r="S177" s="4"/>
      <c r="T177" s="4"/>
      <c r="U177" s="6"/>
      <c r="V177" s="5" t="str">
        <f aca="false">IF(A177="","",IF(AND(COUNTIF(A$4:A$203,A177)=1,B177&lt;&gt;"",C177&lt;&gt;"",D177&lt;&gt;"",COUNTIF(05_Строки_КП!$A$4:$A$203,C177)=1,IFERROR(INDEX(05_Строки_КП!$C$4:$C$203,MATCH(C177,05_Строки_КП!$A$4:$A$203,0)),"")=D177,IFERROR(INDEX(05_Строки_КП!$O$4:$O$203,MATCH(C177,05_Строки_КП!$A$4:$A$203,0)),"")="READY",E177="COMPARABLE",F177&lt;&gt;"",COUNT(G177:H177)=2,G177&gt;0,H177&gt;0,I177&lt;&gt;"",J177&lt;&gt;"",COUNTIF(13_Источники!$A$4:$A$203,J177)=1,W177&lt;&gt;"",COUNTIF(13_Источники!$A$4:$A$203,W177)=1,COUNT(K177:N177)=4,ISNUMBER(O177),U177&lt;&gt;"",01_Основания!$B$8&lt;&gt;"",OR(01_Основания!$B$9="NET",01_Основания!$B$9="GROSS"),01_Основания!$B$10&lt;&gt;"",IF(AND(ISNUMBER(O177),ISNUMBER(G177),ISNUMBER(H177)),O177*G177*H177+SUM(K177:N177)&gt;=0,FALSE())),IF(S177="SELECTED",IF(AND(COUNTIFS(B$4:B$203,B177,S$4:S$203,"SELECTED")=1,T177&lt;&gt;""),"SELECTED_READY","SELECTION_ERROR"),"COMPARABLE_READY"),"INCOMPLETE / NOT_COMPARABLE"))</f>
        <v/>
      </c>
      <c r="W177" s="6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6"/>
      <c r="L178" s="6"/>
      <c r="M178" s="6"/>
      <c r="N178" s="6"/>
      <c r="O178" s="7" t="str">
        <f aca="false">IF(C178="","",IF(IFERROR(INDEX(05_Строки_КП!$O$4:$O$203,MATCH(C178,05_Строки_КП!$A$4:$A$203,0)),"")="READY",IFERROR(INDEX(05_Строки_КП!$H$4:$H$203,MATCH(C178,05_Строки_КП!$A$4:$A$203,0)),""),""))</f>
        <v/>
      </c>
      <c r="P178" s="5" t="str">
        <f aca="false">IF(C178="","",IF(IFERROR(INDEX(05_Строки_КП!$O$4:$O$203,MATCH(C178,05_Строки_КП!$A$4:$A$203,0)),"")="READY",IFERROR(INDEX(05_Строки_КП!$L$4:$L$203,MATCH(C178,05_Строки_КП!$A$4:$A$203,0)),""),""))</f>
        <v/>
      </c>
      <c r="Q178" s="5" t="str">
        <f aca="false">IF(C178="","",IF(IFERROR(INDEX(05_Строки_КП!$O$4:$O$203,MATCH(C178,05_Строки_КП!$A$4:$A$203,0)),"")="READY",IFERROR(INDEX(05_Строки_КП!$M$4:$M$203,MATCH(C178,05_Строки_КП!$A$4:$A$203,0)),""),""))</f>
        <v/>
      </c>
      <c r="R178" s="7" t="str">
        <f aca="false">IF(OR(V178="SELECTED_READY",V178="COMPARABLE_READY"),O178*G178*H178+SUM(K178:N178),"")</f>
        <v/>
      </c>
      <c r="S178" s="4"/>
      <c r="T178" s="4"/>
      <c r="U178" s="6"/>
      <c r="V178" s="5" t="str">
        <f aca="false">IF(A178="","",IF(AND(COUNTIF(A$4:A$203,A178)=1,B178&lt;&gt;"",C178&lt;&gt;"",D178&lt;&gt;"",COUNTIF(05_Строки_КП!$A$4:$A$203,C178)=1,IFERROR(INDEX(05_Строки_КП!$C$4:$C$203,MATCH(C178,05_Строки_КП!$A$4:$A$203,0)),"")=D178,IFERROR(INDEX(05_Строки_КП!$O$4:$O$203,MATCH(C178,05_Строки_КП!$A$4:$A$203,0)),"")="READY",E178="COMPARABLE",F178&lt;&gt;"",COUNT(G178:H178)=2,G178&gt;0,H178&gt;0,I178&lt;&gt;"",J178&lt;&gt;"",COUNTIF(13_Источники!$A$4:$A$203,J178)=1,W178&lt;&gt;"",COUNTIF(13_Источники!$A$4:$A$203,W178)=1,COUNT(K178:N178)=4,ISNUMBER(O178),U178&lt;&gt;"",01_Основания!$B$8&lt;&gt;"",OR(01_Основания!$B$9="NET",01_Основания!$B$9="GROSS"),01_Основания!$B$10&lt;&gt;"",IF(AND(ISNUMBER(O178),ISNUMBER(G178),ISNUMBER(H178)),O178*G178*H178+SUM(K178:N178)&gt;=0,FALSE())),IF(S178="SELECTED",IF(AND(COUNTIFS(B$4:B$203,B178,S$4:S$203,"SELECTED")=1,T178&lt;&gt;""),"SELECTED_READY","SELECTION_ERROR"),"COMPARABLE_READY"),"INCOMPLETE / NOT_COMPARABLE"))</f>
        <v/>
      </c>
      <c r="W178" s="6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6"/>
      <c r="L179" s="6"/>
      <c r="M179" s="6"/>
      <c r="N179" s="6"/>
      <c r="O179" s="7" t="str">
        <f aca="false">IF(C179="","",IF(IFERROR(INDEX(05_Строки_КП!$O$4:$O$203,MATCH(C179,05_Строки_КП!$A$4:$A$203,0)),"")="READY",IFERROR(INDEX(05_Строки_КП!$H$4:$H$203,MATCH(C179,05_Строки_КП!$A$4:$A$203,0)),""),""))</f>
        <v/>
      </c>
      <c r="P179" s="5" t="str">
        <f aca="false">IF(C179="","",IF(IFERROR(INDEX(05_Строки_КП!$O$4:$O$203,MATCH(C179,05_Строки_КП!$A$4:$A$203,0)),"")="READY",IFERROR(INDEX(05_Строки_КП!$L$4:$L$203,MATCH(C179,05_Строки_КП!$A$4:$A$203,0)),""),""))</f>
        <v/>
      </c>
      <c r="Q179" s="5" t="str">
        <f aca="false">IF(C179="","",IF(IFERROR(INDEX(05_Строки_КП!$O$4:$O$203,MATCH(C179,05_Строки_КП!$A$4:$A$203,0)),"")="READY",IFERROR(INDEX(05_Строки_КП!$M$4:$M$203,MATCH(C179,05_Строки_КП!$A$4:$A$203,0)),""),""))</f>
        <v/>
      </c>
      <c r="R179" s="7" t="str">
        <f aca="false">IF(OR(V179="SELECTED_READY",V179="COMPARABLE_READY"),O179*G179*H179+SUM(K179:N179),"")</f>
        <v/>
      </c>
      <c r="S179" s="4"/>
      <c r="T179" s="4"/>
      <c r="U179" s="6"/>
      <c r="V179" s="5" t="str">
        <f aca="false">IF(A179="","",IF(AND(COUNTIF(A$4:A$203,A179)=1,B179&lt;&gt;"",C179&lt;&gt;"",D179&lt;&gt;"",COUNTIF(05_Строки_КП!$A$4:$A$203,C179)=1,IFERROR(INDEX(05_Строки_КП!$C$4:$C$203,MATCH(C179,05_Строки_КП!$A$4:$A$203,0)),"")=D179,IFERROR(INDEX(05_Строки_КП!$O$4:$O$203,MATCH(C179,05_Строки_КП!$A$4:$A$203,0)),"")="READY",E179="COMPARABLE",F179&lt;&gt;"",COUNT(G179:H179)=2,G179&gt;0,H179&gt;0,I179&lt;&gt;"",J179&lt;&gt;"",COUNTIF(13_Источники!$A$4:$A$203,J179)=1,W179&lt;&gt;"",COUNTIF(13_Источники!$A$4:$A$203,W179)=1,COUNT(K179:N179)=4,ISNUMBER(O179),U179&lt;&gt;"",01_Основания!$B$8&lt;&gt;"",OR(01_Основания!$B$9="NET",01_Основания!$B$9="GROSS"),01_Основания!$B$10&lt;&gt;"",IF(AND(ISNUMBER(O179),ISNUMBER(G179),ISNUMBER(H179)),O179*G179*H179+SUM(K179:N179)&gt;=0,FALSE())),IF(S179="SELECTED",IF(AND(COUNTIFS(B$4:B$203,B179,S$4:S$203,"SELECTED")=1,T179&lt;&gt;""),"SELECTED_READY","SELECTION_ERROR"),"COMPARABLE_READY"),"INCOMPLETE / NOT_COMPARABLE"))</f>
        <v/>
      </c>
      <c r="W179" s="6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6"/>
      <c r="L180" s="6"/>
      <c r="M180" s="6"/>
      <c r="N180" s="6"/>
      <c r="O180" s="7" t="str">
        <f aca="false">IF(C180="","",IF(IFERROR(INDEX(05_Строки_КП!$O$4:$O$203,MATCH(C180,05_Строки_КП!$A$4:$A$203,0)),"")="READY",IFERROR(INDEX(05_Строки_КП!$H$4:$H$203,MATCH(C180,05_Строки_КП!$A$4:$A$203,0)),""),""))</f>
        <v/>
      </c>
      <c r="P180" s="5" t="str">
        <f aca="false">IF(C180="","",IF(IFERROR(INDEX(05_Строки_КП!$O$4:$O$203,MATCH(C180,05_Строки_КП!$A$4:$A$203,0)),"")="READY",IFERROR(INDEX(05_Строки_КП!$L$4:$L$203,MATCH(C180,05_Строки_КП!$A$4:$A$203,0)),""),""))</f>
        <v/>
      </c>
      <c r="Q180" s="5" t="str">
        <f aca="false">IF(C180="","",IF(IFERROR(INDEX(05_Строки_КП!$O$4:$O$203,MATCH(C180,05_Строки_КП!$A$4:$A$203,0)),"")="READY",IFERROR(INDEX(05_Строки_КП!$M$4:$M$203,MATCH(C180,05_Строки_КП!$A$4:$A$203,0)),""),""))</f>
        <v/>
      </c>
      <c r="R180" s="7" t="str">
        <f aca="false">IF(OR(V180="SELECTED_READY",V180="COMPARABLE_READY"),O180*G180*H180+SUM(K180:N180),"")</f>
        <v/>
      </c>
      <c r="S180" s="4"/>
      <c r="T180" s="4"/>
      <c r="U180" s="6"/>
      <c r="V180" s="5" t="str">
        <f aca="false">IF(A180="","",IF(AND(COUNTIF(A$4:A$203,A180)=1,B180&lt;&gt;"",C180&lt;&gt;"",D180&lt;&gt;"",COUNTIF(05_Строки_КП!$A$4:$A$203,C180)=1,IFERROR(INDEX(05_Строки_КП!$C$4:$C$203,MATCH(C180,05_Строки_КП!$A$4:$A$203,0)),"")=D180,IFERROR(INDEX(05_Строки_КП!$O$4:$O$203,MATCH(C180,05_Строки_КП!$A$4:$A$203,0)),"")="READY",E180="COMPARABLE",F180&lt;&gt;"",COUNT(G180:H180)=2,G180&gt;0,H180&gt;0,I180&lt;&gt;"",J180&lt;&gt;"",COUNTIF(13_Источники!$A$4:$A$203,J180)=1,W180&lt;&gt;"",COUNTIF(13_Источники!$A$4:$A$203,W180)=1,COUNT(K180:N180)=4,ISNUMBER(O180),U180&lt;&gt;"",01_Основания!$B$8&lt;&gt;"",OR(01_Основания!$B$9="NET",01_Основания!$B$9="GROSS"),01_Основания!$B$10&lt;&gt;"",IF(AND(ISNUMBER(O180),ISNUMBER(G180),ISNUMBER(H180)),O180*G180*H180+SUM(K180:N180)&gt;=0,FALSE())),IF(S180="SELECTED",IF(AND(COUNTIFS(B$4:B$203,B180,S$4:S$203,"SELECTED")=1,T180&lt;&gt;""),"SELECTED_READY","SELECTION_ERROR"),"COMPARABLE_READY"),"INCOMPLETE / NOT_COMPARABLE"))</f>
        <v/>
      </c>
      <c r="W180" s="6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6"/>
      <c r="L181" s="6"/>
      <c r="M181" s="6"/>
      <c r="N181" s="6"/>
      <c r="O181" s="7" t="str">
        <f aca="false">IF(C181="","",IF(IFERROR(INDEX(05_Строки_КП!$O$4:$O$203,MATCH(C181,05_Строки_КП!$A$4:$A$203,0)),"")="READY",IFERROR(INDEX(05_Строки_КП!$H$4:$H$203,MATCH(C181,05_Строки_КП!$A$4:$A$203,0)),""),""))</f>
        <v/>
      </c>
      <c r="P181" s="5" t="str">
        <f aca="false">IF(C181="","",IF(IFERROR(INDEX(05_Строки_КП!$O$4:$O$203,MATCH(C181,05_Строки_КП!$A$4:$A$203,0)),"")="READY",IFERROR(INDEX(05_Строки_КП!$L$4:$L$203,MATCH(C181,05_Строки_КП!$A$4:$A$203,0)),""),""))</f>
        <v/>
      </c>
      <c r="Q181" s="5" t="str">
        <f aca="false">IF(C181="","",IF(IFERROR(INDEX(05_Строки_КП!$O$4:$O$203,MATCH(C181,05_Строки_КП!$A$4:$A$203,0)),"")="READY",IFERROR(INDEX(05_Строки_КП!$M$4:$M$203,MATCH(C181,05_Строки_КП!$A$4:$A$203,0)),""),""))</f>
        <v/>
      </c>
      <c r="R181" s="7" t="str">
        <f aca="false">IF(OR(V181="SELECTED_READY",V181="COMPARABLE_READY"),O181*G181*H181+SUM(K181:N181),"")</f>
        <v/>
      </c>
      <c r="S181" s="4"/>
      <c r="T181" s="4"/>
      <c r="U181" s="6"/>
      <c r="V181" s="5" t="str">
        <f aca="false">IF(A181="","",IF(AND(COUNTIF(A$4:A$203,A181)=1,B181&lt;&gt;"",C181&lt;&gt;"",D181&lt;&gt;"",COUNTIF(05_Строки_КП!$A$4:$A$203,C181)=1,IFERROR(INDEX(05_Строки_КП!$C$4:$C$203,MATCH(C181,05_Строки_КП!$A$4:$A$203,0)),"")=D181,IFERROR(INDEX(05_Строки_КП!$O$4:$O$203,MATCH(C181,05_Строки_КП!$A$4:$A$203,0)),"")="READY",E181="COMPARABLE",F181&lt;&gt;"",COUNT(G181:H181)=2,G181&gt;0,H181&gt;0,I181&lt;&gt;"",J181&lt;&gt;"",COUNTIF(13_Источники!$A$4:$A$203,J181)=1,W181&lt;&gt;"",COUNTIF(13_Источники!$A$4:$A$203,W181)=1,COUNT(K181:N181)=4,ISNUMBER(O181),U181&lt;&gt;"",01_Основания!$B$8&lt;&gt;"",OR(01_Основания!$B$9="NET",01_Основания!$B$9="GROSS"),01_Основания!$B$10&lt;&gt;"",IF(AND(ISNUMBER(O181),ISNUMBER(G181),ISNUMBER(H181)),O181*G181*H181+SUM(K181:N181)&gt;=0,FALSE())),IF(S181="SELECTED",IF(AND(COUNTIFS(B$4:B$203,B181,S$4:S$203,"SELECTED")=1,T181&lt;&gt;""),"SELECTED_READY","SELECTION_ERROR"),"COMPARABLE_READY"),"INCOMPLETE / NOT_COMPARABLE"))</f>
        <v/>
      </c>
      <c r="W181" s="6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6"/>
      <c r="L182" s="6"/>
      <c r="M182" s="6"/>
      <c r="N182" s="6"/>
      <c r="O182" s="7" t="str">
        <f aca="false">IF(C182="","",IF(IFERROR(INDEX(05_Строки_КП!$O$4:$O$203,MATCH(C182,05_Строки_КП!$A$4:$A$203,0)),"")="READY",IFERROR(INDEX(05_Строки_КП!$H$4:$H$203,MATCH(C182,05_Строки_КП!$A$4:$A$203,0)),""),""))</f>
        <v/>
      </c>
      <c r="P182" s="5" t="str">
        <f aca="false">IF(C182="","",IF(IFERROR(INDEX(05_Строки_КП!$O$4:$O$203,MATCH(C182,05_Строки_КП!$A$4:$A$203,0)),"")="READY",IFERROR(INDEX(05_Строки_КП!$L$4:$L$203,MATCH(C182,05_Строки_КП!$A$4:$A$203,0)),""),""))</f>
        <v/>
      </c>
      <c r="Q182" s="5" t="str">
        <f aca="false">IF(C182="","",IF(IFERROR(INDEX(05_Строки_КП!$O$4:$O$203,MATCH(C182,05_Строки_КП!$A$4:$A$203,0)),"")="READY",IFERROR(INDEX(05_Строки_КП!$M$4:$M$203,MATCH(C182,05_Строки_КП!$A$4:$A$203,0)),""),""))</f>
        <v/>
      </c>
      <c r="R182" s="7" t="str">
        <f aca="false">IF(OR(V182="SELECTED_READY",V182="COMPARABLE_READY"),O182*G182*H182+SUM(K182:N182),"")</f>
        <v/>
      </c>
      <c r="S182" s="4"/>
      <c r="T182" s="4"/>
      <c r="U182" s="6"/>
      <c r="V182" s="5" t="str">
        <f aca="false">IF(A182="","",IF(AND(COUNTIF(A$4:A$203,A182)=1,B182&lt;&gt;"",C182&lt;&gt;"",D182&lt;&gt;"",COUNTIF(05_Строки_КП!$A$4:$A$203,C182)=1,IFERROR(INDEX(05_Строки_КП!$C$4:$C$203,MATCH(C182,05_Строки_КП!$A$4:$A$203,0)),"")=D182,IFERROR(INDEX(05_Строки_КП!$O$4:$O$203,MATCH(C182,05_Строки_КП!$A$4:$A$203,0)),"")="READY",E182="COMPARABLE",F182&lt;&gt;"",COUNT(G182:H182)=2,G182&gt;0,H182&gt;0,I182&lt;&gt;"",J182&lt;&gt;"",COUNTIF(13_Источники!$A$4:$A$203,J182)=1,W182&lt;&gt;"",COUNTIF(13_Источники!$A$4:$A$203,W182)=1,COUNT(K182:N182)=4,ISNUMBER(O182),U182&lt;&gt;"",01_Основания!$B$8&lt;&gt;"",OR(01_Основания!$B$9="NET",01_Основания!$B$9="GROSS"),01_Основания!$B$10&lt;&gt;"",IF(AND(ISNUMBER(O182),ISNUMBER(G182),ISNUMBER(H182)),O182*G182*H182+SUM(K182:N182)&gt;=0,FALSE())),IF(S182="SELECTED",IF(AND(COUNTIFS(B$4:B$203,B182,S$4:S$203,"SELECTED")=1,T182&lt;&gt;""),"SELECTED_READY","SELECTION_ERROR"),"COMPARABLE_READY"),"INCOMPLETE / NOT_COMPARABLE"))</f>
        <v/>
      </c>
      <c r="W182" s="6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6"/>
      <c r="L183" s="6"/>
      <c r="M183" s="6"/>
      <c r="N183" s="6"/>
      <c r="O183" s="7" t="str">
        <f aca="false">IF(C183="","",IF(IFERROR(INDEX(05_Строки_КП!$O$4:$O$203,MATCH(C183,05_Строки_КП!$A$4:$A$203,0)),"")="READY",IFERROR(INDEX(05_Строки_КП!$H$4:$H$203,MATCH(C183,05_Строки_КП!$A$4:$A$203,0)),""),""))</f>
        <v/>
      </c>
      <c r="P183" s="5" t="str">
        <f aca="false">IF(C183="","",IF(IFERROR(INDEX(05_Строки_КП!$O$4:$O$203,MATCH(C183,05_Строки_КП!$A$4:$A$203,0)),"")="READY",IFERROR(INDEX(05_Строки_КП!$L$4:$L$203,MATCH(C183,05_Строки_КП!$A$4:$A$203,0)),""),""))</f>
        <v/>
      </c>
      <c r="Q183" s="5" t="str">
        <f aca="false">IF(C183="","",IF(IFERROR(INDEX(05_Строки_КП!$O$4:$O$203,MATCH(C183,05_Строки_КП!$A$4:$A$203,0)),"")="READY",IFERROR(INDEX(05_Строки_КП!$M$4:$M$203,MATCH(C183,05_Строки_КП!$A$4:$A$203,0)),""),""))</f>
        <v/>
      </c>
      <c r="R183" s="7" t="str">
        <f aca="false">IF(OR(V183="SELECTED_READY",V183="COMPARABLE_READY"),O183*G183*H183+SUM(K183:N183),"")</f>
        <v/>
      </c>
      <c r="S183" s="4"/>
      <c r="T183" s="4"/>
      <c r="U183" s="6"/>
      <c r="V183" s="5" t="str">
        <f aca="false">IF(A183="","",IF(AND(COUNTIF(A$4:A$203,A183)=1,B183&lt;&gt;"",C183&lt;&gt;"",D183&lt;&gt;"",COUNTIF(05_Строки_КП!$A$4:$A$203,C183)=1,IFERROR(INDEX(05_Строки_КП!$C$4:$C$203,MATCH(C183,05_Строки_КП!$A$4:$A$203,0)),"")=D183,IFERROR(INDEX(05_Строки_КП!$O$4:$O$203,MATCH(C183,05_Строки_КП!$A$4:$A$203,0)),"")="READY",E183="COMPARABLE",F183&lt;&gt;"",COUNT(G183:H183)=2,G183&gt;0,H183&gt;0,I183&lt;&gt;"",J183&lt;&gt;"",COUNTIF(13_Источники!$A$4:$A$203,J183)=1,W183&lt;&gt;"",COUNTIF(13_Источники!$A$4:$A$203,W183)=1,COUNT(K183:N183)=4,ISNUMBER(O183),U183&lt;&gt;"",01_Основания!$B$8&lt;&gt;"",OR(01_Основания!$B$9="NET",01_Основания!$B$9="GROSS"),01_Основания!$B$10&lt;&gt;"",IF(AND(ISNUMBER(O183),ISNUMBER(G183),ISNUMBER(H183)),O183*G183*H183+SUM(K183:N183)&gt;=0,FALSE())),IF(S183="SELECTED",IF(AND(COUNTIFS(B$4:B$203,B183,S$4:S$203,"SELECTED")=1,T183&lt;&gt;""),"SELECTED_READY","SELECTION_ERROR"),"COMPARABLE_READY"),"INCOMPLETE / NOT_COMPARABLE"))</f>
        <v/>
      </c>
      <c r="W183" s="6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6"/>
      <c r="L184" s="6"/>
      <c r="M184" s="6"/>
      <c r="N184" s="6"/>
      <c r="O184" s="7" t="str">
        <f aca="false">IF(C184="","",IF(IFERROR(INDEX(05_Строки_КП!$O$4:$O$203,MATCH(C184,05_Строки_КП!$A$4:$A$203,0)),"")="READY",IFERROR(INDEX(05_Строки_КП!$H$4:$H$203,MATCH(C184,05_Строки_КП!$A$4:$A$203,0)),""),""))</f>
        <v/>
      </c>
      <c r="P184" s="5" t="str">
        <f aca="false">IF(C184="","",IF(IFERROR(INDEX(05_Строки_КП!$O$4:$O$203,MATCH(C184,05_Строки_КП!$A$4:$A$203,0)),"")="READY",IFERROR(INDEX(05_Строки_КП!$L$4:$L$203,MATCH(C184,05_Строки_КП!$A$4:$A$203,0)),""),""))</f>
        <v/>
      </c>
      <c r="Q184" s="5" t="str">
        <f aca="false">IF(C184="","",IF(IFERROR(INDEX(05_Строки_КП!$O$4:$O$203,MATCH(C184,05_Строки_КП!$A$4:$A$203,0)),"")="READY",IFERROR(INDEX(05_Строки_КП!$M$4:$M$203,MATCH(C184,05_Строки_КП!$A$4:$A$203,0)),""),""))</f>
        <v/>
      </c>
      <c r="R184" s="7" t="str">
        <f aca="false">IF(OR(V184="SELECTED_READY",V184="COMPARABLE_READY"),O184*G184*H184+SUM(K184:N184),"")</f>
        <v/>
      </c>
      <c r="S184" s="4"/>
      <c r="T184" s="4"/>
      <c r="U184" s="6"/>
      <c r="V184" s="5" t="str">
        <f aca="false">IF(A184="","",IF(AND(COUNTIF(A$4:A$203,A184)=1,B184&lt;&gt;"",C184&lt;&gt;"",D184&lt;&gt;"",COUNTIF(05_Строки_КП!$A$4:$A$203,C184)=1,IFERROR(INDEX(05_Строки_КП!$C$4:$C$203,MATCH(C184,05_Строки_КП!$A$4:$A$203,0)),"")=D184,IFERROR(INDEX(05_Строки_КП!$O$4:$O$203,MATCH(C184,05_Строки_КП!$A$4:$A$203,0)),"")="READY",E184="COMPARABLE",F184&lt;&gt;"",COUNT(G184:H184)=2,G184&gt;0,H184&gt;0,I184&lt;&gt;"",J184&lt;&gt;"",COUNTIF(13_Источники!$A$4:$A$203,J184)=1,W184&lt;&gt;"",COUNTIF(13_Источники!$A$4:$A$203,W184)=1,COUNT(K184:N184)=4,ISNUMBER(O184),U184&lt;&gt;"",01_Основания!$B$8&lt;&gt;"",OR(01_Основания!$B$9="NET",01_Основания!$B$9="GROSS"),01_Основания!$B$10&lt;&gt;"",IF(AND(ISNUMBER(O184),ISNUMBER(G184),ISNUMBER(H184)),O184*G184*H184+SUM(K184:N184)&gt;=0,FALSE())),IF(S184="SELECTED",IF(AND(COUNTIFS(B$4:B$203,B184,S$4:S$203,"SELECTED")=1,T184&lt;&gt;""),"SELECTED_READY","SELECTION_ERROR"),"COMPARABLE_READY"),"INCOMPLETE / NOT_COMPARABLE"))</f>
        <v/>
      </c>
      <c r="W184" s="6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6"/>
      <c r="L185" s="6"/>
      <c r="M185" s="6"/>
      <c r="N185" s="6"/>
      <c r="O185" s="7" t="str">
        <f aca="false">IF(C185="","",IF(IFERROR(INDEX(05_Строки_КП!$O$4:$O$203,MATCH(C185,05_Строки_КП!$A$4:$A$203,0)),"")="READY",IFERROR(INDEX(05_Строки_КП!$H$4:$H$203,MATCH(C185,05_Строки_КП!$A$4:$A$203,0)),""),""))</f>
        <v/>
      </c>
      <c r="P185" s="5" t="str">
        <f aca="false">IF(C185="","",IF(IFERROR(INDEX(05_Строки_КП!$O$4:$O$203,MATCH(C185,05_Строки_КП!$A$4:$A$203,0)),"")="READY",IFERROR(INDEX(05_Строки_КП!$L$4:$L$203,MATCH(C185,05_Строки_КП!$A$4:$A$203,0)),""),""))</f>
        <v/>
      </c>
      <c r="Q185" s="5" t="str">
        <f aca="false">IF(C185="","",IF(IFERROR(INDEX(05_Строки_КП!$O$4:$O$203,MATCH(C185,05_Строки_КП!$A$4:$A$203,0)),"")="READY",IFERROR(INDEX(05_Строки_КП!$M$4:$M$203,MATCH(C185,05_Строки_КП!$A$4:$A$203,0)),""),""))</f>
        <v/>
      </c>
      <c r="R185" s="7" t="str">
        <f aca="false">IF(OR(V185="SELECTED_READY",V185="COMPARABLE_READY"),O185*G185*H185+SUM(K185:N185),"")</f>
        <v/>
      </c>
      <c r="S185" s="4"/>
      <c r="T185" s="4"/>
      <c r="U185" s="6"/>
      <c r="V185" s="5" t="str">
        <f aca="false">IF(A185="","",IF(AND(COUNTIF(A$4:A$203,A185)=1,B185&lt;&gt;"",C185&lt;&gt;"",D185&lt;&gt;"",COUNTIF(05_Строки_КП!$A$4:$A$203,C185)=1,IFERROR(INDEX(05_Строки_КП!$C$4:$C$203,MATCH(C185,05_Строки_КП!$A$4:$A$203,0)),"")=D185,IFERROR(INDEX(05_Строки_КП!$O$4:$O$203,MATCH(C185,05_Строки_КП!$A$4:$A$203,0)),"")="READY",E185="COMPARABLE",F185&lt;&gt;"",COUNT(G185:H185)=2,G185&gt;0,H185&gt;0,I185&lt;&gt;"",J185&lt;&gt;"",COUNTIF(13_Источники!$A$4:$A$203,J185)=1,W185&lt;&gt;"",COUNTIF(13_Источники!$A$4:$A$203,W185)=1,COUNT(K185:N185)=4,ISNUMBER(O185),U185&lt;&gt;"",01_Основания!$B$8&lt;&gt;"",OR(01_Основания!$B$9="NET",01_Основания!$B$9="GROSS"),01_Основания!$B$10&lt;&gt;"",IF(AND(ISNUMBER(O185),ISNUMBER(G185),ISNUMBER(H185)),O185*G185*H185+SUM(K185:N185)&gt;=0,FALSE())),IF(S185="SELECTED",IF(AND(COUNTIFS(B$4:B$203,B185,S$4:S$203,"SELECTED")=1,T185&lt;&gt;""),"SELECTED_READY","SELECTION_ERROR"),"COMPARABLE_READY"),"INCOMPLETE / NOT_COMPARABLE"))</f>
        <v/>
      </c>
      <c r="W185" s="6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6"/>
      <c r="L186" s="6"/>
      <c r="M186" s="6"/>
      <c r="N186" s="6"/>
      <c r="O186" s="7" t="str">
        <f aca="false">IF(C186="","",IF(IFERROR(INDEX(05_Строки_КП!$O$4:$O$203,MATCH(C186,05_Строки_КП!$A$4:$A$203,0)),"")="READY",IFERROR(INDEX(05_Строки_КП!$H$4:$H$203,MATCH(C186,05_Строки_КП!$A$4:$A$203,0)),""),""))</f>
        <v/>
      </c>
      <c r="P186" s="5" t="str">
        <f aca="false">IF(C186="","",IF(IFERROR(INDEX(05_Строки_КП!$O$4:$O$203,MATCH(C186,05_Строки_КП!$A$4:$A$203,0)),"")="READY",IFERROR(INDEX(05_Строки_КП!$L$4:$L$203,MATCH(C186,05_Строки_КП!$A$4:$A$203,0)),""),""))</f>
        <v/>
      </c>
      <c r="Q186" s="5" t="str">
        <f aca="false">IF(C186="","",IF(IFERROR(INDEX(05_Строки_КП!$O$4:$O$203,MATCH(C186,05_Строки_КП!$A$4:$A$203,0)),"")="READY",IFERROR(INDEX(05_Строки_КП!$M$4:$M$203,MATCH(C186,05_Строки_КП!$A$4:$A$203,0)),""),""))</f>
        <v/>
      </c>
      <c r="R186" s="7" t="str">
        <f aca="false">IF(OR(V186="SELECTED_READY",V186="COMPARABLE_READY"),O186*G186*H186+SUM(K186:N186),"")</f>
        <v/>
      </c>
      <c r="S186" s="4"/>
      <c r="T186" s="4"/>
      <c r="U186" s="6"/>
      <c r="V186" s="5" t="str">
        <f aca="false">IF(A186="","",IF(AND(COUNTIF(A$4:A$203,A186)=1,B186&lt;&gt;"",C186&lt;&gt;"",D186&lt;&gt;"",COUNTIF(05_Строки_КП!$A$4:$A$203,C186)=1,IFERROR(INDEX(05_Строки_КП!$C$4:$C$203,MATCH(C186,05_Строки_КП!$A$4:$A$203,0)),"")=D186,IFERROR(INDEX(05_Строки_КП!$O$4:$O$203,MATCH(C186,05_Строки_КП!$A$4:$A$203,0)),"")="READY",E186="COMPARABLE",F186&lt;&gt;"",COUNT(G186:H186)=2,G186&gt;0,H186&gt;0,I186&lt;&gt;"",J186&lt;&gt;"",COUNTIF(13_Источники!$A$4:$A$203,J186)=1,W186&lt;&gt;"",COUNTIF(13_Источники!$A$4:$A$203,W186)=1,COUNT(K186:N186)=4,ISNUMBER(O186),U186&lt;&gt;"",01_Основания!$B$8&lt;&gt;"",OR(01_Основания!$B$9="NET",01_Основания!$B$9="GROSS"),01_Основания!$B$10&lt;&gt;"",IF(AND(ISNUMBER(O186),ISNUMBER(G186),ISNUMBER(H186)),O186*G186*H186+SUM(K186:N186)&gt;=0,FALSE())),IF(S186="SELECTED",IF(AND(COUNTIFS(B$4:B$203,B186,S$4:S$203,"SELECTED")=1,T186&lt;&gt;""),"SELECTED_READY","SELECTION_ERROR"),"COMPARABLE_READY"),"INCOMPLETE / NOT_COMPARABLE"))</f>
        <v/>
      </c>
      <c r="W186" s="6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6"/>
      <c r="L187" s="6"/>
      <c r="M187" s="6"/>
      <c r="N187" s="6"/>
      <c r="O187" s="7" t="str">
        <f aca="false">IF(C187="","",IF(IFERROR(INDEX(05_Строки_КП!$O$4:$O$203,MATCH(C187,05_Строки_КП!$A$4:$A$203,0)),"")="READY",IFERROR(INDEX(05_Строки_КП!$H$4:$H$203,MATCH(C187,05_Строки_КП!$A$4:$A$203,0)),""),""))</f>
        <v/>
      </c>
      <c r="P187" s="5" t="str">
        <f aca="false">IF(C187="","",IF(IFERROR(INDEX(05_Строки_КП!$O$4:$O$203,MATCH(C187,05_Строки_КП!$A$4:$A$203,0)),"")="READY",IFERROR(INDEX(05_Строки_КП!$L$4:$L$203,MATCH(C187,05_Строки_КП!$A$4:$A$203,0)),""),""))</f>
        <v/>
      </c>
      <c r="Q187" s="5" t="str">
        <f aca="false">IF(C187="","",IF(IFERROR(INDEX(05_Строки_КП!$O$4:$O$203,MATCH(C187,05_Строки_КП!$A$4:$A$203,0)),"")="READY",IFERROR(INDEX(05_Строки_КП!$M$4:$M$203,MATCH(C187,05_Строки_КП!$A$4:$A$203,0)),""),""))</f>
        <v/>
      </c>
      <c r="R187" s="7" t="str">
        <f aca="false">IF(OR(V187="SELECTED_READY",V187="COMPARABLE_READY"),O187*G187*H187+SUM(K187:N187),"")</f>
        <v/>
      </c>
      <c r="S187" s="4"/>
      <c r="T187" s="4"/>
      <c r="U187" s="6"/>
      <c r="V187" s="5" t="str">
        <f aca="false">IF(A187="","",IF(AND(COUNTIF(A$4:A$203,A187)=1,B187&lt;&gt;"",C187&lt;&gt;"",D187&lt;&gt;"",COUNTIF(05_Строки_КП!$A$4:$A$203,C187)=1,IFERROR(INDEX(05_Строки_КП!$C$4:$C$203,MATCH(C187,05_Строки_КП!$A$4:$A$203,0)),"")=D187,IFERROR(INDEX(05_Строки_КП!$O$4:$O$203,MATCH(C187,05_Строки_КП!$A$4:$A$203,0)),"")="READY",E187="COMPARABLE",F187&lt;&gt;"",COUNT(G187:H187)=2,G187&gt;0,H187&gt;0,I187&lt;&gt;"",J187&lt;&gt;"",COUNTIF(13_Источники!$A$4:$A$203,J187)=1,W187&lt;&gt;"",COUNTIF(13_Источники!$A$4:$A$203,W187)=1,COUNT(K187:N187)=4,ISNUMBER(O187),U187&lt;&gt;"",01_Основания!$B$8&lt;&gt;"",OR(01_Основания!$B$9="NET",01_Основания!$B$9="GROSS"),01_Основания!$B$10&lt;&gt;"",IF(AND(ISNUMBER(O187),ISNUMBER(G187),ISNUMBER(H187)),O187*G187*H187+SUM(K187:N187)&gt;=0,FALSE())),IF(S187="SELECTED",IF(AND(COUNTIFS(B$4:B$203,B187,S$4:S$203,"SELECTED")=1,T187&lt;&gt;""),"SELECTED_READY","SELECTION_ERROR"),"COMPARABLE_READY"),"INCOMPLETE / NOT_COMPARABLE"))</f>
        <v/>
      </c>
      <c r="W187" s="6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6"/>
      <c r="L188" s="6"/>
      <c r="M188" s="6"/>
      <c r="N188" s="6"/>
      <c r="O188" s="7" t="str">
        <f aca="false">IF(C188="","",IF(IFERROR(INDEX(05_Строки_КП!$O$4:$O$203,MATCH(C188,05_Строки_КП!$A$4:$A$203,0)),"")="READY",IFERROR(INDEX(05_Строки_КП!$H$4:$H$203,MATCH(C188,05_Строки_КП!$A$4:$A$203,0)),""),""))</f>
        <v/>
      </c>
      <c r="P188" s="5" t="str">
        <f aca="false">IF(C188="","",IF(IFERROR(INDEX(05_Строки_КП!$O$4:$O$203,MATCH(C188,05_Строки_КП!$A$4:$A$203,0)),"")="READY",IFERROR(INDEX(05_Строки_КП!$L$4:$L$203,MATCH(C188,05_Строки_КП!$A$4:$A$203,0)),""),""))</f>
        <v/>
      </c>
      <c r="Q188" s="5" t="str">
        <f aca="false">IF(C188="","",IF(IFERROR(INDEX(05_Строки_КП!$O$4:$O$203,MATCH(C188,05_Строки_КП!$A$4:$A$203,0)),"")="READY",IFERROR(INDEX(05_Строки_КП!$M$4:$M$203,MATCH(C188,05_Строки_КП!$A$4:$A$203,0)),""),""))</f>
        <v/>
      </c>
      <c r="R188" s="7" t="str">
        <f aca="false">IF(OR(V188="SELECTED_READY",V188="COMPARABLE_READY"),O188*G188*H188+SUM(K188:N188),"")</f>
        <v/>
      </c>
      <c r="S188" s="4"/>
      <c r="T188" s="4"/>
      <c r="U188" s="6"/>
      <c r="V188" s="5" t="str">
        <f aca="false">IF(A188="","",IF(AND(COUNTIF(A$4:A$203,A188)=1,B188&lt;&gt;"",C188&lt;&gt;"",D188&lt;&gt;"",COUNTIF(05_Строки_КП!$A$4:$A$203,C188)=1,IFERROR(INDEX(05_Строки_КП!$C$4:$C$203,MATCH(C188,05_Строки_КП!$A$4:$A$203,0)),"")=D188,IFERROR(INDEX(05_Строки_КП!$O$4:$O$203,MATCH(C188,05_Строки_КП!$A$4:$A$203,0)),"")="READY",E188="COMPARABLE",F188&lt;&gt;"",COUNT(G188:H188)=2,G188&gt;0,H188&gt;0,I188&lt;&gt;"",J188&lt;&gt;"",COUNTIF(13_Источники!$A$4:$A$203,J188)=1,W188&lt;&gt;"",COUNTIF(13_Источники!$A$4:$A$203,W188)=1,COUNT(K188:N188)=4,ISNUMBER(O188),U188&lt;&gt;"",01_Основания!$B$8&lt;&gt;"",OR(01_Основания!$B$9="NET",01_Основания!$B$9="GROSS"),01_Основания!$B$10&lt;&gt;"",IF(AND(ISNUMBER(O188),ISNUMBER(G188),ISNUMBER(H188)),O188*G188*H188+SUM(K188:N188)&gt;=0,FALSE())),IF(S188="SELECTED",IF(AND(COUNTIFS(B$4:B$203,B188,S$4:S$203,"SELECTED")=1,T188&lt;&gt;""),"SELECTED_READY","SELECTION_ERROR"),"COMPARABLE_READY"),"INCOMPLETE / NOT_COMPARABLE"))</f>
        <v/>
      </c>
      <c r="W188" s="6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6"/>
      <c r="L189" s="6"/>
      <c r="M189" s="6"/>
      <c r="N189" s="6"/>
      <c r="O189" s="7" t="str">
        <f aca="false">IF(C189="","",IF(IFERROR(INDEX(05_Строки_КП!$O$4:$O$203,MATCH(C189,05_Строки_КП!$A$4:$A$203,0)),"")="READY",IFERROR(INDEX(05_Строки_КП!$H$4:$H$203,MATCH(C189,05_Строки_КП!$A$4:$A$203,0)),""),""))</f>
        <v/>
      </c>
      <c r="P189" s="5" t="str">
        <f aca="false">IF(C189="","",IF(IFERROR(INDEX(05_Строки_КП!$O$4:$O$203,MATCH(C189,05_Строки_КП!$A$4:$A$203,0)),"")="READY",IFERROR(INDEX(05_Строки_КП!$L$4:$L$203,MATCH(C189,05_Строки_КП!$A$4:$A$203,0)),""),""))</f>
        <v/>
      </c>
      <c r="Q189" s="5" t="str">
        <f aca="false">IF(C189="","",IF(IFERROR(INDEX(05_Строки_КП!$O$4:$O$203,MATCH(C189,05_Строки_КП!$A$4:$A$203,0)),"")="READY",IFERROR(INDEX(05_Строки_КП!$M$4:$M$203,MATCH(C189,05_Строки_КП!$A$4:$A$203,0)),""),""))</f>
        <v/>
      </c>
      <c r="R189" s="7" t="str">
        <f aca="false">IF(OR(V189="SELECTED_READY",V189="COMPARABLE_READY"),O189*G189*H189+SUM(K189:N189),"")</f>
        <v/>
      </c>
      <c r="S189" s="4"/>
      <c r="T189" s="4"/>
      <c r="U189" s="6"/>
      <c r="V189" s="5" t="str">
        <f aca="false">IF(A189="","",IF(AND(COUNTIF(A$4:A$203,A189)=1,B189&lt;&gt;"",C189&lt;&gt;"",D189&lt;&gt;"",COUNTIF(05_Строки_КП!$A$4:$A$203,C189)=1,IFERROR(INDEX(05_Строки_КП!$C$4:$C$203,MATCH(C189,05_Строки_КП!$A$4:$A$203,0)),"")=D189,IFERROR(INDEX(05_Строки_КП!$O$4:$O$203,MATCH(C189,05_Строки_КП!$A$4:$A$203,0)),"")="READY",E189="COMPARABLE",F189&lt;&gt;"",COUNT(G189:H189)=2,G189&gt;0,H189&gt;0,I189&lt;&gt;"",J189&lt;&gt;"",COUNTIF(13_Источники!$A$4:$A$203,J189)=1,W189&lt;&gt;"",COUNTIF(13_Источники!$A$4:$A$203,W189)=1,COUNT(K189:N189)=4,ISNUMBER(O189),U189&lt;&gt;"",01_Основания!$B$8&lt;&gt;"",OR(01_Основания!$B$9="NET",01_Основания!$B$9="GROSS"),01_Основания!$B$10&lt;&gt;"",IF(AND(ISNUMBER(O189),ISNUMBER(G189),ISNUMBER(H189)),O189*G189*H189+SUM(K189:N189)&gt;=0,FALSE())),IF(S189="SELECTED",IF(AND(COUNTIFS(B$4:B$203,B189,S$4:S$203,"SELECTED")=1,T189&lt;&gt;""),"SELECTED_READY","SELECTION_ERROR"),"COMPARABLE_READY"),"INCOMPLETE / NOT_COMPARABLE"))</f>
        <v/>
      </c>
      <c r="W189" s="6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6"/>
      <c r="L190" s="6"/>
      <c r="M190" s="6"/>
      <c r="N190" s="6"/>
      <c r="O190" s="7" t="str">
        <f aca="false">IF(C190="","",IF(IFERROR(INDEX(05_Строки_КП!$O$4:$O$203,MATCH(C190,05_Строки_КП!$A$4:$A$203,0)),"")="READY",IFERROR(INDEX(05_Строки_КП!$H$4:$H$203,MATCH(C190,05_Строки_КП!$A$4:$A$203,0)),""),""))</f>
        <v/>
      </c>
      <c r="P190" s="5" t="str">
        <f aca="false">IF(C190="","",IF(IFERROR(INDEX(05_Строки_КП!$O$4:$O$203,MATCH(C190,05_Строки_КП!$A$4:$A$203,0)),"")="READY",IFERROR(INDEX(05_Строки_КП!$L$4:$L$203,MATCH(C190,05_Строки_КП!$A$4:$A$203,0)),""),""))</f>
        <v/>
      </c>
      <c r="Q190" s="5" t="str">
        <f aca="false">IF(C190="","",IF(IFERROR(INDEX(05_Строки_КП!$O$4:$O$203,MATCH(C190,05_Строки_КП!$A$4:$A$203,0)),"")="READY",IFERROR(INDEX(05_Строки_КП!$M$4:$M$203,MATCH(C190,05_Строки_КП!$A$4:$A$203,0)),""),""))</f>
        <v/>
      </c>
      <c r="R190" s="7" t="str">
        <f aca="false">IF(OR(V190="SELECTED_READY",V190="COMPARABLE_READY"),O190*G190*H190+SUM(K190:N190),"")</f>
        <v/>
      </c>
      <c r="S190" s="4"/>
      <c r="T190" s="4"/>
      <c r="U190" s="6"/>
      <c r="V190" s="5" t="str">
        <f aca="false">IF(A190="","",IF(AND(COUNTIF(A$4:A$203,A190)=1,B190&lt;&gt;"",C190&lt;&gt;"",D190&lt;&gt;"",COUNTIF(05_Строки_КП!$A$4:$A$203,C190)=1,IFERROR(INDEX(05_Строки_КП!$C$4:$C$203,MATCH(C190,05_Строки_КП!$A$4:$A$203,0)),"")=D190,IFERROR(INDEX(05_Строки_КП!$O$4:$O$203,MATCH(C190,05_Строки_КП!$A$4:$A$203,0)),"")="READY",E190="COMPARABLE",F190&lt;&gt;"",COUNT(G190:H190)=2,G190&gt;0,H190&gt;0,I190&lt;&gt;"",J190&lt;&gt;"",COUNTIF(13_Источники!$A$4:$A$203,J190)=1,W190&lt;&gt;"",COUNTIF(13_Источники!$A$4:$A$203,W190)=1,COUNT(K190:N190)=4,ISNUMBER(O190),U190&lt;&gt;"",01_Основания!$B$8&lt;&gt;"",OR(01_Основания!$B$9="NET",01_Основания!$B$9="GROSS"),01_Основания!$B$10&lt;&gt;"",IF(AND(ISNUMBER(O190),ISNUMBER(G190),ISNUMBER(H190)),O190*G190*H190+SUM(K190:N190)&gt;=0,FALSE())),IF(S190="SELECTED",IF(AND(COUNTIFS(B$4:B$203,B190,S$4:S$203,"SELECTED")=1,T190&lt;&gt;""),"SELECTED_READY","SELECTION_ERROR"),"COMPARABLE_READY"),"INCOMPLETE / NOT_COMPARABLE"))</f>
        <v/>
      </c>
      <c r="W190" s="6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6"/>
      <c r="L191" s="6"/>
      <c r="M191" s="6"/>
      <c r="N191" s="6"/>
      <c r="O191" s="7" t="str">
        <f aca="false">IF(C191="","",IF(IFERROR(INDEX(05_Строки_КП!$O$4:$O$203,MATCH(C191,05_Строки_КП!$A$4:$A$203,0)),"")="READY",IFERROR(INDEX(05_Строки_КП!$H$4:$H$203,MATCH(C191,05_Строки_КП!$A$4:$A$203,0)),""),""))</f>
        <v/>
      </c>
      <c r="P191" s="5" t="str">
        <f aca="false">IF(C191="","",IF(IFERROR(INDEX(05_Строки_КП!$O$4:$O$203,MATCH(C191,05_Строки_КП!$A$4:$A$203,0)),"")="READY",IFERROR(INDEX(05_Строки_КП!$L$4:$L$203,MATCH(C191,05_Строки_КП!$A$4:$A$203,0)),""),""))</f>
        <v/>
      </c>
      <c r="Q191" s="5" t="str">
        <f aca="false">IF(C191="","",IF(IFERROR(INDEX(05_Строки_КП!$O$4:$O$203,MATCH(C191,05_Строки_КП!$A$4:$A$203,0)),"")="READY",IFERROR(INDEX(05_Строки_КП!$M$4:$M$203,MATCH(C191,05_Строки_КП!$A$4:$A$203,0)),""),""))</f>
        <v/>
      </c>
      <c r="R191" s="7" t="str">
        <f aca="false">IF(OR(V191="SELECTED_READY",V191="COMPARABLE_READY"),O191*G191*H191+SUM(K191:N191),"")</f>
        <v/>
      </c>
      <c r="S191" s="4"/>
      <c r="T191" s="4"/>
      <c r="U191" s="6"/>
      <c r="V191" s="5" t="str">
        <f aca="false">IF(A191="","",IF(AND(COUNTIF(A$4:A$203,A191)=1,B191&lt;&gt;"",C191&lt;&gt;"",D191&lt;&gt;"",COUNTIF(05_Строки_КП!$A$4:$A$203,C191)=1,IFERROR(INDEX(05_Строки_КП!$C$4:$C$203,MATCH(C191,05_Строки_КП!$A$4:$A$203,0)),"")=D191,IFERROR(INDEX(05_Строки_КП!$O$4:$O$203,MATCH(C191,05_Строки_КП!$A$4:$A$203,0)),"")="READY",E191="COMPARABLE",F191&lt;&gt;"",COUNT(G191:H191)=2,G191&gt;0,H191&gt;0,I191&lt;&gt;"",J191&lt;&gt;"",COUNTIF(13_Источники!$A$4:$A$203,J191)=1,W191&lt;&gt;"",COUNTIF(13_Источники!$A$4:$A$203,W191)=1,COUNT(K191:N191)=4,ISNUMBER(O191),U191&lt;&gt;"",01_Основания!$B$8&lt;&gt;"",OR(01_Основания!$B$9="NET",01_Основания!$B$9="GROSS"),01_Основания!$B$10&lt;&gt;"",IF(AND(ISNUMBER(O191),ISNUMBER(G191),ISNUMBER(H191)),O191*G191*H191+SUM(K191:N191)&gt;=0,FALSE())),IF(S191="SELECTED",IF(AND(COUNTIFS(B$4:B$203,B191,S$4:S$203,"SELECTED")=1,T191&lt;&gt;""),"SELECTED_READY","SELECTION_ERROR"),"COMPARABLE_READY"),"INCOMPLETE / NOT_COMPARABLE"))</f>
        <v/>
      </c>
      <c r="W191" s="6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6"/>
      <c r="L192" s="6"/>
      <c r="M192" s="6"/>
      <c r="N192" s="6"/>
      <c r="O192" s="7" t="str">
        <f aca="false">IF(C192="","",IF(IFERROR(INDEX(05_Строки_КП!$O$4:$O$203,MATCH(C192,05_Строки_КП!$A$4:$A$203,0)),"")="READY",IFERROR(INDEX(05_Строки_КП!$H$4:$H$203,MATCH(C192,05_Строки_КП!$A$4:$A$203,0)),""),""))</f>
        <v/>
      </c>
      <c r="P192" s="5" t="str">
        <f aca="false">IF(C192="","",IF(IFERROR(INDEX(05_Строки_КП!$O$4:$O$203,MATCH(C192,05_Строки_КП!$A$4:$A$203,0)),"")="READY",IFERROR(INDEX(05_Строки_КП!$L$4:$L$203,MATCH(C192,05_Строки_КП!$A$4:$A$203,0)),""),""))</f>
        <v/>
      </c>
      <c r="Q192" s="5" t="str">
        <f aca="false">IF(C192="","",IF(IFERROR(INDEX(05_Строки_КП!$O$4:$O$203,MATCH(C192,05_Строки_КП!$A$4:$A$203,0)),"")="READY",IFERROR(INDEX(05_Строки_КП!$M$4:$M$203,MATCH(C192,05_Строки_КП!$A$4:$A$203,0)),""),""))</f>
        <v/>
      </c>
      <c r="R192" s="7" t="str">
        <f aca="false">IF(OR(V192="SELECTED_READY",V192="COMPARABLE_READY"),O192*G192*H192+SUM(K192:N192),"")</f>
        <v/>
      </c>
      <c r="S192" s="4"/>
      <c r="T192" s="4"/>
      <c r="U192" s="6"/>
      <c r="V192" s="5" t="str">
        <f aca="false">IF(A192="","",IF(AND(COUNTIF(A$4:A$203,A192)=1,B192&lt;&gt;"",C192&lt;&gt;"",D192&lt;&gt;"",COUNTIF(05_Строки_КП!$A$4:$A$203,C192)=1,IFERROR(INDEX(05_Строки_КП!$C$4:$C$203,MATCH(C192,05_Строки_КП!$A$4:$A$203,0)),"")=D192,IFERROR(INDEX(05_Строки_КП!$O$4:$O$203,MATCH(C192,05_Строки_КП!$A$4:$A$203,0)),"")="READY",E192="COMPARABLE",F192&lt;&gt;"",COUNT(G192:H192)=2,G192&gt;0,H192&gt;0,I192&lt;&gt;"",J192&lt;&gt;"",COUNTIF(13_Источники!$A$4:$A$203,J192)=1,W192&lt;&gt;"",COUNTIF(13_Источники!$A$4:$A$203,W192)=1,COUNT(K192:N192)=4,ISNUMBER(O192),U192&lt;&gt;"",01_Основания!$B$8&lt;&gt;"",OR(01_Основания!$B$9="NET",01_Основания!$B$9="GROSS"),01_Основания!$B$10&lt;&gt;"",IF(AND(ISNUMBER(O192),ISNUMBER(G192),ISNUMBER(H192)),O192*G192*H192+SUM(K192:N192)&gt;=0,FALSE())),IF(S192="SELECTED",IF(AND(COUNTIFS(B$4:B$203,B192,S$4:S$203,"SELECTED")=1,T192&lt;&gt;""),"SELECTED_READY","SELECTION_ERROR"),"COMPARABLE_READY"),"INCOMPLETE / NOT_COMPARABLE"))</f>
        <v/>
      </c>
      <c r="W192" s="6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6"/>
      <c r="L193" s="6"/>
      <c r="M193" s="6"/>
      <c r="N193" s="6"/>
      <c r="O193" s="7" t="str">
        <f aca="false">IF(C193="","",IF(IFERROR(INDEX(05_Строки_КП!$O$4:$O$203,MATCH(C193,05_Строки_КП!$A$4:$A$203,0)),"")="READY",IFERROR(INDEX(05_Строки_КП!$H$4:$H$203,MATCH(C193,05_Строки_КП!$A$4:$A$203,0)),""),""))</f>
        <v/>
      </c>
      <c r="P193" s="5" t="str">
        <f aca="false">IF(C193="","",IF(IFERROR(INDEX(05_Строки_КП!$O$4:$O$203,MATCH(C193,05_Строки_КП!$A$4:$A$203,0)),"")="READY",IFERROR(INDEX(05_Строки_КП!$L$4:$L$203,MATCH(C193,05_Строки_КП!$A$4:$A$203,0)),""),""))</f>
        <v/>
      </c>
      <c r="Q193" s="5" t="str">
        <f aca="false">IF(C193="","",IF(IFERROR(INDEX(05_Строки_КП!$O$4:$O$203,MATCH(C193,05_Строки_КП!$A$4:$A$203,0)),"")="READY",IFERROR(INDEX(05_Строки_КП!$M$4:$M$203,MATCH(C193,05_Строки_КП!$A$4:$A$203,0)),""),""))</f>
        <v/>
      </c>
      <c r="R193" s="7" t="str">
        <f aca="false">IF(OR(V193="SELECTED_READY",V193="COMPARABLE_READY"),O193*G193*H193+SUM(K193:N193),"")</f>
        <v/>
      </c>
      <c r="S193" s="4"/>
      <c r="T193" s="4"/>
      <c r="U193" s="6"/>
      <c r="V193" s="5" t="str">
        <f aca="false">IF(A193="","",IF(AND(COUNTIF(A$4:A$203,A193)=1,B193&lt;&gt;"",C193&lt;&gt;"",D193&lt;&gt;"",COUNTIF(05_Строки_КП!$A$4:$A$203,C193)=1,IFERROR(INDEX(05_Строки_КП!$C$4:$C$203,MATCH(C193,05_Строки_КП!$A$4:$A$203,0)),"")=D193,IFERROR(INDEX(05_Строки_КП!$O$4:$O$203,MATCH(C193,05_Строки_КП!$A$4:$A$203,0)),"")="READY",E193="COMPARABLE",F193&lt;&gt;"",COUNT(G193:H193)=2,G193&gt;0,H193&gt;0,I193&lt;&gt;"",J193&lt;&gt;"",COUNTIF(13_Источники!$A$4:$A$203,J193)=1,W193&lt;&gt;"",COUNTIF(13_Источники!$A$4:$A$203,W193)=1,COUNT(K193:N193)=4,ISNUMBER(O193),U193&lt;&gt;"",01_Основания!$B$8&lt;&gt;"",OR(01_Основания!$B$9="NET",01_Основания!$B$9="GROSS"),01_Основания!$B$10&lt;&gt;"",IF(AND(ISNUMBER(O193),ISNUMBER(G193),ISNUMBER(H193)),O193*G193*H193+SUM(K193:N193)&gt;=0,FALSE())),IF(S193="SELECTED",IF(AND(COUNTIFS(B$4:B$203,B193,S$4:S$203,"SELECTED")=1,T193&lt;&gt;""),"SELECTED_READY","SELECTION_ERROR"),"COMPARABLE_READY"),"INCOMPLETE / NOT_COMPARABLE"))</f>
        <v/>
      </c>
      <c r="W193" s="6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6"/>
      <c r="L194" s="6"/>
      <c r="M194" s="6"/>
      <c r="N194" s="6"/>
      <c r="O194" s="7" t="str">
        <f aca="false">IF(C194="","",IF(IFERROR(INDEX(05_Строки_КП!$O$4:$O$203,MATCH(C194,05_Строки_КП!$A$4:$A$203,0)),"")="READY",IFERROR(INDEX(05_Строки_КП!$H$4:$H$203,MATCH(C194,05_Строки_КП!$A$4:$A$203,0)),""),""))</f>
        <v/>
      </c>
      <c r="P194" s="5" t="str">
        <f aca="false">IF(C194="","",IF(IFERROR(INDEX(05_Строки_КП!$O$4:$O$203,MATCH(C194,05_Строки_КП!$A$4:$A$203,0)),"")="READY",IFERROR(INDEX(05_Строки_КП!$L$4:$L$203,MATCH(C194,05_Строки_КП!$A$4:$A$203,0)),""),""))</f>
        <v/>
      </c>
      <c r="Q194" s="5" t="str">
        <f aca="false">IF(C194="","",IF(IFERROR(INDEX(05_Строки_КП!$O$4:$O$203,MATCH(C194,05_Строки_КП!$A$4:$A$203,0)),"")="READY",IFERROR(INDEX(05_Строки_КП!$M$4:$M$203,MATCH(C194,05_Строки_КП!$A$4:$A$203,0)),""),""))</f>
        <v/>
      </c>
      <c r="R194" s="7" t="str">
        <f aca="false">IF(OR(V194="SELECTED_READY",V194="COMPARABLE_READY"),O194*G194*H194+SUM(K194:N194),"")</f>
        <v/>
      </c>
      <c r="S194" s="4"/>
      <c r="T194" s="4"/>
      <c r="U194" s="6"/>
      <c r="V194" s="5" t="str">
        <f aca="false">IF(A194="","",IF(AND(COUNTIF(A$4:A$203,A194)=1,B194&lt;&gt;"",C194&lt;&gt;"",D194&lt;&gt;"",COUNTIF(05_Строки_КП!$A$4:$A$203,C194)=1,IFERROR(INDEX(05_Строки_КП!$C$4:$C$203,MATCH(C194,05_Строки_КП!$A$4:$A$203,0)),"")=D194,IFERROR(INDEX(05_Строки_КП!$O$4:$O$203,MATCH(C194,05_Строки_КП!$A$4:$A$203,0)),"")="READY",E194="COMPARABLE",F194&lt;&gt;"",COUNT(G194:H194)=2,G194&gt;0,H194&gt;0,I194&lt;&gt;"",J194&lt;&gt;"",COUNTIF(13_Источники!$A$4:$A$203,J194)=1,W194&lt;&gt;"",COUNTIF(13_Источники!$A$4:$A$203,W194)=1,COUNT(K194:N194)=4,ISNUMBER(O194),U194&lt;&gt;"",01_Основания!$B$8&lt;&gt;"",OR(01_Основания!$B$9="NET",01_Основания!$B$9="GROSS"),01_Основания!$B$10&lt;&gt;"",IF(AND(ISNUMBER(O194),ISNUMBER(G194),ISNUMBER(H194)),O194*G194*H194+SUM(K194:N194)&gt;=0,FALSE())),IF(S194="SELECTED",IF(AND(COUNTIFS(B$4:B$203,B194,S$4:S$203,"SELECTED")=1,T194&lt;&gt;""),"SELECTED_READY","SELECTION_ERROR"),"COMPARABLE_READY"),"INCOMPLETE / NOT_COMPARABLE"))</f>
        <v/>
      </c>
      <c r="W194" s="6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6"/>
      <c r="L195" s="6"/>
      <c r="M195" s="6"/>
      <c r="N195" s="6"/>
      <c r="O195" s="7" t="str">
        <f aca="false">IF(C195="","",IF(IFERROR(INDEX(05_Строки_КП!$O$4:$O$203,MATCH(C195,05_Строки_КП!$A$4:$A$203,0)),"")="READY",IFERROR(INDEX(05_Строки_КП!$H$4:$H$203,MATCH(C195,05_Строки_КП!$A$4:$A$203,0)),""),""))</f>
        <v/>
      </c>
      <c r="P195" s="5" t="str">
        <f aca="false">IF(C195="","",IF(IFERROR(INDEX(05_Строки_КП!$O$4:$O$203,MATCH(C195,05_Строки_КП!$A$4:$A$203,0)),"")="READY",IFERROR(INDEX(05_Строки_КП!$L$4:$L$203,MATCH(C195,05_Строки_КП!$A$4:$A$203,0)),""),""))</f>
        <v/>
      </c>
      <c r="Q195" s="5" t="str">
        <f aca="false">IF(C195="","",IF(IFERROR(INDEX(05_Строки_КП!$O$4:$O$203,MATCH(C195,05_Строки_КП!$A$4:$A$203,0)),"")="READY",IFERROR(INDEX(05_Строки_КП!$M$4:$M$203,MATCH(C195,05_Строки_КП!$A$4:$A$203,0)),""),""))</f>
        <v/>
      </c>
      <c r="R195" s="7" t="str">
        <f aca="false">IF(OR(V195="SELECTED_READY",V195="COMPARABLE_READY"),O195*G195*H195+SUM(K195:N195),"")</f>
        <v/>
      </c>
      <c r="S195" s="4"/>
      <c r="T195" s="4"/>
      <c r="U195" s="6"/>
      <c r="V195" s="5" t="str">
        <f aca="false">IF(A195="","",IF(AND(COUNTIF(A$4:A$203,A195)=1,B195&lt;&gt;"",C195&lt;&gt;"",D195&lt;&gt;"",COUNTIF(05_Строки_КП!$A$4:$A$203,C195)=1,IFERROR(INDEX(05_Строки_КП!$C$4:$C$203,MATCH(C195,05_Строки_КП!$A$4:$A$203,0)),"")=D195,IFERROR(INDEX(05_Строки_КП!$O$4:$O$203,MATCH(C195,05_Строки_КП!$A$4:$A$203,0)),"")="READY",E195="COMPARABLE",F195&lt;&gt;"",COUNT(G195:H195)=2,G195&gt;0,H195&gt;0,I195&lt;&gt;"",J195&lt;&gt;"",COUNTIF(13_Источники!$A$4:$A$203,J195)=1,W195&lt;&gt;"",COUNTIF(13_Источники!$A$4:$A$203,W195)=1,COUNT(K195:N195)=4,ISNUMBER(O195),U195&lt;&gt;"",01_Основания!$B$8&lt;&gt;"",OR(01_Основания!$B$9="NET",01_Основания!$B$9="GROSS"),01_Основания!$B$10&lt;&gt;"",IF(AND(ISNUMBER(O195),ISNUMBER(G195),ISNUMBER(H195)),O195*G195*H195+SUM(K195:N195)&gt;=0,FALSE())),IF(S195="SELECTED",IF(AND(COUNTIFS(B$4:B$203,B195,S$4:S$203,"SELECTED")=1,T195&lt;&gt;""),"SELECTED_READY","SELECTION_ERROR"),"COMPARABLE_READY"),"INCOMPLETE / NOT_COMPARABLE"))</f>
        <v/>
      </c>
      <c r="W195" s="6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6"/>
      <c r="L196" s="6"/>
      <c r="M196" s="6"/>
      <c r="N196" s="6"/>
      <c r="O196" s="7" t="str">
        <f aca="false">IF(C196="","",IF(IFERROR(INDEX(05_Строки_КП!$O$4:$O$203,MATCH(C196,05_Строки_КП!$A$4:$A$203,0)),"")="READY",IFERROR(INDEX(05_Строки_КП!$H$4:$H$203,MATCH(C196,05_Строки_КП!$A$4:$A$203,0)),""),""))</f>
        <v/>
      </c>
      <c r="P196" s="5" t="str">
        <f aca="false">IF(C196="","",IF(IFERROR(INDEX(05_Строки_КП!$O$4:$O$203,MATCH(C196,05_Строки_КП!$A$4:$A$203,0)),"")="READY",IFERROR(INDEX(05_Строки_КП!$L$4:$L$203,MATCH(C196,05_Строки_КП!$A$4:$A$203,0)),""),""))</f>
        <v/>
      </c>
      <c r="Q196" s="5" t="str">
        <f aca="false">IF(C196="","",IF(IFERROR(INDEX(05_Строки_КП!$O$4:$O$203,MATCH(C196,05_Строки_КП!$A$4:$A$203,0)),"")="READY",IFERROR(INDEX(05_Строки_КП!$M$4:$M$203,MATCH(C196,05_Строки_КП!$A$4:$A$203,0)),""),""))</f>
        <v/>
      </c>
      <c r="R196" s="7" t="str">
        <f aca="false">IF(OR(V196="SELECTED_READY",V196="COMPARABLE_READY"),O196*G196*H196+SUM(K196:N196),"")</f>
        <v/>
      </c>
      <c r="S196" s="4"/>
      <c r="T196" s="4"/>
      <c r="U196" s="6"/>
      <c r="V196" s="5" t="str">
        <f aca="false">IF(A196="","",IF(AND(COUNTIF(A$4:A$203,A196)=1,B196&lt;&gt;"",C196&lt;&gt;"",D196&lt;&gt;"",COUNTIF(05_Строки_КП!$A$4:$A$203,C196)=1,IFERROR(INDEX(05_Строки_КП!$C$4:$C$203,MATCH(C196,05_Строки_КП!$A$4:$A$203,0)),"")=D196,IFERROR(INDEX(05_Строки_КП!$O$4:$O$203,MATCH(C196,05_Строки_КП!$A$4:$A$203,0)),"")="READY",E196="COMPARABLE",F196&lt;&gt;"",COUNT(G196:H196)=2,G196&gt;0,H196&gt;0,I196&lt;&gt;"",J196&lt;&gt;"",COUNTIF(13_Источники!$A$4:$A$203,J196)=1,W196&lt;&gt;"",COUNTIF(13_Источники!$A$4:$A$203,W196)=1,COUNT(K196:N196)=4,ISNUMBER(O196),U196&lt;&gt;"",01_Основания!$B$8&lt;&gt;"",OR(01_Основания!$B$9="NET",01_Основания!$B$9="GROSS"),01_Основания!$B$10&lt;&gt;"",IF(AND(ISNUMBER(O196),ISNUMBER(G196),ISNUMBER(H196)),O196*G196*H196+SUM(K196:N196)&gt;=0,FALSE())),IF(S196="SELECTED",IF(AND(COUNTIFS(B$4:B$203,B196,S$4:S$203,"SELECTED")=1,T196&lt;&gt;""),"SELECTED_READY","SELECTION_ERROR"),"COMPARABLE_READY"),"INCOMPLETE / NOT_COMPARABLE"))</f>
        <v/>
      </c>
      <c r="W196" s="6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6"/>
      <c r="L197" s="6"/>
      <c r="M197" s="6"/>
      <c r="N197" s="6"/>
      <c r="O197" s="7" t="str">
        <f aca="false">IF(C197="","",IF(IFERROR(INDEX(05_Строки_КП!$O$4:$O$203,MATCH(C197,05_Строки_КП!$A$4:$A$203,0)),"")="READY",IFERROR(INDEX(05_Строки_КП!$H$4:$H$203,MATCH(C197,05_Строки_КП!$A$4:$A$203,0)),""),""))</f>
        <v/>
      </c>
      <c r="P197" s="5" t="str">
        <f aca="false">IF(C197="","",IF(IFERROR(INDEX(05_Строки_КП!$O$4:$O$203,MATCH(C197,05_Строки_КП!$A$4:$A$203,0)),"")="READY",IFERROR(INDEX(05_Строки_КП!$L$4:$L$203,MATCH(C197,05_Строки_КП!$A$4:$A$203,0)),""),""))</f>
        <v/>
      </c>
      <c r="Q197" s="5" t="str">
        <f aca="false">IF(C197="","",IF(IFERROR(INDEX(05_Строки_КП!$O$4:$O$203,MATCH(C197,05_Строки_КП!$A$4:$A$203,0)),"")="READY",IFERROR(INDEX(05_Строки_КП!$M$4:$M$203,MATCH(C197,05_Строки_КП!$A$4:$A$203,0)),""),""))</f>
        <v/>
      </c>
      <c r="R197" s="7" t="str">
        <f aca="false">IF(OR(V197="SELECTED_READY",V197="COMPARABLE_READY"),O197*G197*H197+SUM(K197:N197),"")</f>
        <v/>
      </c>
      <c r="S197" s="4"/>
      <c r="T197" s="4"/>
      <c r="U197" s="6"/>
      <c r="V197" s="5" t="str">
        <f aca="false">IF(A197="","",IF(AND(COUNTIF(A$4:A$203,A197)=1,B197&lt;&gt;"",C197&lt;&gt;"",D197&lt;&gt;"",COUNTIF(05_Строки_КП!$A$4:$A$203,C197)=1,IFERROR(INDEX(05_Строки_КП!$C$4:$C$203,MATCH(C197,05_Строки_КП!$A$4:$A$203,0)),"")=D197,IFERROR(INDEX(05_Строки_КП!$O$4:$O$203,MATCH(C197,05_Строки_КП!$A$4:$A$203,0)),"")="READY",E197="COMPARABLE",F197&lt;&gt;"",COUNT(G197:H197)=2,G197&gt;0,H197&gt;0,I197&lt;&gt;"",J197&lt;&gt;"",COUNTIF(13_Источники!$A$4:$A$203,J197)=1,W197&lt;&gt;"",COUNTIF(13_Источники!$A$4:$A$203,W197)=1,COUNT(K197:N197)=4,ISNUMBER(O197),U197&lt;&gt;"",01_Основания!$B$8&lt;&gt;"",OR(01_Основания!$B$9="NET",01_Основания!$B$9="GROSS"),01_Основания!$B$10&lt;&gt;"",IF(AND(ISNUMBER(O197),ISNUMBER(G197),ISNUMBER(H197)),O197*G197*H197+SUM(K197:N197)&gt;=0,FALSE())),IF(S197="SELECTED",IF(AND(COUNTIFS(B$4:B$203,B197,S$4:S$203,"SELECTED")=1,T197&lt;&gt;""),"SELECTED_READY","SELECTION_ERROR"),"COMPARABLE_READY"),"INCOMPLETE / NOT_COMPARABLE"))</f>
        <v/>
      </c>
      <c r="W197" s="6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6"/>
      <c r="L198" s="6"/>
      <c r="M198" s="6"/>
      <c r="N198" s="6"/>
      <c r="O198" s="7" t="str">
        <f aca="false">IF(C198="","",IF(IFERROR(INDEX(05_Строки_КП!$O$4:$O$203,MATCH(C198,05_Строки_КП!$A$4:$A$203,0)),"")="READY",IFERROR(INDEX(05_Строки_КП!$H$4:$H$203,MATCH(C198,05_Строки_КП!$A$4:$A$203,0)),""),""))</f>
        <v/>
      </c>
      <c r="P198" s="5" t="str">
        <f aca="false">IF(C198="","",IF(IFERROR(INDEX(05_Строки_КП!$O$4:$O$203,MATCH(C198,05_Строки_КП!$A$4:$A$203,0)),"")="READY",IFERROR(INDEX(05_Строки_КП!$L$4:$L$203,MATCH(C198,05_Строки_КП!$A$4:$A$203,0)),""),""))</f>
        <v/>
      </c>
      <c r="Q198" s="5" t="str">
        <f aca="false">IF(C198="","",IF(IFERROR(INDEX(05_Строки_КП!$O$4:$O$203,MATCH(C198,05_Строки_КП!$A$4:$A$203,0)),"")="READY",IFERROR(INDEX(05_Строки_КП!$M$4:$M$203,MATCH(C198,05_Строки_КП!$A$4:$A$203,0)),""),""))</f>
        <v/>
      </c>
      <c r="R198" s="7" t="str">
        <f aca="false">IF(OR(V198="SELECTED_READY",V198="COMPARABLE_READY"),O198*G198*H198+SUM(K198:N198),"")</f>
        <v/>
      </c>
      <c r="S198" s="4"/>
      <c r="T198" s="4"/>
      <c r="U198" s="6"/>
      <c r="V198" s="5" t="str">
        <f aca="false">IF(A198="","",IF(AND(COUNTIF(A$4:A$203,A198)=1,B198&lt;&gt;"",C198&lt;&gt;"",D198&lt;&gt;"",COUNTIF(05_Строки_КП!$A$4:$A$203,C198)=1,IFERROR(INDEX(05_Строки_КП!$C$4:$C$203,MATCH(C198,05_Строки_КП!$A$4:$A$203,0)),"")=D198,IFERROR(INDEX(05_Строки_КП!$O$4:$O$203,MATCH(C198,05_Строки_КП!$A$4:$A$203,0)),"")="READY",E198="COMPARABLE",F198&lt;&gt;"",COUNT(G198:H198)=2,G198&gt;0,H198&gt;0,I198&lt;&gt;"",J198&lt;&gt;"",COUNTIF(13_Источники!$A$4:$A$203,J198)=1,W198&lt;&gt;"",COUNTIF(13_Источники!$A$4:$A$203,W198)=1,COUNT(K198:N198)=4,ISNUMBER(O198),U198&lt;&gt;"",01_Основания!$B$8&lt;&gt;"",OR(01_Основания!$B$9="NET",01_Основания!$B$9="GROSS"),01_Основания!$B$10&lt;&gt;"",IF(AND(ISNUMBER(O198),ISNUMBER(G198),ISNUMBER(H198)),O198*G198*H198+SUM(K198:N198)&gt;=0,FALSE())),IF(S198="SELECTED",IF(AND(COUNTIFS(B$4:B$203,B198,S$4:S$203,"SELECTED")=1,T198&lt;&gt;""),"SELECTED_READY","SELECTION_ERROR"),"COMPARABLE_READY"),"INCOMPLETE / NOT_COMPARABLE"))</f>
        <v/>
      </c>
      <c r="W198" s="6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6"/>
      <c r="L199" s="6"/>
      <c r="M199" s="6"/>
      <c r="N199" s="6"/>
      <c r="O199" s="7" t="str">
        <f aca="false">IF(C199="","",IF(IFERROR(INDEX(05_Строки_КП!$O$4:$O$203,MATCH(C199,05_Строки_КП!$A$4:$A$203,0)),"")="READY",IFERROR(INDEX(05_Строки_КП!$H$4:$H$203,MATCH(C199,05_Строки_КП!$A$4:$A$203,0)),""),""))</f>
        <v/>
      </c>
      <c r="P199" s="5" t="str">
        <f aca="false">IF(C199="","",IF(IFERROR(INDEX(05_Строки_КП!$O$4:$O$203,MATCH(C199,05_Строки_КП!$A$4:$A$203,0)),"")="READY",IFERROR(INDEX(05_Строки_КП!$L$4:$L$203,MATCH(C199,05_Строки_КП!$A$4:$A$203,0)),""),""))</f>
        <v/>
      </c>
      <c r="Q199" s="5" t="str">
        <f aca="false">IF(C199="","",IF(IFERROR(INDEX(05_Строки_КП!$O$4:$O$203,MATCH(C199,05_Строки_КП!$A$4:$A$203,0)),"")="READY",IFERROR(INDEX(05_Строки_КП!$M$4:$M$203,MATCH(C199,05_Строки_КП!$A$4:$A$203,0)),""),""))</f>
        <v/>
      </c>
      <c r="R199" s="7" t="str">
        <f aca="false">IF(OR(V199="SELECTED_READY",V199="COMPARABLE_READY"),O199*G199*H199+SUM(K199:N199),"")</f>
        <v/>
      </c>
      <c r="S199" s="4"/>
      <c r="T199" s="4"/>
      <c r="U199" s="6"/>
      <c r="V199" s="5" t="str">
        <f aca="false">IF(A199="","",IF(AND(COUNTIF(A$4:A$203,A199)=1,B199&lt;&gt;"",C199&lt;&gt;"",D199&lt;&gt;"",COUNTIF(05_Строки_КП!$A$4:$A$203,C199)=1,IFERROR(INDEX(05_Строки_КП!$C$4:$C$203,MATCH(C199,05_Строки_КП!$A$4:$A$203,0)),"")=D199,IFERROR(INDEX(05_Строки_КП!$O$4:$O$203,MATCH(C199,05_Строки_КП!$A$4:$A$203,0)),"")="READY",E199="COMPARABLE",F199&lt;&gt;"",COUNT(G199:H199)=2,G199&gt;0,H199&gt;0,I199&lt;&gt;"",J199&lt;&gt;"",COUNTIF(13_Источники!$A$4:$A$203,J199)=1,W199&lt;&gt;"",COUNTIF(13_Источники!$A$4:$A$203,W199)=1,COUNT(K199:N199)=4,ISNUMBER(O199),U199&lt;&gt;"",01_Основания!$B$8&lt;&gt;"",OR(01_Основания!$B$9="NET",01_Основания!$B$9="GROSS"),01_Основания!$B$10&lt;&gt;"",IF(AND(ISNUMBER(O199),ISNUMBER(G199),ISNUMBER(H199)),O199*G199*H199+SUM(K199:N199)&gt;=0,FALSE())),IF(S199="SELECTED",IF(AND(COUNTIFS(B$4:B$203,B199,S$4:S$203,"SELECTED")=1,T199&lt;&gt;""),"SELECTED_READY","SELECTION_ERROR"),"COMPARABLE_READY"),"INCOMPLETE / NOT_COMPARABLE"))</f>
        <v/>
      </c>
      <c r="W199" s="6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6"/>
      <c r="L200" s="6"/>
      <c r="M200" s="6"/>
      <c r="N200" s="6"/>
      <c r="O200" s="7" t="str">
        <f aca="false">IF(C200="","",IF(IFERROR(INDEX(05_Строки_КП!$O$4:$O$203,MATCH(C200,05_Строки_КП!$A$4:$A$203,0)),"")="READY",IFERROR(INDEX(05_Строки_КП!$H$4:$H$203,MATCH(C200,05_Строки_КП!$A$4:$A$203,0)),""),""))</f>
        <v/>
      </c>
      <c r="P200" s="5" t="str">
        <f aca="false">IF(C200="","",IF(IFERROR(INDEX(05_Строки_КП!$O$4:$O$203,MATCH(C200,05_Строки_КП!$A$4:$A$203,0)),"")="READY",IFERROR(INDEX(05_Строки_КП!$L$4:$L$203,MATCH(C200,05_Строки_КП!$A$4:$A$203,0)),""),""))</f>
        <v/>
      </c>
      <c r="Q200" s="5" t="str">
        <f aca="false">IF(C200="","",IF(IFERROR(INDEX(05_Строки_КП!$O$4:$O$203,MATCH(C200,05_Строки_КП!$A$4:$A$203,0)),"")="READY",IFERROR(INDEX(05_Строки_КП!$M$4:$M$203,MATCH(C200,05_Строки_КП!$A$4:$A$203,0)),""),""))</f>
        <v/>
      </c>
      <c r="R200" s="7" t="str">
        <f aca="false">IF(OR(V200="SELECTED_READY",V200="COMPARABLE_READY"),O200*G200*H200+SUM(K200:N200),"")</f>
        <v/>
      </c>
      <c r="S200" s="4"/>
      <c r="T200" s="4"/>
      <c r="U200" s="6"/>
      <c r="V200" s="5" t="str">
        <f aca="false">IF(A200="","",IF(AND(COUNTIF(A$4:A$203,A200)=1,B200&lt;&gt;"",C200&lt;&gt;"",D200&lt;&gt;"",COUNTIF(05_Строки_КП!$A$4:$A$203,C200)=1,IFERROR(INDEX(05_Строки_КП!$C$4:$C$203,MATCH(C200,05_Строки_КП!$A$4:$A$203,0)),"")=D200,IFERROR(INDEX(05_Строки_КП!$O$4:$O$203,MATCH(C200,05_Строки_КП!$A$4:$A$203,0)),"")="READY",E200="COMPARABLE",F200&lt;&gt;"",COUNT(G200:H200)=2,G200&gt;0,H200&gt;0,I200&lt;&gt;"",J200&lt;&gt;"",COUNTIF(13_Источники!$A$4:$A$203,J200)=1,W200&lt;&gt;"",COUNTIF(13_Источники!$A$4:$A$203,W200)=1,COUNT(K200:N200)=4,ISNUMBER(O200),U200&lt;&gt;"",01_Основания!$B$8&lt;&gt;"",OR(01_Основания!$B$9="NET",01_Основания!$B$9="GROSS"),01_Основания!$B$10&lt;&gt;"",IF(AND(ISNUMBER(O200),ISNUMBER(G200),ISNUMBER(H200)),O200*G200*H200+SUM(K200:N200)&gt;=0,FALSE())),IF(S200="SELECTED",IF(AND(COUNTIFS(B$4:B$203,B200,S$4:S$203,"SELECTED")=1,T200&lt;&gt;""),"SELECTED_READY","SELECTION_ERROR"),"COMPARABLE_READY"),"INCOMPLETE / NOT_COMPARABLE"))</f>
        <v/>
      </c>
      <c r="W200" s="6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6"/>
      <c r="L201" s="6"/>
      <c r="M201" s="6"/>
      <c r="N201" s="6"/>
      <c r="O201" s="7" t="str">
        <f aca="false">IF(C201="","",IF(IFERROR(INDEX(05_Строки_КП!$O$4:$O$203,MATCH(C201,05_Строки_КП!$A$4:$A$203,0)),"")="READY",IFERROR(INDEX(05_Строки_КП!$H$4:$H$203,MATCH(C201,05_Строки_КП!$A$4:$A$203,0)),""),""))</f>
        <v/>
      </c>
      <c r="P201" s="5" t="str">
        <f aca="false">IF(C201="","",IF(IFERROR(INDEX(05_Строки_КП!$O$4:$O$203,MATCH(C201,05_Строки_КП!$A$4:$A$203,0)),"")="READY",IFERROR(INDEX(05_Строки_КП!$L$4:$L$203,MATCH(C201,05_Строки_КП!$A$4:$A$203,0)),""),""))</f>
        <v/>
      </c>
      <c r="Q201" s="5" t="str">
        <f aca="false">IF(C201="","",IF(IFERROR(INDEX(05_Строки_КП!$O$4:$O$203,MATCH(C201,05_Строки_КП!$A$4:$A$203,0)),"")="READY",IFERROR(INDEX(05_Строки_КП!$M$4:$M$203,MATCH(C201,05_Строки_КП!$A$4:$A$203,0)),""),""))</f>
        <v/>
      </c>
      <c r="R201" s="7" t="str">
        <f aca="false">IF(OR(V201="SELECTED_READY",V201="COMPARABLE_READY"),O201*G201*H201+SUM(K201:N201),"")</f>
        <v/>
      </c>
      <c r="S201" s="4"/>
      <c r="T201" s="4"/>
      <c r="U201" s="6"/>
      <c r="V201" s="5" t="str">
        <f aca="false">IF(A201="","",IF(AND(COUNTIF(A$4:A$203,A201)=1,B201&lt;&gt;"",C201&lt;&gt;"",D201&lt;&gt;"",COUNTIF(05_Строки_КП!$A$4:$A$203,C201)=1,IFERROR(INDEX(05_Строки_КП!$C$4:$C$203,MATCH(C201,05_Строки_КП!$A$4:$A$203,0)),"")=D201,IFERROR(INDEX(05_Строки_КП!$O$4:$O$203,MATCH(C201,05_Строки_КП!$A$4:$A$203,0)),"")="READY",E201="COMPARABLE",F201&lt;&gt;"",COUNT(G201:H201)=2,G201&gt;0,H201&gt;0,I201&lt;&gt;"",J201&lt;&gt;"",COUNTIF(13_Источники!$A$4:$A$203,J201)=1,W201&lt;&gt;"",COUNTIF(13_Источники!$A$4:$A$203,W201)=1,COUNT(K201:N201)=4,ISNUMBER(O201),U201&lt;&gt;"",01_Основания!$B$8&lt;&gt;"",OR(01_Основания!$B$9="NET",01_Основания!$B$9="GROSS"),01_Основания!$B$10&lt;&gt;"",IF(AND(ISNUMBER(O201),ISNUMBER(G201),ISNUMBER(H201)),O201*G201*H201+SUM(K201:N201)&gt;=0,FALSE())),IF(S201="SELECTED",IF(AND(COUNTIFS(B$4:B$203,B201,S$4:S$203,"SELECTED")=1,T201&lt;&gt;""),"SELECTED_READY","SELECTION_ERROR"),"COMPARABLE_READY"),"INCOMPLETE / NOT_COMPARABLE"))</f>
        <v/>
      </c>
      <c r="W201" s="6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6"/>
      <c r="L202" s="6"/>
      <c r="M202" s="6"/>
      <c r="N202" s="6"/>
      <c r="O202" s="7" t="str">
        <f aca="false">IF(C202="","",IF(IFERROR(INDEX(05_Строки_КП!$O$4:$O$203,MATCH(C202,05_Строки_КП!$A$4:$A$203,0)),"")="READY",IFERROR(INDEX(05_Строки_КП!$H$4:$H$203,MATCH(C202,05_Строки_КП!$A$4:$A$203,0)),""),""))</f>
        <v/>
      </c>
      <c r="P202" s="5" t="str">
        <f aca="false">IF(C202="","",IF(IFERROR(INDEX(05_Строки_КП!$O$4:$O$203,MATCH(C202,05_Строки_КП!$A$4:$A$203,0)),"")="READY",IFERROR(INDEX(05_Строки_КП!$L$4:$L$203,MATCH(C202,05_Строки_КП!$A$4:$A$203,0)),""),""))</f>
        <v/>
      </c>
      <c r="Q202" s="5" t="str">
        <f aca="false">IF(C202="","",IF(IFERROR(INDEX(05_Строки_КП!$O$4:$O$203,MATCH(C202,05_Строки_КП!$A$4:$A$203,0)),"")="READY",IFERROR(INDEX(05_Строки_КП!$M$4:$M$203,MATCH(C202,05_Строки_КП!$A$4:$A$203,0)),""),""))</f>
        <v/>
      </c>
      <c r="R202" s="7" t="str">
        <f aca="false">IF(OR(V202="SELECTED_READY",V202="COMPARABLE_READY"),O202*G202*H202+SUM(K202:N202),"")</f>
        <v/>
      </c>
      <c r="S202" s="4"/>
      <c r="T202" s="4"/>
      <c r="U202" s="6"/>
      <c r="V202" s="5" t="str">
        <f aca="false">IF(A202="","",IF(AND(COUNTIF(A$4:A$203,A202)=1,B202&lt;&gt;"",C202&lt;&gt;"",D202&lt;&gt;"",COUNTIF(05_Строки_КП!$A$4:$A$203,C202)=1,IFERROR(INDEX(05_Строки_КП!$C$4:$C$203,MATCH(C202,05_Строки_КП!$A$4:$A$203,0)),"")=D202,IFERROR(INDEX(05_Строки_КП!$O$4:$O$203,MATCH(C202,05_Строки_КП!$A$4:$A$203,0)),"")="READY",E202="COMPARABLE",F202&lt;&gt;"",COUNT(G202:H202)=2,G202&gt;0,H202&gt;0,I202&lt;&gt;"",J202&lt;&gt;"",COUNTIF(13_Источники!$A$4:$A$203,J202)=1,W202&lt;&gt;"",COUNTIF(13_Источники!$A$4:$A$203,W202)=1,COUNT(K202:N202)=4,ISNUMBER(O202),U202&lt;&gt;"",01_Основания!$B$8&lt;&gt;"",OR(01_Основания!$B$9="NET",01_Основания!$B$9="GROSS"),01_Основания!$B$10&lt;&gt;"",IF(AND(ISNUMBER(O202),ISNUMBER(G202),ISNUMBER(H202)),O202*G202*H202+SUM(K202:N202)&gt;=0,FALSE())),IF(S202="SELECTED",IF(AND(COUNTIFS(B$4:B$203,B202,S$4:S$203,"SELECTED")=1,T202&lt;&gt;""),"SELECTED_READY","SELECTION_ERROR"),"COMPARABLE_READY"),"INCOMPLETE / NOT_COMPARABLE"))</f>
        <v/>
      </c>
      <c r="W202" s="6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6"/>
      <c r="L203" s="6"/>
      <c r="M203" s="6"/>
      <c r="N203" s="6"/>
      <c r="O203" s="7" t="str">
        <f aca="false">IF(C203="","",IF(IFERROR(INDEX(05_Строки_КП!$O$4:$O$203,MATCH(C203,05_Строки_КП!$A$4:$A$203,0)),"")="READY",IFERROR(INDEX(05_Строки_КП!$H$4:$H$203,MATCH(C203,05_Строки_КП!$A$4:$A$203,0)),""),""))</f>
        <v/>
      </c>
      <c r="P203" s="5" t="str">
        <f aca="false">IF(C203="","",IF(IFERROR(INDEX(05_Строки_КП!$O$4:$O$203,MATCH(C203,05_Строки_КП!$A$4:$A$203,0)),"")="READY",IFERROR(INDEX(05_Строки_КП!$L$4:$L$203,MATCH(C203,05_Строки_КП!$A$4:$A$203,0)),""),""))</f>
        <v/>
      </c>
      <c r="Q203" s="5" t="str">
        <f aca="false">IF(C203="","",IF(IFERROR(INDEX(05_Строки_КП!$O$4:$O$203,MATCH(C203,05_Строки_КП!$A$4:$A$203,0)),"")="READY",IFERROR(INDEX(05_Строки_КП!$M$4:$M$203,MATCH(C203,05_Строки_КП!$A$4:$A$203,0)),""),""))</f>
        <v/>
      </c>
      <c r="R203" s="7" t="str">
        <f aca="false">IF(OR(V203="SELECTED_READY",V203="COMPARABLE_READY"),O203*G203*H203+SUM(K203:N203),"")</f>
        <v/>
      </c>
      <c r="S203" s="4"/>
      <c r="T203" s="4"/>
      <c r="U203" s="6"/>
      <c r="V203" s="5" t="str">
        <f aca="false">IF(A203="","",IF(AND(COUNTIF(A$4:A$203,A203)=1,B203&lt;&gt;"",C203&lt;&gt;"",D203&lt;&gt;"",COUNTIF(05_Строки_КП!$A$4:$A$203,C203)=1,IFERROR(INDEX(05_Строки_КП!$C$4:$C$203,MATCH(C203,05_Строки_КП!$A$4:$A$203,0)),"")=D203,IFERROR(INDEX(05_Строки_КП!$O$4:$O$203,MATCH(C203,05_Строки_КП!$A$4:$A$203,0)),"")="READY",E203="COMPARABLE",F203&lt;&gt;"",COUNT(G203:H203)=2,G203&gt;0,H203&gt;0,I203&lt;&gt;"",J203&lt;&gt;"",COUNTIF(13_Источники!$A$4:$A$203,J203)=1,W203&lt;&gt;"",COUNTIF(13_Источники!$A$4:$A$203,W203)=1,COUNT(K203:N203)=4,ISNUMBER(O203),U203&lt;&gt;"",01_Основания!$B$8&lt;&gt;"",OR(01_Основания!$B$9="NET",01_Основания!$B$9="GROSS"),01_Основания!$B$10&lt;&gt;"",IF(AND(ISNUMBER(O203),ISNUMBER(G203),ISNUMBER(H203)),O203*G203*H203+SUM(K203:N203)&gt;=0,FALSE())),IF(S203="SELECTED",IF(AND(COUNTIFS(B$4:B$203,B203,S$4:S$203,"SELECTED")=1,T203&lt;&gt;""),"SELECTED_READY","SELECTION_ERROR"),"COMPARABLE_READY"),"INCOMPLETE / NOT_COMPARABLE"))</f>
        <v/>
      </c>
      <c r="W203" s="6"/>
    </row>
  </sheetData>
  <autoFilter ref="A3:W203"/>
  <mergeCells count="2">
    <mergeCell ref="A1:W1"/>
    <mergeCell ref="A2:W2"/>
  </mergeCells>
  <dataValidations count="3">
    <dataValidation allowBlank="true" error="Используйте значение из списка." errorStyle="stop" errorTitle="Выберите значение" operator="between" showDropDown="false" showErrorMessage="true" showInputMessage="false" sqref="E4:E203" type="list">
      <formula1>"UNKNOWN,COMPARABLE,NOT_COMPARABLE,DEVIATION_PENDING"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S4:S203" type="list">
      <formula1>"PENDING,SELECTED,REJECTED"</formula1>
      <formula2>0</formula2>
    </dataValidation>
    <dataValidation allowBlank="true" error="Требуется допустимое число." errorStyle="stop" operator="greaterThan" showDropDown="false" showErrorMessage="true" showInputMessage="false" sqref="G4:H203" type="decimal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22" min="4" style="0" width="28"/>
  </cols>
  <sheetData>
    <row r="1" customFormat="false" ht="33.75" hidden="false" customHeight="true" outlineLevel="0" collapsed="false">
      <c r="A1" s="1" t="s">
        <v>547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48" hidden="false" customHeight="true" outlineLevel="0" collapsed="false">
      <c r="A3" s="3" t="s">
        <v>548</v>
      </c>
      <c r="B3" s="3" t="s">
        <v>73</v>
      </c>
      <c r="C3" s="3" t="s">
        <v>481</v>
      </c>
      <c r="D3" s="3" t="s">
        <v>549</v>
      </c>
      <c r="E3" s="3" t="s">
        <v>550</v>
      </c>
      <c r="F3" s="3" t="s">
        <v>551</v>
      </c>
      <c r="G3" s="3" t="s">
        <v>552</v>
      </c>
      <c r="H3" s="3" t="s">
        <v>553</v>
      </c>
      <c r="I3" s="3" t="s">
        <v>485</v>
      </c>
      <c r="J3" s="3" t="s">
        <v>486</v>
      </c>
      <c r="K3" s="3" t="s">
        <v>554</v>
      </c>
      <c r="L3" s="3" t="s">
        <v>555</v>
      </c>
      <c r="M3" s="3" t="s">
        <v>556</v>
      </c>
      <c r="N3" s="3" t="s">
        <v>557</v>
      </c>
      <c r="O3" s="3" t="s">
        <v>558</v>
      </c>
      <c r="P3" s="3" t="s">
        <v>559</v>
      </c>
      <c r="Q3" s="3" t="s">
        <v>560</v>
      </c>
      <c r="R3" s="3" t="s">
        <v>561</v>
      </c>
      <c r="S3" s="3" t="s">
        <v>80</v>
      </c>
      <c r="T3" s="3" t="s">
        <v>562</v>
      </c>
      <c r="U3" s="3" t="s">
        <v>513</v>
      </c>
      <c r="V3" s="3" t="s">
        <v>563</v>
      </c>
    </row>
    <row r="4" customFormat="false" ht="46.25" hidden="false" customHeight="false" outlineLevel="0" collapsed="false">
      <c r="A4" s="4" t="s">
        <v>564</v>
      </c>
      <c r="B4" s="4" t="s">
        <v>87</v>
      </c>
      <c r="C4" s="4"/>
      <c r="D4" s="6" t="s">
        <v>88</v>
      </c>
      <c r="E4" s="4"/>
      <c r="F4" s="4"/>
      <c r="G4" s="4"/>
      <c r="H4" s="4"/>
      <c r="I4" s="4"/>
      <c r="J4" s="4"/>
      <c r="K4" s="4"/>
      <c r="L4" s="7" t="str">
        <f aca="false">IF(N4="READY",IF(V4="KAC",IFERROR(INDEX(06_КАЦ!$R$4:$R$203,MATCH(K4,06_КАЦ!$A$4:$A$203,0)),""),IFERROR(INDEX(06а_Оценки!$F$4:$F$203,MATCH(K4,06а_Оценки!$A$4:$A$203,0)),"")),"")</f>
        <v/>
      </c>
      <c r="M4" s="7" t="str">
        <f aca="false">IF(N4="READY",ROUND(I4*L4,2),"")</f>
        <v/>
      </c>
      <c r="N4" s="5" t="str">
        <f aca="false">IF(A4="","",IF(Q4="NOT_APPLICABLE",IF(AND(COUNTIF(A$4:A$203,A4)=1,H4="OUTSIDE",R4&lt;&gt;"",O4&lt;&gt;"",COUNTIF(13_Источники!$A$4:$A$203,O4)=1),"NOT_APPLICABLE","INCOMPLETE / EXCLUSION"),IF(AND(COUNTIF(A$4:A$203,A4)=1,COUNTIF(02_WBS!$A$4:$A$200,B4)=1,C4&lt;&gt;"",COUNTIF(03_Пакеты!$A$4:$A$203,C4)=1,IFERROR(INDEX(03_Пакеты!$B$4:$B$203,MATCH(C4,03_Пакеты!$A$4:$A$203,0)),"")=B4,E4&lt;&gt;"",F4&lt;&gt;"",F4&lt;&gt;"UNKNOWN",G4&lt;&gt;"",G4&lt;&gt;"UNKNOWN",OR(H4="REMAINING",H4="SUNK",H4="OUTSIDE"),ISNUMBER(I4),I4&gt;=0,OR(AND(I4&gt;0,Q4="KNOWN"),AND(I4=0,Q4="ZERO_CONFIRMED")),J4&lt;&gt;"",K4&lt;&gt;"",OR(AND(V4="KAC",COUNTIF(06_КАЦ!$A$4:$A$203,K4)=1,IFERROR(INDEX(06_КАЦ!$V$4:$V$203,MATCH(K4,06_КАЦ!$A$4:$A$203,0)),"")="SELECTED_READY",IFERROR(INDEX(06_КАЦ!$D$4:$D$203,MATCH(K4,06_КАЦ!$A$4:$A$203,0)),"")=C4,IFERROR(INDEX(06_КАЦ!$F$4:$F$203,MATCH(K4,06_КАЦ!$A$4:$A$203,0)),"")=J4),AND(V4="DIRECT",COUNTIF(06а_Оценки!$A$4:$A$203,K4)=1,IFERROR(INDEX(06а_Оценки!$N$4:$N$203,MATCH(K4,06а_Оценки!$A$4:$A$203,0)),"")="READY",IFERROR(INDEX(06а_Оценки!$B$4:$B$203,MATCH(K4,06а_Оценки!$A$4:$A$203,0)),"")=C4,IFERROR(INDEX(06а_Оценки!$E$4:$E$203,MATCH(K4,06а_Оценки!$A$4:$A$203,0)),"")=J4)),O4&lt;&gt;"",COUNTIF(13_Источники!$A$4:$A$203,O4)=1,P4&lt;&gt;"",R4&lt;&gt;""),"READY","INCOMPLETE / LINK")))</f>
        <v>INCOMPLETE / LINK</v>
      </c>
      <c r="O4" s="4"/>
      <c r="P4" s="4"/>
      <c r="Q4" s="4" t="s">
        <v>565</v>
      </c>
      <c r="R4" s="4" t="s">
        <v>90</v>
      </c>
      <c r="S4" s="4"/>
      <c r="T4" s="4"/>
      <c r="U4" s="4"/>
      <c r="V4" s="4"/>
    </row>
    <row r="5" customFormat="false" ht="46.25" hidden="false" customHeight="false" outlineLevel="0" collapsed="false">
      <c r="A5" s="4" t="s">
        <v>566</v>
      </c>
      <c r="B5" s="4" t="s">
        <v>95</v>
      </c>
      <c r="C5" s="4"/>
      <c r="D5" s="6" t="s">
        <v>96</v>
      </c>
      <c r="E5" s="4"/>
      <c r="F5" s="4"/>
      <c r="G5" s="4"/>
      <c r="H5" s="4"/>
      <c r="I5" s="4"/>
      <c r="J5" s="4"/>
      <c r="K5" s="4"/>
      <c r="L5" s="7" t="str">
        <f aca="false">IF(N5="READY",IF(V5="KAC",IFERROR(INDEX(06_КАЦ!$R$4:$R$203,MATCH(K5,06_КАЦ!$A$4:$A$203,0)),""),IFERROR(INDEX(06а_Оценки!$F$4:$F$203,MATCH(K5,06а_Оценки!$A$4:$A$203,0)),"")),"")</f>
        <v/>
      </c>
      <c r="M5" s="7" t="str">
        <f aca="false">IF(N5="READY",ROUND(I5*L5,2),"")</f>
        <v/>
      </c>
      <c r="N5" s="5" t="str">
        <f aca="false">IF(A5="","",IF(Q5="NOT_APPLICABLE",IF(AND(COUNTIF(A$4:A$203,A5)=1,H5="OUTSIDE",R5&lt;&gt;"",O5&lt;&gt;"",COUNTIF(13_Источники!$A$4:$A$203,O5)=1),"NOT_APPLICABLE","INCOMPLETE / EXCLUSION"),IF(AND(COUNTIF(A$4:A$203,A5)=1,COUNTIF(02_WBS!$A$4:$A$200,B5)=1,C5&lt;&gt;"",COUNTIF(03_Пакеты!$A$4:$A$203,C5)=1,IFERROR(INDEX(03_Пакеты!$B$4:$B$203,MATCH(C5,03_Пакеты!$A$4:$A$203,0)),"")=B5,E5&lt;&gt;"",F5&lt;&gt;"",F5&lt;&gt;"UNKNOWN",G5&lt;&gt;"",G5&lt;&gt;"UNKNOWN",OR(H5="REMAINING",H5="SUNK",H5="OUTSIDE"),ISNUMBER(I5),I5&gt;=0,OR(AND(I5&gt;0,Q5="KNOWN"),AND(I5=0,Q5="ZERO_CONFIRMED")),J5&lt;&gt;"",K5&lt;&gt;"",OR(AND(V5="KAC",COUNTIF(06_КАЦ!$A$4:$A$203,K5)=1,IFERROR(INDEX(06_КАЦ!$V$4:$V$203,MATCH(K5,06_КАЦ!$A$4:$A$203,0)),"")="SELECTED_READY",IFERROR(INDEX(06_КАЦ!$D$4:$D$203,MATCH(K5,06_КАЦ!$A$4:$A$203,0)),"")=C5,IFERROR(INDEX(06_КАЦ!$F$4:$F$203,MATCH(K5,06_КАЦ!$A$4:$A$203,0)),"")=J5),AND(V5="DIRECT",COUNTIF(06а_Оценки!$A$4:$A$203,K5)=1,IFERROR(INDEX(06а_Оценки!$N$4:$N$203,MATCH(K5,06а_Оценки!$A$4:$A$203,0)),"")="READY",IFERROR(INDEX(06а_Оценки!$B$4:$B$203,MATCH(K5,06а_Оценки!$A$4:$A$203,0)),"")=C5,IFERROR(INDEX(06а_Оценки!$E$4:$E$203,MATCH(K5,06а_Оценки!$A$4:$A$203,0)),"")=J5)),O5&lt;&gt;"",COUNTIF(13_Источники!$A$4:$A$203,O5)=1,P5&lt;&gt;"",R5&lt;&gt;""),"READY","INCOMPLETE / LINK")))</f>
        <v>INCOMPLETE / LINK</v>
      </c>
      <c r="O5" s="4"/>
      <c r="P5" s="4"/>
      <c r="Q5" s="4" t="s">
        <v>565</v>
      </c>
      <c r="R5" s="4" t="s">
        <v>98</v>
      </c>
      <c r="S5" s="4"/>
      <c r="T5" s="4"/>
      <c r="U5" s="4"/>
      <c r="V5" s="4"/>
    </row>
    <row r="6" customFormat="false" ht="46.25" hidden="false" customHeight="false" outlineLevel="0" collapsed="false">
      <c r="A6" s="4" t="s">
        <v>567</v>
      </c>
      <c r="B6" s="4" t="s">
        <v>100</v>
      </c>
      <c r="C6" s="4"/>
      <c r="D6" s="6" t="s">
        <v>101</v>
      </c>
      <c r="E6" s="4"/>
      <c r="F6" s="4"/>
      <c r="G6" s="4"/>
      <c r="H6" s="4"/>
      <c r="I6" s="4"/>
      <c r="J6" s="4"/>
      <c r="K6" s="4"/>
      <c r="L6" s="7" t="str">
        <f aca="false">IF(N6="READY",IF(V6="KAC",IFERROR(INDEX(06_КАЦ!$R$4:$R$203,MATCH(K6,06_КАЦ!$A$4:$A$203,0)),""),IFERROR(INDEX(06а_Оценки!$F$4:$F$203,MATCH(K6,06а_Оценки!$A$4:$A$203,0)),"")),"")</f>
        <v/>
      </c>
      <c r="M6" s="7" t="str">
        <f aca="false">IF(N6="READY",ROUND(I6*L6,2),"")</f>
        <v/>
      </c>
      <c r="N6" s="5" t="str">
        <f aca="false">IF(A6="","",IF(Q6="NOT_APPLICABLE",IF(AND(COUNTIF(A$4:A$203,A6)=1,H6="OUTSIDE",R6&lt;&gt;"",O6&lt;&gt;"",COUNTIF(13_Источники!$A$4:$A$203,O6)=1),"NOT_APPLICABLE","INCOMPLETE / EXCLUSION"),IF(AND(COUNTIF(A$4:A$203,A6)=1,COUNTIF(02_WBS!$A$4:$A$200,B6)=1,C6&lt;&gt;"",COUNTIF(03_Пакеты!$A$4:$A$203,C6)=1,IFERROR(INDEX(03_Пакеты!$B$4:$B$203,MATCH(C6,03_Пакеты!$A$4:$A$203,0)),"")=B6,E6&lt;&gt;"",F6&lt;&gt;"",F6&lt;&gt;"UNKNOWN",G6&lt;&gt;"",G6&lt;&gt;"UNKNOWN",OR(H6="REMAINING",H6="SUNK",H6="OUTSIDE"),ISNUMBER(I6),I6&gt;=0,OR(AND(I6&gt;0,Q6="KNOWN"),AND(I6=0,Q6="ZERO_CONFIRMED")),J6&lt;&gt;"",K6&lt;&gt;"",OR(AND(V6="KAC",COUNTIF(06_КАЦ!$A$4:$A$203,K6)=1,IFERROR(INDEX(06_КАЦ!$V$4:$V$203,MATCH(K6,06_КАЦ!$A$4:$A$203,0)),"")="SELECTED_READY",IFERROR(INDEX(06_КАЦ!$D$4:$D$203,MATCH(K6,06_КАЦ!$A$4:$A$203,0)),"")=C6,IFERROR(INDEX(06_КАЦ!$F$4:$F$203,MATCH(K6,06_КАЦ!$A$4:$A$203,0)),"")=J6),AND(V6="DIRECT",COUNTIF(06а_Оценки!$A$4:$A$203,K6)=1,IFERROR(INDEX(06а_Оценки!$N$4:$N$203,MATCH(K6,06а_Оценки!$A$4:$A$203,0)),"")="READY",IFERROR(INDEX(06а_Оценки!$B$4:$B$203,MATCH(K6,06а_Оценки!$A$4:$A$203,0)),"")=C6,IFERROR(INDEX(06а_Оценки!$E$4:$E$203,MATCH(K6,06а_Оценки!$A$4:$A$203,0)),"")=J6)),O6&lt;&gt;"",COUNTIF(13_Источники!$A$4:$A$203,O6)=1,P6&lt;&gt;"",R6&lt;&gt;""),"READY","INCOMPLETE / LINK")))</f>
        <v>INCOMPLETE / LINK</v>
      </c>
      <c r="O6" s="4"/>
      <c r="P6" s="4"/>
      <c r="Q6" s="4" t="s">
        <v>565</v>
      </c>
      <c r="R6" s="4" t="s">
        <v>103</v>
      </c>
      <c r="S6" s="4"/>
      <c r="T6" s="4"/>
      <c r="U6" s="4"/>
      <c r="V6" s="4"/>
    </row>
    <row r="7" customFormat="false" ht="61.15" hidden="false" customHeight="false" outlineLevel="0" collapsed="false">
      <c r="A7" s="4" t="s">
        <v>568</v>
      </c>
      <c r="B7" s="4" t="s">
        <v>108</v>
      </c>
      <c r="C7" s="4"/>
      <c r="D7" s="6" t="s">
        <v>109</v>
      </c>
      <c r="E7" s="4"/>
      <c r="F7" s="4"/>
      <c r="G7" s="4"/>
      <c r="H7" s="4"/>
      <c r="I7" s="4"/>
      <c r="J7" s="4"/>
      <c r="K7" s="4"/>
      <c r="L7" s="7" t="str">
        <f aca="false">IF(N7="READY",IF(V7="KAC",IFERROR(INDEX(06_КАЦ!$R$4:$R$203,MATCH(K7,06_КАЦ!$A$4:$A$203,0)),""),IFERROR(INDEX(06а_Оценки!$F$4:$F$203,MATCH(K7,06а_Оценки!$A$4:$A$203,0)),"")),"")</f>
        <v/>
      </c>
      <c r="M7" s="7" t="str">
        <f aca="false">IF(N7="READY",ROUND(I7*L7,2),"")</f>
        <v/>
      </c>
      <c r="N7" s="5" t="str">
        <f aca="false">IF(A7="","",IF(Q7="NOT_APPLICABLE",IF(AND(COUNTIF(A$4:A$203,A7)=1,H7="OUTSIDE",R7&lt;&gt;"",O7&lt;&gt;"",COUNTIF(13_Источники!$A$4:$A$203,O7)=1),"NOT_APPLICABLE","INCOMPLETE / EXCLUSION"),IF(AND(COUNTIF(A$4:A$203,A7)=1,COUNTIF(02_WBS!$A$4:$A$200,B7)=1,C7&lt;&gt;"",COUNTIF(03_Пакеты!$A$4:$A$203,C7)=1,IFERROR(INDEX(03_Пакеты!$B$4:$B$203,MATCH(C7,03_Пакеты!$A$4:$A$203,0)),"")=B7,E7&lt;&gt;"",F7&lt;&gt;"",F7&lt;&gt;"UNKNOWN",G7&lt;&gt;"",G7&lt;&gt;"UNKNOWN",OR(H7="REMAINING",H7="SUNK",H7="OUTSIDE"),ISNUMBER(I7),I7&gt;=0,OR(AND(I7&gt;0,Q7="KNOWN"),AND(I7=0,Q7="ZERO_CONFIRMED")),J7&lt;&gt;"",K7&lt;&gt;"",OR(AND(V7="KAC",COUNTIF(06_КАЦ!$A$4:$A$203,K7)=1,IFERROR(INDEX(06_КАЦ!$V$4:$V$203,MATCH(K7,06_КАЦ!$A$4:$A$203,0)),"")="SELECTED_READY",IFERROR(INDEX(06_КАЦ!$D$4:$D$203,MATCH(K7,06_КАЦ!$A$4:$A$203,0)),"")=C7,IFERROR(INDEX(06_КАЦ!$F$4:$F$203,MATCH(K7,06_КАЦ!$A$4:$A$203,0)),"")=J7),AND(V7="DIRECT",COUNTIF(06а_Оценки!$A$4:$A$203,K7)=1,IFERROR(INDEX(06а_Оценки!$N$4:$N$203,MATCH(K7,06а_Оценки!$A$4:$A$203,0)),"")="READY",IFERROR(INDEX(06а_Оценки!$B$4:$B$203,MATCH(K7,06а_Оценки!$A$4:$A$203,0)),"")=C7,IFERROR(INDEX(06а_Оценки!$E$4:$E$203,MATCH(K7,06а_Оценки!$A$4:$A$203,0)),"")=J7)),O7&lt;&gt;"",COUNTIF(13_Источники!$A$4:$A$203,O7)=1,P7&lt;&gt;"",R7&lt;&gt;""),"READY","INCOMPLETE / LINK")))</f>
        <v>INCOMPLETE / LINK</v>
      </c>
      <c r="O7" s="4"/>
      <c r="P7" s="4"/>
      <c r="Q7" s="4" t="s">
        <v>565</v>
      </c>
      <c r="R7" s="4" t="s">
        <v>111</v>
      </c>
      <c r="S7" s="4"/>
      <c r="T7" s="4"/>
      <c r="U7" s="4"/>
      <c r="V7" s="4"/>
    </row>
    <row r="8" customFormat="false" ht="46.25" hidden="false" customHeight="false" outlineLevel="0" collapsed="false">
      <c r="A8" s="4" t="s">
        <v>569</v>
      </c>
      <c r="B8" s="4" t="s">
        <v>113</v>
      </c>
      <c r="C8" s="4"/>
      <c r="D8" s="6" t="s">
        <v>114</v>
      </c>
      <c r="E8" s="4"/>
      <c r="F8" s="4"/>
      <c r="G8" s="4"/>
      <c r="H8" s="4"/>
      <c r="I8" s="4"/>
      <c r="J8" s="4"/>
      <c r="K8" s="4"/>
      <c r="L8" s="7" t="str">
        <f aca="false">IF(N8="READY",IF(V8="KAC",IFERROR(INDEX(06_КАЦ!$R$4:$R$203,MATCH(K8,06_КАЦ!$A$4:$A$203,0)),""),IFERROR(INDEX(06а_Оценки!$F$4:$F$203,MATCH(K8,06а_Оценки!$A$4:$A$203,0)),"")),"")</f>
        <v/>
      </c>
      <c r="M8" s="7" t="str">
        <f aca="false">IF(N8="READY",ROUND(I8*L8,2),"")</f>
        <v/>
      </c>
      <c r="N8" s="5" t="str">
        <f aca="false">IF(A8="","",IF(Q8="NOT_APPLICABLE",IF(AND(COUNTIF(A$4:A$203,A8)=1,H8="OUTSIDE",R8&lt;&gt;"",O8&lt;&gt;"",COUNTIF(13_Источники!$A$4:$A$203,O8)=1),"NOT_APPLICABLE","INCOMPLETE / EXCLUSION"),IF(AND(COUNTIF(A$4:A$203,A8)=1,COUNTIF(02_WBS!$A$4:$A$200,B8)=1,C8&lt;&gt;"",COUNTIF(03_Пакеты!$A$4:$A$203,C8)=1,IFERROR(INDEX(03_Пакеты!$B$4:$B$203,MATCH(C8,03_Пакеты!$A$4:$A$203,0)),"")=B8,E8&lt;&gt;"",F8&lt;&gt;"",F8&lt;&gt;"UNKNOWN",G8&lt;&gt;"",G8&lt;&gt;"UNKNOWN",OR(H8="REMAINING",H8="SUNK",H8="OUTSIDE"),ISNUMBER(I8),I8&gt;=0,OR(AND(I8&gt;0,Q8="KNOWN"),AND(I8=0,Q8="ZERO_CONFIRMED")),J8&lt;&gt;"",K8&lt;&gt;"",OR(AND(V8="KAC",COUNTIF(06_КАЦ!$A$4:$A$203,K8)=1,IFERROR(INDEX(06_КАЦ!$V$4:$V$203,MATCH(K8,06_КАЦ!$A$4:$A$203,0)),"")="SELECTED_READY",IFERROR(INDEX(06_КАЦ!$D$4:$D$203,MATCH(K8,06_КАЦ!$A$4:$A$203,0)),"")=C8,IFERROR(INDEX(06_КАЦ!$F$4:$F$203,MATCH(K8,06_КАЦ!$A$4:$A$203,0)),"")=J8),AND(V8="DIRECT",COUNTIF(06а_Оценки!$A$4:$A$203,K8)=1,IFERROR(INDEX(06а_Оценки!$N$4:$N$203,MATCH(K8,06а_Оценки!$A$4:$A$203,0)),"")="READY",IFERROR(INDEX(06а_Оценки!$B$4:$B$203,MATCH(K8,06а_Оценки!$A$4:$A$203,0)),"")=C8,IFERROR(INDEX(06а_Оценки!$E$4:$E$203,MATCH(K8,06а_Оценки!$A$4:$A$203,0)),"")=J8)),O8&lt;&gt;"",COUNTIF(13_Источники!$A$4:$A$203,O8)=1,P8&lt;&gt;"",R8&lt;&gt;""),"READY","INCOMPLETE / LINK")))</f>
        <v>INCOMPLETE / LINK</v>
      </c>
      <c r="O8" s="4"/>
      <c r="P8" s="4"/>
      <c r="Q8" s="4" t="s">
        <v>565</v>
      </c>
      <c r="R8" s="4" t="s">
        <v>116</v>
      </c>
      <c r="S8" s="4"/>
      <c r="T8" s="4"/>
      <c r="U8" s="4"/>
      <c r="V8" s="4"/>
    </row>
    <row r="9" customFormat="false" ht="46.25" hidden="false" customHeight="false" outlineLevel="0" collapsed="false">
      <c r="A9" s="4" t="s">
        <v>570</v>
      </c>
      <c r="B9" s="4" t="s">
        <v>118</v>
      </c>
      <c r="C9" s="4"/>
      <c r="D9" s="6" t="s">
        <v>119</v>
      </c>
      <c r="E9" s="4"/>
      <c r="F9" s="4"/>
      <c r="G9" s="4"/>
      <c r="H9" s="4"/>
      <c r="I9" s="4"/>
      <c r="J9" s="4"/>
      <c r="K9" s="4"/>
      <c r="L9" s="7" t="str">
        <f aca="false">IF(N9="READY",IF(V9="KAC",IFERROR(INDEX(06_КАЦ!$R$4:$R$203,MATCH(K9,06_КАЦ!$A$4:$A$203,0)),""),IFERROR(INDEX(06а_Оценки!$F$4:$F$203,MATCH(K9,06а_Оценки!$A$4:$A$203,0)),"")),"")</f>
        <v/>
      </c>
      <c r="M9" s="7" t="str">
        <f aca="false">IF(N9="READY",ROUND(I9*L9,2),"")</f>
        <v/>
      </c>
      <c r="N9" s="5" t="str">
        <f aca="false">IF(A9="","",IF(Q9="NOT_APPLICABLE",IF(AND(COUNTIF(A$4:A$203,A9)=1,H9="OUTSIDE",R9&lt;&gt;"",O9&lt;&gt;"",COUNTIF(13_Источники!$A$4:$A$203,O9)=1),"NOT_APPLICABLE","INCOMPLETE / EXCLUSION"),IF(AND(COUNTIF(A$4:A$203,A9)=1,COUNTIF(02_WBS!$A$4:$A$200,B9)=1,C9&lt;&gt;"",COUNTIF(03_Пакеты!$A$4:$A$203,C9)=1,IFERROR(INDEX(03_Пакеты!$B$4:$B$203,MATCH(C9,03_Пакеты!$A$4:$A$203,0)),"")=B9,E9&lt;&gt;"",F9&lt;&gt;"",F9&lt;&gt;"UNKNOWN",G9&lt;&gt;"",G9&lt;&gt;"UNKNOWN",OR(H9="REMAINING",H9="SUNK",H9="OUTSIDE"),ISNUMBER(I9),I9&gt;=0,OR(AND(I9&gt;0,Q9="KNOWN"),AND(I9=0,Q9="ZERO_CONFIRMED")),J9&lt;&gt;"",K9&lt;&gt;"",OR(AND(V9="KAC",COUNTIF(06_КАЦ!$A$4:$A$203,K9)=1,IFERROR(INDEX(06_КАЦ!$V$4:$V$203,MATCH(K9,06_КАЦ!$A$4:$A$203,0)),"")="SELECTED_READY",IFERROR(INDEX(06_КАЦ!$D$4:$D$203,MATCH(K9,06_КАЦ!$A$4:$A$203,0)),"")=C9,IFERROR(INDEX(06_КАЦ!$F$4:$F$203,MATCH(K9,06_КАЦ!$A$4:$A$203,0)),"")=J9),AND(V9="DIRECT",COUNTIF(06а_Оценки!$A$4:$A$203,K9)=1,IFERROR(INDEX(06а_Оценки!$N$4:$N$203,MATCH(K9,06а_Оценки!$A$4:$A$203,0)),"")="READY",IFERROR(INDEX(06а_Оценки!$B$4:$B$203,MATCH(K9,06а_Оценки!$A$4:$A$203,0)),"")=C9,IFERROR(INDEX(06а_Оценки!$E$4:$E$203,MATCH(K9,06а_Оценки!$A$4:$A$203,0)),"")=J9)),O9&lt;&gt;"",COUNTIF(13_Источники!$A$4:$A$203,O9)=1,P9&lt;&gt;"",R9&lt;&gt;""),"READY","INCOMPLETE / LINK")))</f>
        <v>INCOMPLETE / LINK</v>
      </c>
      <c r="O9" s="4"/>
      <c r="P9" s="4"/>
      <c r="Q9" s="4" t="s">
        <v>565</v>
      </c>
      <c r="R9" s="4" t="s">
        <v>121</v>
      </c>
      <c r="S9" s="4"/>
      <c r="T9" s="4"/>
      <c r="U9" s="4"/>
      <c r="V9" s="4"/>
    </row>
    <row r="10" customFormat="false" ht="46.25" hidden="false" customHeight="false" outlineLevel="0" collapsed="false">
      <c r="A10" s="4" t="s">
        <v>571</v>
      </c>
      <c r="B10" s="4" t="s">
        <v>123</v>
      </c>
      <c r="C10" s="4"/>
      <c r="D10" s="6" t="s">
        <v>124</v>
      </c>
      <c r="E10" s="4"/>
      <c r="F10" s="4"/>
      <c r="G10" s="4"/>
      <c r="H10" s="4"/>
      <c r="I10" s="4"/>
      <c r="J10" s="4"/>
      <c r="K10" s="4"/>
      <c r="L10" s="7" t="str">
        <f aca="false">IF(N10="READY",IF(V10="KAC",IFERROR(INDEX(06_КАЦ!$R$4:$R$203,MATCH(K10,06_КАЦ!$A$4:$A$203,0)),""),IFERROR(INDEX(06а_Оценки!$F$4:$F$203,MATCH(K10,06а_Оценки!$A$4:$A$203,0)),"")),"")</f>
        <v/>
      </c>
      <c r="M10" s="7" t="str">
        <f aca="false">IF(N10="READY",ROUND(I10*L10,2),"")</f>
        <v/>
      </c>
      <c r="N10" s="5" t="str">
        <f aca="false">IF(A10="","",IF(Q10="NOT_APPLICABLE",IF(AND(COUNTIF(A$4:A$203,A10)=1,H10="OUTSIDE",R10&lt;&gt;"",O10&lt;&gt;"",COUNTIF(13_Источники!$A$4:$A$203,O10)=1),"NOT_APPLICABLE","INCOMPLETE / EXCLUSION"),IF(AND(COUNTIF(A$4:A$203,A10)=1,COUNTIF(02_WBS!$A$4:$A$200,B10)=1,C10&lt;&gt;"",COUNTIF(03_Пакеты!$A$4:$A$203,C10)=1,IFERROR(INDEX(03_Пакеты!$B$4:$B$203,MATCH(C10,03_Пакеты!$A$4:$A$203,0)),"")=B10,E10&lt;&gt;"",F10&lt;&gt;"",F10&lt;&gt;"UNKNOWN",G10&lt;&gt;"",G10&lt;&gt;"UNKNOWN",OR(H10="REMAINING",H10="SUNK",H10="OUTSIDE"),ISNUMBER(I10),I10&gt;=0,OR(AND(I10&gt;0,Q10="KNOWN"),AND(I10=0,Q10="ZERO_CONFIRMED")),J10&lt;&gt;"",K10&lt;&gt;"",OR(AND(V10="KAC",COUNTIF(06_КАЦ!$A$4:$A$203,K10)=1,IFERROR(INDEX(06_КАЦ!$V$4:$V$203,MATCH(K10,06_КАЦ!$A$4:$A$203,0)),"")="SELECTED_READY",IFERROR(INDEX(06_КАЦ!$D$4:$D$203,MATCH(K10,06_КАЦ!$A$4:$A$203,0)),"")=C10,IFERROR(INDEX(06_КАЦ!$F$4:$F$203,MATCH(K10,06_КАЦ!$A$4:$A$203,0)),"")=J10),AND(V10="DIRECT",COUNTIF(06а_Оценки!$A$4:$A$203,K10)=1,IFERROR(INDEX(06а_Оценки!$N$4:$N$203,MATCH(K10,06а_Оценки!$A$4:$A$203,0)),"")="READY",IFERROR(INDEX(06а_Оценки!$B$4:$B$203,MATCH(K10,06а_Оценки!$A$4:$A$203,0)),"")=C10,IFERROR(INDEX(06а_Оценки!$E$4:$E$203,MATCH(K10,06а_Оценки!$A$4:$A$203,0)),"")=J10)),O10&lt;&gt;"",COUNTIF(13_Источники!$A$4:$A$203,O10)=1,P10&lt;&gt;"",R10&lt;&gt;""),"READY","INCOMPLETE / LINK")))</f>
        <v>INCOMPLETE / LINK</v>
      </c>
      <c r="O10" s="4"/>
      <c r="P10" s="4"/>
      <c r="Q10" s="4" t="s">
        <v>565</v>
      </c>
      <c r="R10" s="4" t="s">
        <v>126</v>
      </c>
      <c r="S10" s="4"/>
      <c r="T10" s="4"/>
      <c r="U10" s="4"/>
      <c r="V10" s="4"/>
    </row>
    <row r="11" customFormat="false" ht="61.15" hidden="false" customHeight="false" outlineLevel="0" collapsed="false">
      <c r="A11" s="4" t="s">
        <v>572</v>
      </c>
      <c r="B11" s="4" t="s">
        <v>131</v>
      </c>
      <c r="C11" s="4"/>
      <c r="D11" s="6" t="s">
        <v>132</v>
      </c>
      <c r="E11" s="4"/>
      <c r="F11" s="4"/>
      <c r="G11" s="4"/>
      <c r="H11" s="4"/>
      <c r="I11" s="4"/>
      <c r="J11" s="4"/>
      <c r="K11" s="4"/>
      <c r="L11" s="7" t="str">
        <f aca="false">IF(N11="READY",IF(V11="KAC",IFERROR(INDEX(06_КАЦ!$R$4:$R$203,MATCH(K11,06_КАЦ!$A$4:$A$203,0)),""),IFERROR(INDEX(06а_Оценки!$F$4:$F$203,MATCH(K11,06а_Оценки!$A$4:$A$203,0)),"")),"")</f>
        <v/>
      </c>
      <c r="M11" s="7" t="str">
        <f aca="false">IF(N11="READY",ROUND(I11*L11,2),"")</f>
        <v/>
      </c>
      <c r="N11" s="5" t="str">
        <f aca="false">IF(A11="","",IF(Q11="NOT_APPLICABLE",IF(AND(COUNTIF(A$4:A$203,A11)=1,H11="OUTSIDE",R11&lt;&gt;"",O11&lt;&gt;"",COUNTIF(13_Источники!$A$4:$A$203,O11)=1),"NOT_APPLICABLE","INCOMPLETE / EXCLUSION"),IF(AND(COUNTIF(A$4:A$203,A11)=1,COUNTIF(02_WBS!$A$4:$A$200,B11)=1,C11&lt;&gt;"",COUNTIF(03_Пакеты!$A$4:$A$203,C11)=1,IFERROR(INDEX(03_Пакеты!$B$4:$B$203,MATCH(C11,03_Пакеты!$A$4:$A$203,0)),"")=B11,E11&lt;&gt;"",F11&lt;&gt;"",F11&lt;&gt;"UNKNOWN",G11&lt;&gt;"",G11&lt;&gt;"UNKNOWN",OR(H11="REMAINING",H11="SUNK",H11="OUTSIDE"),ISNUMBER(I11),I11&gt;=0,OR(AND(I11&gt;0,Q11="KNOWN"),AND(I11=0,Q11="ZERO_CONFIRMED")),J11&lt;&gt;"",K11&lt;&gt;"",OR(AND(V11="KAC",COUNTIF(06_КАЦ!$A$4:$A$203,K11)=1,IFERROR(INDEX(06_КАЦ!$V$4:$V$203,MATCH(K11,06_КАЦ!$A$4:$A$203,0)),"")="SELECTED_READY",IFERROR(INDEX(06_КАЦ!$D$4:$D$203,MATCH(K11,06_КАЦ!$A$4:$A$203,0)),"")=C11,IFERROR(INDEX(06_КАЦ!$F$4:$F$203,MATCH(K11,06_КАЦ!$A$4:$A$203,0)),"")=J11),AND(V11="DIRECT",COUNTIF(06а_Оценки!$A$4:$A$203,K11)=1,IFERROR(INDEX(06а_Оценки!$N$4:$N$203,MATCH(K11,06а_Оценки!$A$4:$A$203,0)),"")="READY",IFERROR(INDEX(06а_Оценки!$B$4:$B$203,MATCH(K11,06а_Оценки!$A$4:$A$203,0)),"")=C11,IFERROR(INDEX(06а_Оценки!$E$4:$E$203,MATCH(K11,06а_Оценки!$A$4:$A$203,0)),"")=J11)),O11&lt;&gt;"",COUNTIF(13_Источники!$A$4:$A$203,O11)=1,P11&lt;&gt;"",R11&lt;&gt;""),"READY","INCOMPLETE / LINK")))</f>
        <v>INCOMPLETE / LINK</v>
      </c>
      <c r="O11" s="4"/>
      <c r="P11" s="4"/>
      <c r="Q11" s="4" t="s">
        <v>565</v>
      </c>
      <c r="R11" s="4" t="s">
        <v>134</v>
      </c>
      <c r="S11" s="4"/>
      <c r="T11" s="4"/>
      <c r="U11" s="4"/>
      <c r="V11" s="4"/>
    </row>
    <row r="12" customFormat="false" ht="76.1" hidden="false" customHeight="false" outlineLevel="0" collapsed="false">
      <c r="A12" s="4" t="s">
        <v>573</v>
      </c>
      <c r="B12" s="4" t="s">
        <v>136</v>
      </c>
      <c r="C12" s="4"/>
      <c r="D12" s="6" t="s">
        <v>137</v>
      </c>
      <c r="E12" s="4"/>
      <c r="F12" s="4"/>
      <c r="G12" s="4"/>
      <c r="H12" s="4"/>
      <c r="I12" s="4"/>
      <c r="J12" s="4"/>
      <c r="K12" s="4"/>
      <c r="L12" s="7" t="str">
        <f aca="false">IF(N12="READY",IF(V12="KAC",IFERROR(INDEX(06_КАЦ!$R$4:$R$203,MATCH(K12,06_КАЦ!$A$4:$A$203,0)),""),IFERROR(INDEX(06а_Оценки!$F$4:$F$203,MATCH(K12,06а_Оценки!$A$4:$A$203,0)),"")),"")</f>
        <v/>
      </c>
      <c r="M12" s="7" t="str">
        <f aca="false">IF(N12="READY",ROUND(I12*L12,2),"")</f>
        <v/>
      </c>
      <c r="N12" s="5" t="str">
        <f aca="false">IF(A12="","",IF(Q12="NOT_APPLICABLE",IF(AND(COUNTIF(A$4:A$203,A12)=1,H12="OUTSIDE",R12&lt;&gt;"",O12&lt;&gt;"",COUNTIF(13_Источники!$A$4:$A$203,O12)=1),"NOT_APPLICABLE","INCOMPLETE / EXCLUSION"),IF(AND(COUNTIF(A$4:A$203,A12)=1,COUNTIF(02_WBS!$A$4:$A$200,B12)=1,C12&lt;&gt;"",COUNTIF(03_Пакеты!$A$4:$A$203,C12)=1,IFERROR(INDEX(03_Пакеты!$B$4:$B$203,MATCH(C12,03_Пакеты!$A$4:$A$203,0)),"")=B12,E12&lt;&gt;"",F12&lt;&gt;"",F12&lt;&gt;"UNKNOWN",G12&lt;&gt;"",G12&lt;&gt;"UNKNOWN",OR(H12="REMAINING",H12="SUNK",H12="OUTSIDE"),ISNUMBER(I12),I12&gt;=0,OR(AND(I12&gt;0,Q12="KNOWN"),AND(I12=0,Q12="ZERO_CONFIRMED")),J12&lt;&gt;"",K12&lt;&gt;"",OR(AND(V12="KAC",COUNTIF(06_КАЦ!$A$4:$A$203,K12)=1,IFERROR(INDEX(06_КАЦ!$V$4:$V$203,MATCH(K12,06_КАЦ!$A$4:$A$203,0)),"")="SELECTED_READY",IFERROR(INDEX(06_КАЦ!$D$4:$D$203,MATCH(K12,06_КАЦ!$A$4:$A$203,0)),"")=C12,IFERROR(INDEX(06_КАЦ!$F$4:$F$203,MATCH(K12,06_КАЦ!$A$4:$A$203,0)),"")=J12),AND(V12="DIRECT",COUNTIF(06а_Оценки!$A$4:$A$203,K12)=1,IFERROR(INDEX(06а_Оценки!$N$4:$N$203,MATCH(K12,06а_Оценки!$A$4:$A$203,0)),"")="READY",IFERROR(INDEX(06а_Оценки!$B$4:$B$203,MATCH(K12,06а_Оценки!$A$4:$A$203,0)),"")=C12,IFERROR(INDEX(06а_Оценки!$E$4:$E$203,MATCH(K12,06а_Оценки!$A$4:$A$203,0)),"")=J12)),O12&lt;&gt;"",COUNTIF(13_Источники!$A$4:$A$203,O12)=1,P12&lt;&gt;"",R12&lt;&gt;""),"READY","INCOMPLETE / LINK")))</f>
        <v>INCOMPLETE / LINK</v>
      </c>
      <c r="O12" s="4"/>
      <c r="P12" s="4"/>
      <c r="Q12" s="4" t="s">
        <v>565</v>
      </c>
      <c r="R12" s="4" t="s">
        <v>139</v>
      </c>
      <c r="S12" s="4"/>
      <c r="T12" s="4"/>
      <c r="U12" s="4"/>
      <c r="V12" s="4"/>
    </row>
    <row r="13" customFormat="false" ht="46.25" hidden="false" customHeight="false" outlineLevel="0" collapsed="false">
      <c r="A13" s="4" t="s">
        <v>574</v>
      </c>
      <c r="B13" s="4" t="s">
        <v>141</v>
      </c>
      <c r="C13" s="4"/>
      <c r="D13" s="6" t="s">
        <v>142</v>
      </c>
      <c r="E13" s="4"/>
      <c r="F13" s="4"/>
      <c r="G13" s="4"/>
      <c r="H13" s="4"/>
      <c r="I13" s="4"/>
      <c r="J13" s="4"/>
      <c r="K13" s="4"/>
      <c r="L13" s="7" t="str">
        <f aca="false">IF(N13="READY",IF(V13="KAC",IFERROR(INDEX(06_КАЦ!$R$4:$R$203,MATCH(K13,06_КАЦ!$A$4:$A$203,0)),""),IFERROR(INDEX(06а_Оценки!$F$4:$F$203,MATCH(K13,06а_Оценки!$A$4:$A$203,0)),"")),"")</f>
        <v/>
      </c>
      <c r="M13" s="7" t="str">
        <f aca="false">IF(N13="READY",ROUND(I13*L13,2),"")</f>
        <v/>
      </c>
      <c r="N13" s="5" t="str">
        <f aca="false">IF(A13="","",IF(Q13="NOT_APPLICABLE",IF(AND(COUNTIF(A$4:A$203,A13)=1,H13="OUTSIDE",R13&lt;&gt;"",O13&lt;&gt;"",COUNTIF(13_Источники!$A$4:$A$203,O13)=1),"NOT_APPLICABLE","INCOMPLETE / EXCLUSION"),IF(AND(COUNTIF(A$4:A$203,A13)=1,COUNTIF(02_WBS!$A$4:$A$200,B13)=1,C13&lt;&gt;"",COUNTIF(03_Пакеты!$A$4:$A$203,C13)=1,IFERROR(INDEX(03_Пакеты!$B$4:$B$203,MATCH(C13,03_Пакеты!$A$4:$A$203,0)),"")=B13,E13&lt;&gt;"",F13&lt;&gt;"",F13&lt;&gt;"UNKNOWN",G13&lt;&gt;"",G13&lt;&gt;"UNKNOWN",OR(H13="REMAINING",H13="SUNK",H13="OUTSIDE"),ISNUMBER(I13),I13&gt;=0,OR(AND(I13&gt;0,Q13="KNOWN"),AND(I13=0,Q13="ZERO_CONFIRMED")),J13&lt;&gt;"",K13&lt;&gt;"",OR(AND(V13="KAC",COUNTIF(06_КАЦ!$A$4:$A$203,K13)=1,IFERROR(INDEX(06_КАЦ!$V$4:$V$203,MATCH(K13,06_КАЦ!$A$4:$A$203,0)),"")="SELECTED_READY",IFERROR(INDEX(06_КАЦ!$D$4:$D$203,MATCH(K13,06_КАЦ!$A$4:$A$203,0)),"")=C13,IFERROR(INDEX(06_КАЦ!$F$4:$F$203,MATCH(K13,06_КАЦ!$A$4:$A$203,0)),"")=J13),AND(V13="DIRECT",COUNTIF(06а_Оценки!$A$4:$A$203,K13)=1,IFERROR(INDEX(06а_Оценки!$N$4:$N$203,MATCH(K13,06а_Оценки!$A$4:$A$203,0)),"")="READY",IFERROR(INDEX(06а_Оценки!$B$4:$B$203,MATCH(K13,06а_Оценки!$A$4:$A$203,0)),"")=C13,IFERROR(INDEX(06а_Оценки!$E$4:$E$203,MATCH(K13,06а_Оценки!$A$4:$A$203,0)),"")=J13)),O13&lt;&gt;"",COUNTIF(13_Источники!$A$4:$A$203,O13)=1,P13&lt;&gt;"",R13&lt;&gt;""),"READY","INCOMPLETE / LINK")))</f>
        <v>INCOMPLETE / LINK</v>
      </c>
      <c r="O13" s="4"/>
      <c r="P13" s="4"/>
      <c r="Q13" s="4" t="s">
        <v>565</v>
      </c>
      <c r="R13" s="4" t="s">
        <v>144</v>
      </c>
      <c r="S13" s="4"/>
      <c r="T13" s="4"/>
      <c r="U13" s="4"/>
      <c r="V13" s="4"/>
    </row>
    <row r="14" customFormat="false" ht="105.95" hidden="false" customHeight="false" outlineLevel="0" collapsed="false">
      <c r="A14" s="4" t="s">
        <v>575</v>
      </c>
      <c r="B14" s="4" t="s">
        <v>146</v>
      </c>
      <c r="C14" s="4"/>
      <c r="D14" s="6" t="s">
        <v>147</v>
      </c>
      <c r="E14" s="4"/>
      <c r="F14" s="4"/>
      <c r="G14" s="4"/>
      <c r="H14" s="4"/>
      <c r="I14" s="4"/>
      <c r="J14" s="4"/>
      <c r="K14" s="4"/>
      <c r="L14" s="7" t="str">
        <f aca="false">IF(N14="READY",IF(V14="KAC",IFERROR(INDEX(06_КАЦ!$R$4:$R$203,MATCH(K14,06_КАЦ!$A$4:$A$203,0)),""),IFERROR(INDEX(06а_Оценки!$F$4:$F$203,MATCH(K14,06а_Оценки!$A$4:$A$203,0)),"")),"")</f>
        <v/>
      </c>
      <c r="M14" s="7" t="str">
        <f aca="false">IF(N14="READY",ROUND(I14*L14,2),"")</f>
        <v/>
      </c>
      <c r="N14" s="5" t="str">
        <f aca="false">IF(A14="","",IF(Q14="NOT_APPLICABLE",IF(AND(COUNTIF(A$4:A$203,A14)=1,H14="OUTSIDE",R14&lt;&gt;"",O14&lt;&gt;"",COUNTIF(13_Источники!$A$4:$A$203,O14)=1),"NOT_APPLICABLE","INCOMPLETE / EXCLUSION"),IF(AND(COUNTIF(A$4:A$203,A14)=1,COUNTIF(02_WBS!$A$4:$A$200,B14)=1,C14&lt;&gt;"",COUNTIF(03_Пакеты!$A$4:$A$203,C14)=1,IFERROR(INDEX(03_Пакеты!$B$4:$B$203,MATCH(C14,03_Пакеты!$A$4:$A$203,0)),"")=B14,E14&lt;&gt;"",F14&lt;&gt;"",F14&lt;&gt;"UNKNOWN",G14&lt;&gt;"",G14&lt;&gt;"UNKNOWN",OR(H14="REMAINING",H14="SUNK",H14="OUTSIDE"),ISNUMBER(I14),I14&gt;=0,OR(AND(I14&gt;0,Q14="KNOWN"),AND(I14=0,Q14="ZERO_CONFIRMED")),J14&lt;&gt;"",K14&lt;&gt;"",OR(AND(V14="KAC",COUNTIF(06_КАЦ!$A$4:$A$203,K14)=1,IFERROR(INDEX(06_КАЦ!$V$4:$V$203,MATCH(K14,06_КАЦ!$A$4:$A$203,0)),"")="SELECTED_READY",IFERROR(INDEX(06_КАЦ!$D$4:$D$203,MATCH(K14,06_КАЦ!$A$4:$A$203,0)),"")=C14,IFERROR(INDEX(06_КАЦ!$F$4:$F$203,MATCH(K14,06_КАЦ!$A$4:$A$203,0)),"")=J14),AND(V14="DIRECT",COUNTIF(06а_Оценки!$A$4:$A$203,K14)=1,IFERROR(INDEX(06а_Оценки!$N$4:$N$203,MATCH(K14,06а_Оценки!$A$4:$A$203,0)),"")="READY",IFERROR(INDEX(06а_Оценки!$B$4:$B$203,MATCH(K14,06а_Оценки!$A$4:$A$203,0)),"")=C14,IFERROR(INDEX(06а_Оценки!$E$4:$E$203,MATCH(K14,06а_Оценки!$A$4:$A$203,0)),"")=J14)),O14&lt;&gt;"",COUNTIF(13_Источники!$A$4:$A$203,O14)=1,P14&lt;&gt;"",R14&lt;&gt;""),"READY","INCOMPLETE / LINK")))</f>
        <v>INCOMPLETE / LINK</v>
      </c>
      <c r="O14" s="4"/>
      <c r="P14" s="4"/>
      <c r="Q14" s="4" t="s">
        <v>565</v>
      </c>
      <c r="R14" s="4" t="s">
        <v>149</v>
      </c>
      <c r="S14" s="4"/>
      <c r="T14" s="4"/>
      <c r="U14" s="4"/>
      <c r="V14" s="4"/>
    </row>
    <row r="15" customFormat="false" ht="76.1" hidden="false" customHeight="false" outlineLevel="0" collapsed="false">
      <c r="A15" s="4" t="s">
        <v>576</v>
      </c>
      <c r="B15" s="4" t="s">
        <v>151</v>
      </c>
      <c r="C15" s="4"/>
      <c r="D15" s="6" t="s">
        <v>152</v>
      </c>
      <c r="E15" s="4"/>
      <c r="F15" s="4"/>
      <c r="G15" s="4"/>
      <c r="H15" s="4"/>
      <c r="I15" s="4"/>
      <c r="J15" s="4"/>
      <c r="K15" s="4"/>
      <c r="L15" s="7" t="str">
        <f aca="false">IF(N15="READY",IF(V15="KAC",IFERROR(INDEX(06_КАЦ!$R$4:$R$203,MATCH(K15,06_КАЦ!$A$4:$A$203,0)),""),IFERROR(INDEX(06а_Оценки!$F$4:$F$203,MATCH(K15,06а_Оценки!$A$4:$A$203,0)),"")),"")</f>
        <v/>
      </c>
      <c r="M15" s="7" t="str">
        <f aca="false">IF(N15="READY",ROUND(I15*L15,2),"")</f>
        <v/>
      </c>
      <c r="N15" s="5" t="str">
        <f aca="false">IF(A15="","",IF(Q15="NOT_APPLICABLE",IF(AND(COUNTIF(A$4:A$203,A15)=1,H15="OUTSIDE",R15&lt;&gt;"",O15&lt;&gt;"",COUNTIF(13_Источники!$A$4:$A$203,O15)=1),"NOT_APPLICABLE","INCOMPLETE / EXCLUSION"),IF(AND(COUNTIF(A$4:A$203,A15)=1,COUNTIF(02_WBS!$A$4:$A$200,B15)=1,C15&lt;&gt;"",COUNTIF(03_Пакеты!$A$4:$A$203,C15)=1,IFERROR(INDEX(03_Пакеты!$B$4:$B$203,MATCH(C15,03_Пакеты!$A$4:$A$203,0)),"")=B15,E15&lt;&gt;"",F15&lt;&gt;"",F15&lt;&gt;"UNKNOWN",G15&lt;&gt;"",G15&lt;&gt;"UNKNOWN",OR(H15="REMAINING",H15="SUNK",H15="OUTSIDE"),ISNUMBER(I15),I15&gt;=0,OR(AND(I15&gt;0,Q15="KNOWN"),AND(I15=0,Q15="ZERO_CONFIRMED")),J15&lt;&gt;"",K15&lt;&gt;"",OR(AND(V15="KAC",COUNTIF(06_КАЦ!$A$4:$A$203,K15)=1,IFERROR(INDEX(06_КАЦ!$V$4:$V$203,MATCH(K15,06_КАЦ!$A$4:$A$203,0)),"")="SELECTED_READY",IFERROR(INDEX(06_КАЦ!$D$4:$D$203,MATCH(K15,06_КАЦ!$A$4:$A$203,0)),"")=C15,IFERROR(INDEX(06_КАЦ!$F$4:$F$203,MATCH(K15,06_КАЦ!$A$4:$A$203,0)),"")=J15),AND(V15="DIRECT",COUNTIF(06а_Оценки!$A$4:$A$203,K15)=1,IFERROR(INDEX(06а_Оценки!$N$4:$N$203,MATCH(K15,06а_Оценки!$A$4:$A$203,0)),"")="READY",IFERROR(INDEX(06а_Оценки!$B$4:$B$203,MATCH(K15,06а_Оценки!$A$4:$A$203,0)),"")=C15,IFERROR(INDEX(06а_Оценки!$E$4:$E$203,MATCH(K15,06а_Оценки!$A$4:$A$203,0)),"")=J15)),O15&lt;&gt;"",COUNTIF(13_Источники!$A$4:$A$203,O15)=1,P15&lt;&gt;"",R15&lt;&gt;""),"READY","INCOMPLETE / LINK")))</f>
        <v>INCOMPLETE / LINK</v>
      </c>
      <c r="O15" s="4"/>
      <c r="P15" s="4"/>
      <c r="Q15" s="4" t="s">
        <v>565</v>
      </c>
      <c r="R15" s="4" t="s">
        <v>154</v>
      </c>
      <c r="S15" s="4"/>
      <c r="T15" s="4"/>
      <c r="U15" s="4"/>
      <c r="V15" s="4"/>
    </row>
    <row r="16" customFormat="false" ht="76.1" hidden="false" customHeight="false" outlineLevel="0" collapsed="false">
      <c r="A16" s="4" t="s">
        <v>577</v>
      </c>
      <c r="B16" s="4" t="s">
        <v>156</v>
      </c>
      <c r="C16" s="4"/>
      <c r="D16" s="6" t="s">
        <v>157</v>
      </c>
      <c r="E16" s="4"/>
      <c r="F16" s="4"/>
      <c r="G16" s="4"/>
      <c r="H16" s="4"/>
      <c r="I16" s="4"/>
      <c r="J16" s="4"/>
      <c r="K16" s="4"/>
      <c r="L16" s="7" t="str">
        <f aca="false">IF(N16="READY",IF(V16="KAC",IFERROR(INDEX(06_КАЦ!$R$4:$R$203,MATCH(K16,06_КАЦ!$A$4:$A$203,0)),""),IFERROR(INDEX(06а_Оценки!$F$4:$F$203,MATCH(K16,06а_Оценки!$A$4:$A$203,0)),"")),"")</f>
        <v/>
      </c>
      <c r="M16" s="7" t="str">
        <f aca="false">IF(N16="READY",ROUND(I16*L16,2),"")</f>
        <v/>
      </c>
      <c r="N16" s="5" t="str">
        <f aca="false">IF(A16="","",IF(Q16="NOT_APPLICABLE",IF(AND(COUNTIF(A$4:A$203,A16)=1,H16="OUTSIDE",R16&lt;&gt;"",O16&lt;&gt;"",COUNTIF(13_Источники!$A$4:$A$203,O16)=1),"NOT_APPLICABLE","INCOMPLETE / EXCLUSION"),IF(AND(COUNTIF(A$4:A$203,A16)=1,COUNTIF(02_WBS!$A$4:$A$200,B16)=1,C16&lt;&gt;"",COUNTIF(03_Пакеты!$A$4:$A$203,C16)=1,IFERROR(INDEX(03_Пакеты!$B$4:$B$203,MATCH(C16,03_Пакеты!$A$4:$A$203,0)),"")=B16,E16&lt;&gt;"",F16&lt;&gt;"",F16&lt;&gt;"UNKNOWN",G16&lt;&gt;"",G16&lt;&gt;"UNKNOWN",OR(H16="REMAINING",H16="SUNK",H16="OUTSIDE"),ISNUMBER(I16),I16&gt;=0,OR(AND(I16&gt;0,Q16="KNOWN"),AND(I16=0,Q16="ZERO_CONFIRMED")),J16&lt;&gt;"",K16&lt;&gt;"",OR(AND(V16="KAC",COUNTIF(06_КАЦ!$A$4:$A$203,K16)=1,IFERROR(INDEX(06_КАЦ!$V$4:$V$203,MATCH(K16,06_КАЦ!$A$4:$A$203,0)),"")="SELECTED_READY",IFERROR(INDEX(06_КАЦ!$D$4:$D$203,MATCH(K16,06_КАЦ!$A$4:$A$203,0)),"")=C16,IFERROR(INDEX(06_КАЦ!$F$4:$F$203,MATCH(K16,06_КАЦ!$A$4:$A$203,0)),"")=J16),AND(V16="DIRECT",COUNTIF(06а_Оценки!$A$4:$A$203,K16)=1,IFERROR(INDEX(06а_Оценки!$N$4:$N$203,MATCH(K16,06а_Оценки!$A$4:$A$203,0)),"")="READY",IFERROR(INDEX(06а_Оценки!$B$4:$B$203,MATCH(K16,06а_Оценки!$A$4:$A$203,0)),"")=C16,IFERROR(INDEX(06а_Оценки!$E$4:$E$203,MATCH(K16,06а_Оценки!$A$4:$A$203,0)),"")=J16)),O16&lt;&gt;"",COUNTIF(13_Источники!$A$4:$A$203,O16)=1,P16&lt;&gt;"",R16&lt;&gt;""),"READY","INCOMPLETE / LINK")))</f>
        <v>INCOMPLETE / LINK</v>
      </c>
      <c r="O16" s="4"/>
      <c r="P16" s="4"/>
      <c r="Q16" s="4" t="s">
        <v>565</v>
      </c>
      <c r="R16" s="4" t="s">
        <v>159</v>
      </c>
      <c r="S16" s="4"/>
      <c r="T16" s="4"/>
      <c r="U16" s="4"/>
      <c r="V16" s="4"/>
    </row>
    <row r="17" customFormat="false" ht="61.15" hidden="false" customHeight="false" outlineLevel="0" collapsed="false">
      <c r="A17" s="4" t="s">
        <v>578</v>
      </c>
      <c r="B17" s="4" t="s">
        <v>161</v>
      </c>
      <c r="C17" s="4"/>
      <c r="D17" s="6" t="s">
        <v>162</v>
      </c>
      <c r="E17" s="4"/>
      <c r="F17" s="4"/>
      <c r="G17" s="4"/>
      <c r="H17" s="4"/>
      <c r="I17" s="4"/>
      <c r="J17" s="4"/>
      <c r="K17" s="4"/>
      <c r="L17" s="7" t="str">
        <f aca="false">IF(N17="READY",IF(V17="KAC",IFERROR(INDEX(06_КАЦ!$R$4:$R$203,MATCH(K17,06_КАЦ!$A$4:$A$203,0)),""),IFERROR(INDEX(06а_Оценки!$F$4:$F$203,MATCH(K17,06а_Оценки!$A$4:$A$203,0)),"")),"")</f>
        <v/>
      </c>
      <c r="M17" s="7" t="str">
        <f aca="false">IF(N17="READY",ROUND(I17*L17,2),"")</f>
        <v/>
      </c>
      <c r="N17" s="5" t="str">
        <f aca="false">IF(A17="","",IF(Q17="NOT_APPLICABLE",IF(AND(COUNTIF(A$4:A$203,A17)=1,H17="OUTSIDE",R17&lt;&gt;"",O17&lt;&gt;"",COUNTIF(13_Источники!$A$4:$A$203,O17)=1),"NOT_APPLICABLE","INCOMPLETE / EXCLUSION"),IF(AND(COUNTIF(A$4:A$203,A17)=1,COUNTIF(02_WBS!$A$4:$A$200,B17)=1,C17&lt;&gt;"",COUNTIF(03_Пакеты!$A$4:$A$203,C17)=1,IFERROR(INDEX(03_Пакеты!$B$4:$B$203,MATCH(C17,03_Пакеты!$A$4:$A$203,0)),"")=B17,E17&lt;&gt;"",F17&lt;&gt;"",F17&lt;&gt;"UNKNOWN",G17&lt;&gt;"",G17&lt;&gt;"UNKNOWN",OR(H17="REMAINING",H17="SUNK",H17="OUTSIDE"),ISNUMBER(I17),I17&gt;=0,OR(AND(I17&gt;0,Q17="KNOWN"),AND(I17=0,Q17="ZERO_CONFIRMED")),J17&lt;&gt;"",K17&lt;&gt;"",OR(AND(V17="KAC",COUNTIF(06_КАЦ!$A$4:$A$203,K17)=1,IFERROR(INDEX(06_КАЦ!$V$4:$V$203,MATCH(K17,06_КАЦ!$A$4:$A$203,0)),"")="SELECTED_READY",IFERROR(INDEX(06_КАЦ!$D$4:$D$203,MATCH(K17,06_КАЦ!$A$4:$A$203,0)),"")=C17,IFERROR(INDEX(06_КАЦ!$F$4:$F$203,MATCH(K17,06_КАЦ!$A$4:$A$203,0)),"")=J17),AND(V17="DIRECT",COUNTIF(06а_Оценки!$A$4:$A$203,K17)=1,IFERROR(INDEX(06а_Оценки!$N$4:$N$203,MATCH(K17,06а_Оценки!$A$4:$A$203,0)),"")="READY",IFERROR(INDEX(06а_Оценки!$B$4:$B$203,MATCH(K17,06а_Оценки!$A$4:$A$203,0)),"")=C17,IFERROR(INDEX(06а_Оценки!$E$4:$E$203,MATCH(K17,06а_Оценки!$A$4:$A$203,0)),"")=J17)),O17&lt;&gt;"",COUNTIF(13_Источники!$A$4:$A$203,O17)=1,P17&lt;&gt;"",R17&lt;&gt;""),"READY","INCOMPLETE / LINK")))</f>
        <v>INCOMPLETE / LINK</v>
      </c>
      <c r="O17" s="4"/>
      <c r="P17" s="4"/>
      <c r="Q17" s="4" t="s">
        <v>565</v>
      </c>
      <c r="R17" s="4" t="s">
        <v>164</v>
      </c>
      <c r="S17" s="4"/>
      <c r="T17" s="4"/>
      <c r="U17" s="4"/>
      <c r="V17" s="4"/>
    </row>
    <row r="18" customFormat="false" ht="61.15" hidden="false" customHeight="false" outlineLevel="0" collapsed="false">
      <c r="A18" s="4" t="s">
        <v>579</v>
      </c>
      <c r="B18" s="4" t="s">
        <v>166</v>
      </c>
      <c r="C18" s="4"/>
      <c r="D18" s="6" t="s">
        <v>167</v>
      </c>
      <c r="E18" s="4"/>
      <c r="F18" s="4"/>
      <c r="G18" s="4"/>
      <c r="H18" s="4"/>
      <c r="I18" s="4"/>
      <c r="J18" s="4"/>
      <c r="K18" s="4"/>
      <c r="L18" s="7" t="str">
        <f aca="false">IF(N18="READY",IF(V18="KAC",IFERROR(INDEX(06_КАЦ!$R$4:$R$203,MATCH(K18,06_КАЦ!$A$4:$A$203,0)),""),IFERROR(INDEX(06а_Оценки!$F$4:$F$203,MATCH(K18,06а_Оценки!$A$4:$A$203,0)),"")),"")</f>
        <v/>
      </c>
      <c r="M18" s="7" t="str">
        <f aca="false">IF(N18="READY",ROUND(I18*L18,2),"")</f>
        <v/>
      </c>
      <c r="N18" s="5" t="str">
        <f aca="false">IF(A18="","",IF(Q18="NOT_APPLICABLE",IF(AND(COUNTIF(A$4:A$203,A18)=1,H18="OUTSIDE",R18&lt;&gt;"",O18&lt;&gt;"",COUNTIF(13_Источники!$A$4:$A$203,O18)=1),"NOT_APPLICABLE","INCOMPLETE / EXCLUSION"),IF(AND(COUNTIF(A$4:A$203,A18)=1,COUNTIF(02_WBS!$A$4:$A$200,B18)=1,C18&lt;&gt;"",COUNTIF(03_Пакеты!$A$4:$A$203,C18)=1,IFERROR(INDEX(03_Пакеты!$B$4:$B$203,MATCH(C18,03_Пакеты!$A$4:$A$203,0)),"")=B18,E18&lt;&gt;"",F18&lt;&gt;"",F18&lt;&gt;"UNKNOWN",G18&lt;&gt;"",G18&lt;&gt;"UNKNOWN",OR(H18="REMAINING",H18="SUNK",H18="OUTSIDE"),ISNUMBER(I18),I18&gt;=0,OR(AND(I18&gt;0,Q18="KNOWN"),AND(I18=0,Q18="ZERO_CONFIRMED")),J18&lt;&gt;"",K18&lt;&gt;"",OR(AND(V18="KAC",COUNTIF(06_КАЦ!$A$4:$A$203,K18)=1,IFERROR(INDEX(06_КАЦ!$V$4:$V$203,MATCH(K18,06_КАЦ!$A$4:$A$203,0)),"")="SELECTED_READY",IFERROR(INDEX(06_КАЦ!$D$4:$D$203,MATCH(K18,06_КАЦ!$A$4:$A$203,0)),"")=C18,IFERROR(INDEX(06_КАЦ!$F$4:$F$203,MATCH(K18,06_КАЦ!$A$4:$A$203,0)),"")=J18),AND(V18="DIRECT",COUNTIF(06а_Оценки!$A$4:$A$203,K18)=1,IFERROR(INDEX(06а_Оценки!$N$4:$N$203,MATCH(K18,06а_Оценки!$A$4:$A$203,0)),"")="READY",IFERROR(INDEX(06а_Оценки!$B$4:$B$203,MATCH(K18,06а_Оценки!$A$4:$A$203,0)),"")=C18,IFERROR(INDEX(06а_Оценки!$E$4:$E$203,MATCH(K18,06а_Оценки!$A$4:$A$203,0)),"")=J18)),O18&lt;&gt;"",COUNTIF(13_Источники!$A$4:$A$203,O18)=1,P18&lt;&gt;"",R18&lt;&gt;""),"READY","INCOMPLETE / LINK")))</f>
        <v>INCOMPLETE / LINK</v>
      </c>
      <c r="O18" s="4"/>
      <c r="P18" s="4"/>
      <c r="Q18" s="4" t="s">
        <v>565</v>
      </c>
      <c r="R18" s="4" t="s">
        <v>169</v>
      </c>
      <c r="S18" s="4"/>
      <c r="T18" s="4"/>
      <c r="U18" s="4"/>
      <c r="V18" s="4"/>
    </row>
    <row r="19" customFormat="false" ht="46.25" hidden="false" customHeight="false" outlineLevel="0" collapsed="false">
      <c r="A19" s="4" t="s">
        <v>580</v>
      </c>
      <c r="B19" s="4" t="s">
        <v>171</v>
      </c>
      <c r="C19" s="4"/>
      <c r="D19" s="6" t="s">
        <v>172</v>
      </c>
      <c r="E19" s="4"/>
      <c r="F19" s="4"/>
      <c r="G19" s="4"/>
      <c r="H19" s="4"/>
      <c r="I19" s="4"/>
      <c r="J19" s="4"/>
      <c r="K19" s="4"/>
      <c r="L19" s="7" t="str">
        <f aca="false">IF(N19="READY",IF(V19="KAC",IFERROR(INDEX(06_КАЦ!$R$4:$R$203,MATCH(K19,06_КАЦ!$A$4:$A$203,0)),""),IFERROR(INDEX(06а_Оценки!$F$4:$F$203,MATCH(K19,06а_Оценки!$A$4:$A$203,0)),"")),"")</f>
        <v/>
      </c>
      <c r="M19" s="7" t="str">
        <f aca="false">IF(N19="READY",ROUND(I19*L19,2),"")</f>
        <v/>
      </c>
      <c r="N19" s="5" t="str">
        <f aca="false">IF(A19="","",IF(Q19="NOT_APPLICABLE",IF(AND(COUNTIF(A$4:A$203,A19)=1,H19="OUTSIDE",R19&lt;&gt;"",O19&lt;&gt;"",COUNTIF(13_Источники!$A$4:$A$203,O19)=1),"NOT_APPLICABLE","INCOMPLETE / EXCLUSION"),IF(AND(COUNTIF(A$4:A$203,A19)=1,COUNTIF(02_WBS!$A$4:$A$200,B19)=1,C19&lt;&gt;"",COUNTIF(03_Пакеты!$A$4:$A$203,C19)=1,IFERROR(INDEX(03_Пакеты!$B$4:$B$203,MATCH(C19,03_Пакеты!$A$4:$A$203,0)),"")=B19,E19&lt;&gt;"",F19&lt;&gt;"",F19&lt;&gt;"UNKNOWN",G19&lt;&gt;"",G19&lt;&gt;"UNKNOWN",OR(H19="REMAINING",H19="SUNK",H19="OUTSIDE"),ISNUMBER(I19),I19&gt;=0,OR(AND(I19&gt;0,Q19="KNOWN"),AND(I19=0,Q19="ZERO_CONFIRMED")),J19&lt;&gt;"",K19&lt;&gt;"",OR(AND(V19="KAC",COUNTIF(06_КАЦ!$A$4:$A$203,K19)=1,IFERROR(INDEX(06_КАЦ!$V$4:$V$203,MATCH(K19,06_КАЦ!$A$4:$A$203,0)),"")="SELECTED_READY",IFERROR(INDEX(06_КАЦ!$D$4:$D$203,MATCH(K19,06_КАЦ!$A$4:$A$203,0)),"")=C19,IFERROR(INDEX(06_КАЦ!$F$4:$F$203,MATCH(K19,06_КАЦ!$A$4:$A$203,0)),"")=J19),AND(V19="DIRECT",COUNTIF(06а_Оценки!$A$4:$A$203,K19)=1,IFERROR(INDEX(06а_Оценки!$N$4:$N$203,MATCH(K19,06а_Оценки!$A$4:$A$203,0)),"")="READY",IFERROR(INDEX(06а_Оценки!$B$4:$B$203,MATCH(K19,06а_Оценки!$A$4:$A$203,0)),"")=C19,IFERROR(INDEX(06а_Оценки!$E$4:$E$203,MATCH(K19,06а_Оценки!$A$4:$A$203,0)),"")=J19)),O19&lt;&gt;"",COUNTIF(13_Источники!$A$4:$A$203,O19)=1,P19&lt;&gt;"",R19&lt;&gt;""),"READY","INCOMPLETE / LINK")))</f>
        <v>INCOMPLETE / LINK</v>
      </c>
      <c r="O19" s="4"/>
      <c r="P19" s="4"/>
      <c r="Q19" s="4" t="s">
        <v>565</v>
      </c>
      <c r="R19" s="4" t="s">
        <v>174</v>
      </c>
      <c r="S19" s="4"/>
      <c r="T19" s="4"/>
      <c r="U19" s="4"/>
      <c r="V19" s="4"/>
    </row>
    <row r="20" customFormat="false" ht="61.15" hidden="false" customHeight="false" outlineLevel="0" collapsed="false">
      <c r="A20" s="4" t="s">
        <v>581</v>
      </c>
      <c r="B20" s="4" t="s">
        <v>176</v>
      </c>
      <c r="C20" s="4"/>
      <c r="D20" s="6" t="s">
        <v>177</v>
      </c>
      <c r="E20" s="4"/>
      <c r="F20" s="4"/>
      <c r="G20" s="4"/>
      <c r="H20" s="4"/>
      <c r="I20" s="4"/>
      <c r="J20" s="4"/>
      <c r="K20" s="4"/>
      <c r="L20" s="7" t="str">
        <f aca="false">IF(N20="READY",IF(V20="KAC",IFERROR(INDEX(06_КАЦ!$R$4:$R$203,MATCH(K20,06_КАЦ!$A$4:$A$203,0)),""),IFERROR(INDEX(06а_Оценки!$F$4:$F$203,MATCH(K20,06а_Оценки!$A$4:$A$203,0)),"")),"")</f>
        <v/>
      </c>
      <c r="M20" s="7" t="str">
        <f aca="false">IF(N20="READY",ROUND(I20*L20,2),"")</f>
        <v/>
      </c>
      <c r="N20" s="5" t="str">
        <f aca="false">IF(A20="","",IF(Q20="NOT_APPLICABLE",IF(AND(COUNTIF(A$4:A$203,A20)=1,H20="OUTSIDE",R20&lt;&gt;"",O20&lt;&gt;"",COUNTIF(13_Источники!$A$4:$A$203,O20)=1),"NOT_APPLICABLE","INCOMPLETE / EXCLUSION"),IF(AND(COUNTIF(A$4:A$203,A20)=1,COUNTIF(02_WBS!$A$4:$A$200,B20)=1,C20&lt;&gt;"",COUNTIF(03_Пакеты!$A$4:$A$203,C20)=1,IFERROR(INDEX(03_Пакеты!$B$4:$B$203,MATCH(C20,03_Пакеты!$A$4:$A$203,0)),"")=B20,E20&lt;&gt;"",F20&lt;&gt;"",F20&lt;&gt;"UNKNOWN",G20&lt;&gt;"",G20&lt;&gt;"UNKNOWN",OR(H20="REMAINING",H20="SUNK",H20="OUTSIDE"),ISNUMBER(I20),I20&gt;=0,OR(AND(I20&gt;0,Q20="KNOWN"),AND(I20=0,Q20="ZERO_CONFIRMED")),J20&lt;&gt;"",K20&lt;&gt;"",OR(AND(V20="KAC",COUNTIF(06_КАЦ!$A$4:$A$203,K20)=1,IFERROR(INDEX(06_КАЦ!$V$4:$V$203,MATCH(K20,06_КАЦ!$A$4:$A$203,0)),"")="SELECTED_READY",IFERROR(INDEX(06_КАЦ!$D$4:$D$203,MATCH(K20,06_КАЦ!$A$4:$A$203,0)),"")=C20,IFERROR(INDEX(06_КАЦ!$F$4:$F$203,MATCH(K20,06_КАЦ!$A$4:$A$203,0)),"")=J20),AND(V20="DIRECT",COUNTIF(06а_Оценки!$A$4:$A$203,K20)=1,IFERROR(INDEX(06а_Оценки!$N$4:$N$203,MATCH(K20,06а_Оценки!$A$4:$A$203,0)),"")="READY",IFERROR(INDEX(06а_Оценки!$B$4:$B$203,MATCH(K20,06а_Оценки!$A$4:$A$203,0)),"")=C20,IFERROR(INDEX(06а_Оценки!$E$4:$E$203,MATCH(K20,06а_Оценки!$A$4:$A$203,0)),"")=J20)),O20&lt;&gt;"",COUNTIF(13_Источники!$A$4:$A$203,O20)=1,P20&lt;&gt;"",R20&lt;&gt;""),"READY","INCOMPLETE / LINK")))</f>
        <v>INCOMPLETE / LINK</v>
      </c>
      <c r="O20" s="4"/>
      <c r="P20" s="4"/>
      <c r="Q20" s="4" t="s">
        <v>565</v>
      </c>
      <c r="R20" s="4" t="s">
        <v>179</v>
      </c>
      <c r="S20" s="4"/>
      <c r="T20" s="4"/>
      <c r="U20" s="4"/>
      <c r="V20" s="4"/>
    </row>
    <row r="21" customFormat="false" ht="61.15" hidden="false" customHeight="false" outlineLevel="0" collapsed="false">
      <c r="A21" s="4" t="s">
        <v>582</v>
      </c>
      <c r="B21" s="4" t="s">
        <v>184</v>
      </c>
      <c r="C21" s="4"/>
      <c r="D21" s="6" t="s">
        <v>185</v>
      </c>
      <c r="E21" s="4"/>
      <c r="F21" s="4"/>
      <c r="G21" s="4"/>
      <c r="H21" s="4"/>
      <c r="I21" s="4"/>
      <c r="J21" s="4"/>
      <c r="K21" s="4"/>
      <c r="L21" s="7" t="str">
        <f aca="false">IF(N21="READY",IF(V21="KAC",IFERROR(INDEX(06_КАЦ!$R$4:$R$203,MATCH(K21,06_КАЦ!$A$4:$A$203,0)),""),IFERROR(INDEX(06а_Оценки!$F$4:$F$203,MATCH(K21,06а_Оценки!$A$4:$A$203,0)),"")),"")</f>
        <v/>
      </c>
      <c r="M21" s="7" t="str">
        <f aca="false">IF(N21="READY",ROUND(I21*L21,2),"")</f>
        <v/>
      </c>
      <c r="N21" s="5" t="str">
        <f aca="false">IF(A21="","",IF(Q21="NOT_APPLICABLE",IF(AND(COUNTIF(A$4:A$203,A21)=1,H21="OUTSIDE",R21&lt;&gt;"",O21&lt;&gt;"",COUNTIF(13_Источники!$A$4:$A$203,O21)=1),"NOT_APPLICABLE","INCOMPLETE / EXCLUSION"),IF(AND(COUNTIF(A$4:A$203,A21)=1,COUNTIF(02_WBS!$A$4:$A$200,B21)=1,C21&lt;&gt;"",COUNTIF(03_Пакеты!$A$4:$A$203,C21)=1,IFERROR(INDEX(03_Пакеты!$B$4:$B$203,MATCH(C21,03_Пакеты!$A$4:$A$203,0)),"")=B21,E21&lt;&gt;"",F21&lt;&gt;"",F21&lt;&gt;"UNKNOWN",G21&lt;&gt;"",G21&lt;&gt;"UNKNOWN",OR(H21="REMAINING",H21="SUNK",H21="OUTSIDE"),ISNUMBER(I21),I21&gt;=0,OR(AND(I21&gt;0,Q21="KNOWN"),AND(I21=0,Q21="ZERO_CONFIRMED")),J21&lt;&gt;"",K21&lt;&gt;"",OR(AND(V21="KAC",COUNTIF(06_КАЦ!$A$4:$A$203,K21)=1,IFERROR(INDEX(06_КАЦ!$V$4:$V$203,MATCH(K21,06_КАЦ!$A$4:$A$203,0)),"")="SELECTED_READY",IFERROR(INDEX(06_КАЦ!$D$4:$D$203,MATCH(K21,06_КАЦ!$A$4:$A$203,0)),"")=C21,IFERROR(INDEX(06_КАЦ!$F$4:$F$203,MATCH(K21,06_КАЦ!$A$4:$A$203,0)),"")=J21),AND(V21="DIRECT",COUNTIF(06а_Оценки!$A$4:$A$203,K21)=1,IFERROR(INDEX(06а_Оценки!$N$4:$N$203,MATCH(K21,06а_Оценки!$A$4:$A$203,0)),"")="READY",IFERROR(INDEX(06а_Оценки!$B$4:$B$203,MATCH(K21,06а_Оценки!$A$4:$A$203,0)),"")=C21,IFERROR(INDEX(06а_Оценки!$E$4:$E$203,MATCH(K21,06а_Оценки!$A$4:$A$203,0)),"")=J21)),O21&lt;&gt;"",COUNTIF(13_Источники!$A$4:$A$203,O21)=1,P21&lt;&gt;"",R21&lt;&gt;""),"READY","INCOMPLETE / LINK")))</f>
        <v>INCOMPLETE / LINK</v>
      </c>
      <c r="O21" s="4"/>
      <c r="P21" s="4"/>
      <c r="Q21" s="4" t="s">
        <v>565</v>
      </c>
      <c r="R21" s="4" t="s">
        <v>187</v>
      </c>
      <c r="S21" s="4"/>
      <c r="T21" s="4"/>
      <c r="U21" s="4"/>
      <c r="V21" s="4"/>
    </row>
    <row r="22" customFormat="false" ht="76.1" hidden="false" customHeight="false" outlineLevel="0" collapsed="false">
      <c r="A22" s="4" t="s">
        <v>583</v>
      </c>
      <c r="B22" s="4" t="s">
        <v>189</v>
      </c>
      <c r="C22" s="4"/>
      <c r="D22" s="6" t="s">
        <v>190</v>
      </c>
      <c r="E22" s="4"/>
      <c r="F22" s="4"/>
      <c r="G22" s="4"/>
      <c r="H22" s="4"/>
      <c r="I22" s="4"/>
      <c r="J22" s="4"/>
      <c r="K22" s="4"/>
      <c r="L22" s="7" t="str">
        <f aca="false">IF(N22="READY",IF(V22="KAC",IFERROR(INDEX(06_КАЦ!$R$4:$R$203,MATCH(K22,06_КАЦ!$A$4:$A$203,0)),""),IFERROR(INDEX(06а_Оценки!$F$4:$F$203,MATCH(K22,06а_Оценки!$A$4:$A$203,0)),"")),"")</f>
        <v/>
      </c>
      <c r="M22" s="7" t="str">
        <f aca="false">IF(N22="READY",ROUND(I22*L22,2),"")</f>
        <v/>
      </c>
      <c r="N22" s="5" t="str">
        <f aca="false">IF(A22="","",IF(Q22="NOT_APPLICABLE",IF(AND(COUNTIF(A$4:A$203,A22)=1,H22="OUTSIDE",R22&lt;&gt;"",O22&lt;&gt;"",COUNTIF(13_Источники!$A$4:$A$203,O22)=1),"NOT_APPLICABLE","INCOMPLETE / EXCLUSION"),IF(AND(COUNTIF(A$4:A$203,A22)=1,COUNTIF(02_WBS!$A$4:$A$200,B22)=1,C22&lt;&gt;"",COUNTIF(03_Пакеты!$A$4:$A$203,C22)=1,IFERROR(INDEX(03_Пакеты!$B$4:$B$203,MATCH(C22,03_Пакеты!$A$4:$A$203,0)),"")=B22,E22&lt;&gt;"",F22&lt;&gt;"",F22&lt;&gt;"UNKNOWN",G22&lt;&gt;"",G22&lt;&gt;"UNKNOWN",OR(H22="REMAINING",H22="SUNK",H22="OUTSIDE"),ISNUMBER(I22),I22&gt;=0,OR(AND(I22&gt;0,Q22="KNOWN"),AND(I22=0,Q22="ZERO_CONFIRMED")),J22&lt;&gt;"",K22&lt;&gt;"",OR(AND(V22="KAC",COUNTIF(06_КАЦ!$A$4:$A$203,K22)=1,IFERROR(INDEX(06_КАЦ!$V$4:$V$203,MATCH(K22,06_КАЦ!$A$4:$A$203,0)),"")="SELECTED_READY",IFERROR(INDEX(06_КАЦ!$D$4:$D$203,MATCH(K22,06_КАЦ!$A$4:$A$203,0)),"")=C22,IFERROR(INDEX(06_КАЦ!$F$4:$F$203,MATCH(K22,06_КАЦ!$A$4:$A$203,0)),"")=J22),AND(V22="DIRECT",COUNTIF(06а_Оценки!$A$4:$A$203,K22)=1,IFERROR(INDEX(06а_Оценки!$N$4:$N$203,MATCH(K22,06а_Оценки!$A$4:$A$203,0)),"")="READY",IFERROR(INDEX(06а_Оценки!$B$4:$B$203,MATCH(K22,06а_Оценки!$A$4:$A$203,0)),"")=C22,IFERROR(INDEX(06а_Оценки!$E$4:$E$203,MATCH(K22,06а_Оценки!$A$4:$A$203,0)),"")=J22)),O22&lt;&gt;"",COUNTIF(13_Источники!$A$4:$A$203,O22)=1,P22&lt;&gt;"",R22&lt;&gt;""),"READY","INCOMPLETE / LINK")))</f>
        <v>INCOMPLETE / LINK</v>
      </c>
      <c r="O22" s="4"/>
      <c r="P22" s="4"/>
      <c r="Q22" s="4" t="s">
        <v>565</v>
      </c>
      <c r="R22" s="4" t="s">
        <v>192</v>
      </c>
      <c r="S22" s="4"/>
      <c r="T22" s="4"/>
      <c r="U22" s="4"/>
      <c r="V22" s="4"/>
    </row>
    <row r="23" customFormat="false" ht="61.15" hidden="false" customHeight="false" outlineLevel="0" collapsed="false">
      <c r="A23" s="4" t="s">
        <v>584</v>
      </c>
      <c r="B23" s="4" t="s">
        <v>194</v>
      </c>
      <c r="C23" s="4"/>
      <c r="D23" s="6" t="s">
        <v>195</v>
      </c>
      <c r="E23" s="4"/>
      <c r="F23" s="4"/>
      <c r="G23" s="4"/>
      <c r="H23" s="4"/>
      <c r="I23" s="4"/>
      <c r="J23" s="4"/>
      <c r="K23" s="4"/>
      <c r="L23" s="7" t="str">
        <f aca="false">IF(N23="READY",IF(V23="KAC",IFERROR(INDEX(06_КАЦ!$R$4:$R$203,MATCH(K23,06_КАЦ!$A$4:$A$203,0)),""),IFERROR(INDEX(06а_Оценки!$F$4:$F$203,MATCH(K23,06а_Оценки!$A$4:$A$203,0)),"")),"")</f>
        <v/>
      </c>
      <c r="M23" s="7" t="str">
        <f aca="false">IF(N23="READY",ROUND(I23*L23,2),"")</f>
        <v/>
      </c>
      <c r="N23" s="5" t="str">
        <f aca="false">IF(A23="","",IF(Q23="NOT_APPLICABLE",IF(AND(COUNTIF(A$4:A$203,A23)=1,H23="OUTSIDE",R23&lt;&gt;"",O23&lt;&gt;"",COUNTIF(13_Источники!$A$4:$A$203,O23)=1),"NOT_APPLICABLE","INCOMPLETE / EXCLUSION"),IF(AND(COUNTIF(A$4:A$203,A23)=1,COUNTIF(02_WBS!$A$4:$A$200,B23)=1,C23&lt;&gt;"",COUNTIF(03_Пакеты!$A$4:$A$203,C23)=1,IFERROR(INDEX(03_Пакеты!$B$4:$B$203,MATCH(C23,03_Пакеты!$A$4:$A$203,0)),"")=B23,E23&lt;&gt;"",F23&lt;&gt;"",F23&lt;&gt;"UNKNOWN",G23&lt;&gt;"",G23&lt;&gt;"UNKNOWN",OR(H23="REMAINING",H23="SUNK",H23="OUTSIDE"),ISNUMBER(I23),I23&gt;=0,OR(AND(I23&gt;0,Q23="KNOWN"),AND(I23=0,Q23="ZERO_CONFIRMED")),J23&lt;&gt;"",K23&lt;&gt;"",OR(AND(V23="KAC",COUNTIF(06_КАЦ!$A$4:$A$203,K23)=1,IFERROR(INDEX(06_КАЦ!$V$4:$V$203,MATCH(K23,06_КАЦ!$A$4:$A$203,0)),"")="SELECTED_READY",IFERROR(INDEX(06_КАЦ!$D$4:$D$203,MATCH(K23,06_КАЦ!$A$4:$A$203,0)),"")=C23,IFERROR(INDEX(06_КАЦ!$F$4:$F$203,MATCH(K23,06_КАЦ!$A$4:$A$203,0)),"")=J23),AND(V23="DIRECT",COUNTIF(06а_Оценки!$A$4:$A$203,K23)=1,IFERROR(INDEX(06а_Оценки!$N$4:$N$203,MATCH(K23,06а_Оценки!$A$4:$A$203,0)),"")="READY",IFERROR(INDEX(06а_Оценки!$B$4:$B$203,MATCH(K23,06а_Оценки!$A$4:$A$203,0)),"")=C23,IFERROR(INDEX(06а_Оценки!$E$4:$E$203,MATCH(K23,06а_Оценки!$A$4:$A$203,0)),"")=J23)),O23&lt;&gt;"",COUNTIF(13_Источники!$A$4:$A$203,O23)=1,P23&lt;&gt;"",R23&lt;&gt;""),"READY","INCOMPLETE / LINK")))</f>
        <v>INCOMPLETE / LINK</v>
      </c>
      <c r="O23" s="4"/>
      <c r="P23" s="4"/>
      <c r="Q23" s="4" t="s">
        <v>565</v>
      </c>
      <c r="R23" s="4" t="s">
        <v>197</v>
      </c>
      <c r="S23" s="4"/>
      <c r="T23" s="4"/>
      <c r="U23" s="4"/>
      <c r="V23" s="4"/>
    </row>
    <row r="24" customFormat="false" ht="46.25" hidden="false" customHeight="false" outlineLevel="0" collapsed="false">
      <c r="A24" s="4" t="s">
        <v>585</v>
      </c>
      <c r="B24" s="4" t="s">
        <v>199</v>
      </c>
      <c r="C24" s="4"/>
      <c r="D24" s="6" t="s">
        <v>200</v>
      </c>
      <c r="E24" s="4"/>
      <c r="F24" s="4"/>
      <c r="G24" s="4"/>
      <c r="H24" s="4"/>
      <c r="I24" s="4"/>
      <c r="J24" s="4"/>
      <c r="K24" s="4"/>
      <c r="L24" s="7" t="str">
        <f aca="false">IF(N24="READY",IF(V24="KAC",IFERROR(INDEX(06_КАЦ!$R$4:$R$203,MATCH(K24,06_КАЦ!$A$4:$A$203,0)),""),IFERROR(INDEX(06а_Оценки!$F$4:$F$203,MATCH(K24,06а_Оценки!$A$4:$A$203,0)),"")),"")</f>
        <v/>
      </c>
      <c r="M24" s="7" t="str">
        <f aca="false">IF(N24="READY",ROUND(I24*L24,2),"")</f>
        <v/>
      </c>
      <c r="N24" s="5" t="str">
        <f aca="false">IF(A24="","",IF(Q24="NOT_APPLICABLE",IF(AND(COUNTIF(A$4:A$203,A24)=1,H24="OUTSIDE",R24&lt;&gt;"",O24&lt;&gt;"",COUNTIF(13_Источники!$A$4:$A$203,O24)=1),"NOT_APPLICABLE","INCOMPLETE / EXCLUSION"),IF(AND(COUNTIF(A$4:A$203,A24)=1,COUNTIF(02_WBS!$A$4:$A$200,B24)=1,C24&lt;&gt;"",COUNTIF(03_Пакеты!$A$4:$A$203,C24)=1,IFERROR(INDEX(03_Пакеты!$B$4:$B$203,MATCH(C24,03_Пакеты!$A$4:$A$203,0)),"")=B24,E24&lt;&gt;"",F24&lt;&gt;"",F24&lt;&gt;"UNKNOWN",G24&lt;&gt;"",G24&lt;&gt;"UNKNOWN",OR(H24="REMAINING",H24="SUNK",H24="OUTSIDE"),ISNUMBER(I24),I24&gt;=0,OR(AND(I24&gt;0,Q24="KNOWN"),AND(I24=0,Q24="ZERO_CONFIRMED")),J24&lt;&gt;"",K24&lt;&gt;"",OR(AND(V24="KAC",COUNTIF(06_КАЦ!$A$4:$A$203,K24)=1,IFERROR(INDEX(06_КАЦ!$V$4:$V$203,MATCH(K24,06_КАЦ!$A$4:$A$203,0)),"")="SELECTED_READY",IFERROR(INDEX(06_КАЦ!$D$4:$D$203,MATCH(K24,06_КАЦ!$A$4:$A$203,0)),"")=C24,IFERROR(INDEX(06_КАЦ!$F$4:$F$203,MATCH(K24,06_КАЦ!$A$4:$A$203,0)),"")=J24),AND(V24="DIRECT",COUNTIF(06а_Оценки!$A$4:$A$203,K24)=1,IFERROR(INDEX(06а_Оценки!$N$4:$N$203,MATCH(K24,06а_Оценки!$A$4:$A$203,0)),"")="READY",IFERROR(INDEX(06а_Оценки!$B$4:$B$203,MATCH(K24,06а_Оценки!$A$4:$A$203,0)),"")=C24,IFERROR(INDEX(06а_Оценки!$E$4:$E$203,MATCH(K24,06а_Оценки!$A$4:$A$203,0)),"")=J24)),O24&lt;&gt;"",COUNTIF(13_Источники!$A$4:$A$203,O24)=1,P24&lt;&gt;"",R24&lt;&gt;""),"READY","INCOMPLETE / LINK")))</f>
        <v>INCOMPLETE / LINK</v>
      </c>
      <c r="O24" s="4"/>
      <c r="P24" s="4"/>
      <c r="Q24" s="4" t="s">
        <v>565</v>
      </c>
      <c r="R24" s="4" t="s">
        <v>202</v>
      </c>
      <c r="S24" s="4"/>
      <c r="T24" s="4"/>
      <c r="U24" s="4"/>
      <c r="V24" s="4"/>
    </row>
    <row r="25" customFormat="false" ht="61.15" hidden="false" customHeight="false" outlineLevel="0" collapsed="false">
      <c r="A25" s="4" t="s">
        <v>586</v>
      </c>
      <c r="B25" s="4" t="s">
        <v>204</v>
      </c>
      <c r="C25" s="4"/>
      <c r="D25" s="6" t="s">
        <v>205</v>
      </c>
      <c r="E25" s="4"/>
      <c r="F25" s="4"/>
      <c r="G25" s="4"/>
      <c r="H25" s="4"/>
      <c r="I25" s="4"/>
      <c r="J25" s="4"/>
      <c r="K25" s="4"/>
      <c r="L25" s="7" t="str">
        <f aca="false">IF(N25="READY",IF(V25="KAC",IFERROR(INDEX(06_КАЦ!$R$4:$R$203,MATCH(K25,06_КАЦ!$A$4:$A$203,0)),""),IFERROR(INDEX(06а_Оценки!$F$4:$F$203,MATCH(K25,06а_Оценки!$A$4:$A$203,0)),"")),"")</f>
        <v/>
      </c>
      <c r="M25" s="7" t="str">
        <f aca="false">IF(N25="READY",ROUND(I25*L25,2),"")</f>
        <v/>
      </c>
      <c r="N25" s="5" t="str">
        <f aca="false">IF(A25="","",IF(Q25="NOT_APPLICABLE",IF(AND(COUNTIF(A$4:A$203,A25)=1,H25="OUTSIDE",R25&lt;&gt;"",O25&lt;&gt;"",COUNTIF(13_Источники!$A$4:$A$203,O25)=1),"NOT_APPLICABLE","INCOMPLETE / EXCLUSION"),IF(AND(COUNTIF(A$4:A$203,A25)=1,COUNTIF(02_WBS!$A$4:$A$200,B25)=1,C25&lt;&gt;"",COUNTIF(03_Пакеты!$A$4:$A$203,C25)=1,IFERROR(INDEX(03_Пакеты!$B$4:$B$203,MATCH(C25,03_Пакеты!$A$4:$A$203,0)),"")=B25,E25&lt;&gt;"",F25&lt;&gt;"",F25&lt;&gt;"UNKNOWN",G25&lt;&gt;"",G25&lt;&gt;"UNKNOWN",OR(H25="REMAINING",H25="SUNK",H25="OUTSIDE"),ISNUMBER(I25),I25&gt;=0,OR(AND(I25&gt;0,Q25="KNOWN"),AND(I25=0,Q25="ZERO_CONFIRMED")),J25&lt;&gt;"",K25&lt;&gt;"",OR(AND(V25="KAC",COUNTIF(06_КАЦ!$A$4:$A$203,K25)=1,IFERROR(INDEX(06_КАЦ!$V$4:$V$203,MATCH(K25,06_КАЦ!$A$4:$A$203,0)),"")="SELECTED_READY",IFERROR(INDEX(06_КАЦ!$D$4:$D$203,MATCH(K25,06_КАЦ!$A$4:$A$203,0)),"")=C25,IFERROR(INDEX(06_КАЦ!$F$4:$F$203,MATCH(K25,06_КАЦ!$A$4:$A$203,0)),"")=J25),AND(V25="DIRECT",COUNTIF(06а_Оценки!$A$4:$A$203,K25)=1,IFERROR(INDEX(06а_Оценки!$N$4:$N$203,MATCH(K25,06а_Оценки!$A$4:$A$203,0)),"")="READY",IFERROR(INDEX(06а_Оценки!$B$4:$B$203,MATCH(K25,06а_Оценки!$A$4:$A$203,0)),"")=C25,IFERROR(INDEX(06а_Оценки!$E$4:$E$203,MATCH(K25,06а_Оценки!$A$4:$A$203,0)),"")=J25)),O25&lt;&gt;"",COUNTIF(13_Источники!$A$4:$A$203,O25)=1,P25&lt;&gt;"",R25&lt;&gt;""),"READY","INCOMPLETE / LINK")))</f>
        <v>INCOMPLETE / LINK</v>
      </c>
      <c r="O25" s="4"/>
      <c r="P25" s="4"/>
      <c r="Q25" s="4" t="s">
        <v>565</v>
      </c>
      <c r="R25" s="4" t="s">
        <v>207</v>
      </c>
      <c r="S25" s="4"/>
      <c r="T25" s="4"/>
      <c r="U25" s="4"/>
      <c r="V25" s="4"/>
    </row>
    <row r="26" customFormat="false" ht="61.15" hidden="false" customHeight="false" outlineLevel="0" collapsed="false">
      <c r="A26" s="4" t="s">
        <v>587</v>
      </c>
      <c r="B26" s="4" t="s">
        <v>209</v>
      </c>
      <c r="C26" s="4"/>
      <c r="D26" s="6" t="s">
        <v>210</v>
      </c>
      <c r="E26" s="4"/>
      <c r="F26" s="4"/>
      <c r="G26" s="4"/>
      <c r="H26" s="4"/>
      <c r="I26" s="4"/>
      <c r="J26" s="4"/>
      <c r="K26" s="4"/>
      <c r="L26" s="7" t="str">
        <f aca="false">IF(N26="READY",IF(V26="KAC",IFERROR(INDEX(06_КАЦ!$R$4:$R$203,MATCH(K26,06_КАЦ!$A$4:$A$203,0)),""),IFERROR(INDEX(06а_Оценки!$F$4:$F$203,MATCH(K26,06а_Оценки!$A$4:$A$203,0)),"")),"")</f>
        <v/>
      </c>
      <c r="M26" s="7" t="str">
        <f aca="false">IF(N26="READY",ROUND(I26*L26,2),"")</f>
        <v/>
      </c>
      <c r="N26" s="5" t="str">
        <f aca="false">IF(A26="","",IF(Q26="NOT_APPLICABLE",IF(AND(COUNTIF(A$4:A$203,A26)=1,H26="OUTSIDE",R26&lt;&gt;"",O26&lt;&gt;"",COUNTIF(13_Источники!$A$4:$A$203,O26)=1),"NOT_APPLICABLE","INCOMPLETE / EXCLUSION"),IF(AND(COUNTIF(A$4:A$203,A26)=1,COUNTIF(02_WBS!$A$4:$A$200,B26)=1,C26&lt;&gt;"",COUNTIF(03_Пакеты!$A$4:$A$203,C26)=1,IFERROR(INDEX(03_Пакеты!$B$4:$B$203,MATCH(C26,03_Пакеты!$A$4:$A$203,0)),"")=B26,E26&lt;&gt;"",F26&lt;&gt;"",F26&lt;&gt;"UNKNOWN",G26&lt;&gt;"",G26&lt;&gt;"UNKNOWN",OR(H26="REMAINING",H26="SUNK",H26="OUTSIDE"),ISNUMBER(I26),I26&gt;=0,OR(AND(I26&gt;0,Q26="KNOWN"),AND(I26=0,Q26="ZERO_CONFIRMED")),J26&lt;&gt;"",K26&lt;&gt;"",OR(AND(V26="KAC",COUNTIF(06_КАЦ!$A$4:$A$203,K26)=1,IFERROR(INDEX(06_КАЦ!$V$4:$V$203,MATCH(K26,06_КАЦ!$A$4:$A$203,0)),"")="SELECTED_READY",IFERROR(INDEX(06_КАЦ!$D$4:$D$203,MATCH(K26,06_КАЦ!$A$4:$A$203,0)),"")=C26,IFERROR(INDEX(06_КАЦ!$F$4:$F$203,MATCH(K26,06_КАЦ!$A$4:$A$203,0)),"")=J26),AND(V26="DIRECT",COUNTIF(06а_Оценки!$A$4:$A$203,K26)=1,IFERROR(INDEX(06а_Оценки!$N$4:$N$203,MATCH(K26,06а_Оценки!$A$4:$A$203,0)),"")="READY",IFERROR(INDEX(06а_Оценки!$B$4:$B$203,MATCH(K26,06а_Оценки!$A$4:$A$203,0)),"")=C26,IFERROR(INDEX(06а_Оценки!$E$4:$E$203,MATCH(K26,06а_Оценки!$A$4:$A$203,0)),"")=J26)),O26&lt;&gt;"",COUNTIF(13_Источники!$A$4:$A$203,O26)=1,P26&lt;&gt;"",R26&lt;&gt;""),"READY","INCOMPLETE / LINK")))</f>
        <v>INCOMPLETE / LINK</v>
      </c>
      <c r="O26" s="4"/>
      <c r="P26" s="4"/>
      <c r="Q26" s="4" t="s">
        <v>565</v>
      </c>
      <c r="R26" s="4" t="s">
        <v>212</v>
      </c>
      <c r="S26" s="4"/>
      <c r="T26" s="4"/>
      <c r="U26" s="4"/>
      <c r="V26" s="4"/>
    </row>
    <row r="27" customFormat="false" ht="76.1" hidden="false" customHeight="false" outlineLevel="0" collapsed="false">
      <c r="A27" s="4" t="s">
        <v>588</v>
      </c>
      <c r="B27" s="4" t="s">
        <v>214</v>
      </c>
      <c r="C27" s="4"/>
      <c r="D27" s="6" t="s">
        <v>215</v>
      </c>
      <c r="E27" s="4"/>
      <c r="F27" s="4"/>
      <c r="G27" s="4"/>
      <c r="H27" s="4"/>
      <c r="I27" s="4"/>
      <c r="J27" s="4"/>
      <c r="K27" s="4"/>
      <c r="L27" s="7" t="str">
        <f aca="false">IF(N27="READY",IF(V27="KAC",IFERROR(INDEX(06_КАЦ!$R$4:$R$203,MATCH(K27,06_КАЦ!$A$4:$A$203,0)),""),IFERROR(INDEX(06а_Оценки!$F$4:$F$203,MATCH(K27,06а_Оценки!$A$4:$A$203,0)),"")),"")</f>
        <v/>
      </c>
      <c r="M27" s="7" t="str">
        <f aca="false">IF(N27="READY",ROUND(I27*L27,2),"")</f>
        <v/>
      </c>
      <c r="N27" s="5" t="str">
        <f aca="false">IF(A27="","",IF(Q27="NOT_APPLICABLE",IF(AND(COUNTIF(A$4:A$203,A27)=1,H27="OUTSIDE",R27&lt;&gt;"",O27&lt;&gt;"",COUNTIF(13_Источники!$A$4:$A$203,O27)=1),"NOT_APPLICABLE","INCOMPLETE / EXCLUSION"),IF(AND(COUNTIF(A$4:A$203,A27)=1,COUNTIF(02_WBS!$A$4:$A$200,B27)=1,C27&lt;&gt;"",COUNTIF(03_Пакеты!$A$4:$A$203,C27)=1,IFERROR(INDEX(03_Пакеты!$B$4:$B$203,MATCH(C27,03_Пакеты!$A$4:$A$203,0)),"")=B27,E27&lt;&gt;"",F27&lt;&gt;"",F27&lt;&gt;"UNKNOWN",G27&lt;&gt;"",G27&lt;&gt;"UNKNOWN",OR(H27="REMAINING",H27="SUNK",H27="OUTSIDE"),ISNUMBER(I27),I27&gt;=0,OR(AND(I27&gt;0,Q27="KNOWN"),AND(I27=0,Q27="ZERO_CONFIRMED")),J27&lt;&gt;"",K27&lt;&gt;"",OR(AND(V27="KAC",COUNTIF(06_КАЦ!$A$4:$A$203,K27)=1,IFERROR(INDEX(06_КАЦ!$V$4:$V$203,MATCH(K27,06_КАЦ!$A$4:$A$203,0)),"")="SELECTED_READY",IFERROR(INDEX(06_КАЦ!$D$4:$D$203,MATCH(K27,06_КАЦ!$A$4:$A$203,0)),"")=C27,IFERROR(INDEX(06_КАЦ!$F$4:$F$203,MATCH(K27,06_КАЦ!$A$4:$A$203,0)),"")=J27),AND(V27="DIRECT",COUNTIF(06а_Оценки!$A$4:$A$203,K27)=1,IFERROR(INDEX(06а_Оценки!$N$4:$N$203,MATCH(K27,06а_Оценки!$A$4:$A$203,0)),"")="READY",IFERROR(INDEX(06а_Оценки!$B$4:$B$203,MATCH(K27,06а_Оценки!$A$4:$A$203,0)),"")=C27,IFERROR(INDEX(06а_Оценки!$E$4:$E$203,MATCH(K27,06а_Оценки!$A$4:$A$203,0)),"")=J27)),O27&lt;&gt;"",COUNTIF(13_Источники!$A$4:$A$203,O27)=1,P27&lt;&gt;"",R27&lt;&gt;""),"READY","INCOMPLETE / LINK")))</f>
        <v>INCOMPLETE / LINK</v>
      </c>
      <c r="O27" s="4"/>
      <c r="P27" s="4"/>
      <c r="Q27" s="4" t="s">
        <v>565</v>
      </c>
      <c r="R27" s="4" t="s">
        <v>217</v>
      </c>
      <c r="S27" s="4"/>
      <c r="T27" s="4"/>
      <c r="U27" s="4"/>
      <c r="V27" s="4"/>
    </row>
    <row r="28" customFormat="false" ht="61.15" hidden="false" customHeight="false" outlineLevel="0" collapsed="false">
      <c r="A28" s="4" t="s">
        <v>589</v>
      </c>
      <c r="B28" s="4" t="s">
        <v>219</v>
      </c>
      <c r="C28" s="4"/>
      <c r="D28" s="6" t="s">
        <v>220</v>
      </c>
      <c r="E28" s="4"/>
      <c r="F28" s="4"/>
      <c r="G28" s="4"/>
      <c r="H28" s="4"/>
      <c r="I28" s="4"/>
      <c r="J28" s="4"/>
      <c r="K28" s="4"/>
      <c r="L28" s="7" t="str">
        <f aca="false">IF(N28="READY",IF(V28="KAC",IFERROR(INDEX(06_КАЦ!$R$4:$R$203,MATCH(K28,06_КАЦ!$A$4:$A$203,0)),""),IFERROR(INDEX(06а_Оценки!$F$4:$F$203,MATCH(K28,06а_Оценки!$A$4:$A$203,0)),"")),"")</f>
        <v/>
      </c>
      <c r="M28" s="7" t="str">
        <f aca="false">IF(N28="READY",ROUND(I28*L28,2),"")</f>
        <v/>
      </c>
      <c r="N28" s="5" t="str">
        <f aca="false">IF(A28="","",IF(Q28="NOT_APPLICABLE",IF(AND(COUNTIF(A$4:A$203,A28)=1,H28="OUTSIDE",R28&lt;&gt;"",O28&lt;&gt;"",COUNTIF(13_Источники!$A$4:$A$203,O28)=1),"NOT_APPLICABLE","INCOMPLETE / EXCLUSION"),IF(AND(COUNTIF(A$4:A$203,A28)=1,COUNTIF(02_WBS!$A$4:$A$200,B28)=1,C28&lt;&gt;"",COUNTIF(03_Пакеты!$A$4:$A$203,C28)=1,IFERROR(INDEX(03_Пакеты!$B$4:$B$203,MATCH(C28,03_Пакеты!$A$4:$A$203,0)),"")=B28,E28&lt;&gt;"",F28&lt;&gt;"",F28&lt;&gt;"UNKNOWN",G28&lt;&gt;"",G28&lt;&gt;"UNKNOWN",OR(H28="REMAINING",H28="SUNK",H28="OUTSIDE"),ISNUMBER(I28),I28&gt;=0,OR(AND(I28&gt;0,Q28="KNOWN"),AND(I28=0,Q28="ZERO_CONFIRMED")),J28&lt;&gt;"",K28&lt;&gt;"",OR(AND(V28="KAC",COUNTIF(06_КАЦ!$A$4:$A$203,K28)=1,IFERROR(INDEX(06_КАЦ!$V$4:$V$203,MATCH(K28,06_КАЦ!$A$4:$A$203,0)),"")="SELECTED_READY",IFERROR(INDEX(06_КАЦ!$D$4:$D$203,MATCH(K28,06_КАЦ!$A$4:$A$203,0)),"")=C28,IFERROR(INDEX(06_КАЦ!$F$4:$F$203,MATCH(K28,06_КАЦ!$A$4:$A$203,0)),"")=J28),AND(V28="DIRECT",COUNTIF(06а_Оценки!$A$4:$A$203,K28)=1,IFERROR(INDEX(06а_Оценки!$N$4:$N$203,MATCH(K28,06а_Оценки!$A$4:$A$203,0)),"")="READY",IFERROR(INDEX(06а_Оценки!$B$4:$B$203,MATCH(K28,06а_Оценки!$A$4:$A$203,0)),"")=C28,IFERROR(INDEX(06а_Оценки!$E$4:$E$203,MATCH(K28,06а_Оценки!$A$4:$A$203,0)),"")=J28)),O28&lt;&gt;"",COUNTIF(13_Источники!$A$4:$A$203,O28)=1,P28&lt;&gt;"",R28&lt;&gt;""),"READY","INCOMPLETE / LINK")))</f>
        <v>INCOMPLETE / LINK</v>
      </c>
      <c r="O28" s="4"/>
      <c r="P28" s="4"/>
      <c r="Q28" s="4" t="s">
        <v>565</v>
      </c>
      <c r="R28" s="4" t="s">
        <v>222</v>
      </c>
      <c r="S28" s="4"/>
      <c r="T28" s="4"/>
      <c r="U28" s="4"/>
      <c r="V28" s="4"/>
    </row>
    <row r="29" customFormat="false" ht="76.1" hidden="false" customHeight="false" outlineLevel="0" collapsed="false">
      <c r="A29" s="4" t="s">
        <v>590</v>
      </c>
      <c r="B29" s="4" t="s">
        <v>224</v>
      </c>
      <c r="C29" s="4"/>
      <c r="D29" s="6" t="s">
        <v>225</v>
      </c>
      <c r="E29" s="4"/>
      <c r="F29" s="4"/>
      <c r="G29" s="4"/>
      <c r="H29" s="4"/>
      <c r="I29" s="4"/>
      <c r="J29" s="4"/>
      <c r="K29" s="4"/>
      <c r="L29" s="7" t="str">
        <f aca="false">IF(N29="READY",IF(V29="KAC",IFERROR(INDEX(06_КАЦ!$R$4:$R$203,MATCH(K29,06_КАЦ!$A$4:$A$203,0)),""),IFERROR(INDEX(06а_Оценки!$F$4:$F$203,MATCH(K29,06а_Оценки!$A$4:$A$203,0)),"")),"")</f>
        <v/>
      </c>
      <c r="M29" s="7" t="str">
        <f aca="false">IF(N29="READY",ROUND(I29*L29,2),"")</f>
        <v/>
      </c>
      <c r="N29" s="5" t="str">
        <f aca="false">IF(A29="","",IF(Q29="NOT_APPLICABLE",IF(AND(COUNTIF(A$4:A$203,A29)=1,H29="OUTSIDE",R29&lt;&gt;"",O29&lt;&gt;"",COUNTIF(13_Источники!$A$4:$A$203,O29)=1),"NOT_APPLICABLE","INCOMPLETE / EXCLUSION"),IF(AND(COUNTIF(A$4:A$203,A29)=1,COUNTIF(02_WBS!$A$4:$A$200,B29)=1,C29&lt;&gt;"",COUNTIF(03_Пакеты!$A$4:$A$203,C29)=1,IFERROR(INDEX(03_Пакеты!$B$4:$B$203,MATCH(C29,03_Пакеты!$A$4:$A$203,0)),"")=B29,E29&lt;&gt;"",F29&lt;&gt;"",F29&lt;&gt;"UNKNOWN",G29&lt;&gt;"",G29&lt;&gt;"UNKNOWN",OR(H29="REMAINING",H29="SUNK",H29="OUTSIDE"),ISNUMBER(I29),I29&gt;=0,OR(AND(I29&gt;0,Q29="KNOWN"),AND(I29=0,Q29="ZERO_CONFIRMED")),J29&lt;&gt;"",K29&lt;&gt;"",OR(AND(V29="KAC",COUNTIF(06_КАЦ!$A$4:$A$203,K29)=1,IFERROR(INDEX(06_КАЦ!$V$4:$V$203,MATCH(K29,06_КАЦ!$A$4:$A$203,0)),"")="SELECTED_READY",IFERROR(INDEX(06_КАЦ!$D$4:$D$203,MATCH(K29,06_КАЦ!$A$4:$A$203,0)),"")=C29,IFERROR(INDEX(06_КАЦ!$F$4:$F$203,MATCH(K29,06_КАЦ!$A$4:$A$203,0)),"")=J29),AND(V29="DIRECT",COUNTIF(06а_Оценки!$A$4:$A$203,K29)=1,IFERROR(INDEX(06а_Оценки!$N$4:$N$203,MATCH(K29,06а_Оценки!$A$4:$A$203,0)),"")="READY",IFERROR(INDEX(06а_Оценки!$B$4:$B$203,MATCH(K29,06а_Оценки!$A$4:$A$203,0)),"")=C29,IFERROR(INDEX(06а_Оценки!$E$4:$E$203,MATCH(K29,06а_Оценки!$A$4:$A$203,0)),"")=J29)),O29&lt;&gt;"",COUNTIF(13_Источники!$A$4:$A$203,O29)=1,P29&lt;&gt;"",R29&lt;&gt;""),"READY","INCOMPLETE / LINK")))</f>
        <v>INCOMPLETE / LINK</v>
      </c>
      <c r="O29" s="4"/>
      <c r="P29" s="4"/>
      <c r="Q29" s="4" t="s">
        <v>565</v>
      </c>
      <c r="R29" s="4" t="s">
        <v>227</v>
      </c>
      <c r="S29" s="4"/>
      <c r="T29" s="4"/>
      <c r="U29" s="4"/>
      <c r="V29" s="4"/>
    </row>
    <row r="30" customFormat="false" ht="76.1" hidden="false" customHeight="false" outlineLevel="0" collapsed="false">
      <c r="A30" s="4" t="s">
        <v>591</v>
      </c>
      <c r="B30" s="4" t="s">
        <v>232</v>
      </c>
      <c r="C30" s="4"/>
      <c r="D30" s="6" t="s">
        <v>233</v>
      </c>
      <c r="E30" s="4"/>
      <c r="F30" s="4"/>
      <c r="G30" s="4"/>
      <c r="H30" s="4"/>
      <c r="I30" s="4"/>
      <c r="J30" s="4"/>
      <c r="K30" s="4"/>
      <c r="L30" s="7" t="str">
        <f aca="false">IF(N30="READY",IF(V30="KAC",IFERROR(INDEX(06_КАЦ!$R$4:$R$203,MATCH(K30,06_КАЦ!$A$4:$A$203,0)),""),IFERROR(INDEX(06а_Оценки!$F$4:$F$203,MATCH(K30,06а_Оценки!$A$4:$A$203,0)),"")),"")</f>
        <v/>
      </c>
      <c r="M30" s="7" t="str">
        <f aca="false">IF(N30="READY",ROUND(I30*L30,2),"")</f>
        <v/>
      </c>
      <c r="N30" s="5" t="str">
        <f aca="false">IF(A30="","",IF(Q30="NOT_APPLICABLE",IF(AND(COUNTIF(A$4:A$203,A30)=1,H30="OUTSIDE",R30&lt;&gt;"",O30&lt;&gt;"",COUNTIF(13_Источники!$A$4:$A$203,O30)=1),"NOT_APPLICABLE","INCOMPLETE / EXCLUSION"),IF(AND(COUNTIF(A$4:A$203,A30)=1,COUNTIF(02_WBS!$A$4:$A$200,B30)=1,C30&lt;&gt;"",COUNTIF(03_Пакеты!$A$4:$A$203,C30)=1,IFERROR(INDEX(03_Пакеты!$B$4:$B$203,MATCH(C30,03_Пакеты!$A$4:$A$203,0)),"")=B30,E30&lt;&gt;"",F30&lt;&gt;"",F30&lt;&gt;"UNKNOWN",G30&lt;&gt;"",G30&lt;&gt;"UNKNOWN",OR(H30="REMAINING",H30="SUNK",H30="OUTSIDE"),ISNUMBER(I30),I30&gt;=0,OR(AND(I30&gt;0,Q30="KNOWN"),AND(I30=0,Q30="ZERO_CONFIRMED")),J30&lt;&gt;"",K30&lt;&gt;"",OR(AND(V30="KAC",COUNTIF(06_КАЦ!$A$4:$A$203,K30)=1,IFERROR(INDEX(06_КАЦ!$V$4:$V$203,MATCH(K30,06_КАЦ!$A$4:$A$203,0)),"")="SELECTED_READY",IFERROR(INDEX(06_КАЦ!$D$4:$D$203,MATCH(K30,06_КАЦ!$A$4:$A$203,0)),"")=C30,IFERROR(INDEX(06_КАЦ!$F$4:$F$203,MATCH(K30,06_КАЦ!$A$4:$A$203,0)),"")=J30),AND(V30="DIRECT",COUNTIF(06а_Оценки!$A$4:$A$203,K30)=1,IFERROR(INDEX(06а_Оценки!$N$4:$N$203,MATCH(K30,06а_Оценки!$A$4:$A$203,0)),"")="READY",IFERROR(INDEX(06а_Оценки!$B$4:$B$203,MATCH(K30,06а_Оценки!$A$4:$A$203,0)),"")=C30,IFERROR(INDEX(06а_Оценки!$E$4:$E$203,MATCH(K30,06а_Оценки!$A$4:$A$203,0)),"")=J30)),O30&lt;&gt;"",COUNTIF(13_Источники!$A$4:$A$203,O30)=1,P30&lt;&gt;"",R30&lt;&gt;""),"READY","INCOMPLETE / LINK")))</f>
        <v>INCOMPLETE / LINK</v>
      </c>
      <c r="O30" s="4"/>
      <c r="P30" s="4"/>
      <c r="Q30" s="4" t="s">
        <v>565</v>
      </c>
      <c r="R30" s="4" t="s">
        <v>235</v>
      </c>
      <c r="S30" s="4"/>
      <c r="T30" s="4"/>
      <c r="U30" s="4"/>
      <c r="V30" s="4"/>
    </row>
    <row r="31" customFormat="false" ht="105.95" hidden="false" customHeight="false" outlineLevel="0" collapsed="false">
      <c r="A31" s="4" t="s">
        <v>592</v>
      </c>
      <c r="B31" s="4" t="s">
        <v>237</v>
      </c>
      <c r="C31" s="4"/>
      <c r="D31" s="6" t="s">
        <v>238</v>
      </c>
      <c r="E31" s="4"/>
      <c r="F31" s="4"/>
      <c r="G31" s="4"/>
      <c r="H31" s="4"/>
      <c r="I31" s="4"/>
      <c r="J31" s="4"/>
      <c r="K31" s="4"/>
      <c r="L31" s="7" t="str">
        <f aca="false">IF(N31="READY",IF(V31="KAC",IFERROR(INDEX(06_КАЦ!$R$4:$R$203,MATCH(K31,06_КАЦ!$A$4:$A$203,0)),""),IFERROR(INDEX(06а_Оценки!$F$4:$F$203,MATCH(K31,06а_Оценки!$A$4:$A$203,0)),"")),"")</f>
        <v/>
      </c>
      <c r="M31" s="7" t="str">
        <f aca="false">IF(N31="READY",ROUND(I31*L31,2),"")</f>
        <v/>
      </c>
      <c r="N31" s="5" t="str">
        <f aca="false">IF(A31="","",IF(Q31="NOT_APPLICABLE",IF(AND(COUNTIF(A$4:A$203,A31)=1,H31="OUTSIDE",R31&lt;&gt;"",O31&lt;&gt;"",COUNTIF(13_Источники!$A$4:$A$203,O31)=1),"NOT_APPLICABLE","INCOMPLETE / EXCLUSION"),IF(AND(COUNTIF(A$4:A$203,A31)=1,COUNTIF(02_WBS!$A$4:$A$200,B31)=1,C31&lt;&gt;"",COUNTIF(03_Пакеты!$A$4:$A$203,C31)=1,IFERROR(INDEX(03_Пакеты!$B$4:$B$203,MATCH(C31,03_Пакеты!$A$4:$A$203,0)),"")=B31,E31&lt;&gt;"",F31&lt;&gt;"",F31&lt;&gt;"UNKNOWN",G31&lt;&gt;"",G31&lt;&gt;"UNKNOWN",OR(H31="REMAINING",H31="SUNK",H31="OUTSIDE"),ISNUMBER(I31),I31&gt;=0,OR(AND(I31&gt;0,Q31="KNOWN"),AND(I31=0,Q31="ZERO_CONFIRMED")),J31&lt;&gt;"",K31&lt;&gt;"",OR(AND(V31="KAC",COUNTIF(06_КАЦ!$A$4:$A$203,K31)=1,IFERROR(INDEX(06_КАЦ!$V$4:$V$203,MATCH(K31,06_КАЦ!$A$4:$A$203,0)),"")="SELECTED_READY",IFERROR(INDEX(06_КАЦ!$D$4:$D$203,MATCH(K31,06_КАЦ!$A$4:$A$203,0)),"")=C31,IFERROR(INDEX(06_КАЦ!$F$4:$F$203,MATCH(K31,06_КАЦ!$A$4:$A$203,0)),"")=J31),AND(V31="DIRECT",COUNTIF(06а_Оценки!$A$4:$A$203,K31)=1,IFERROR(INDEX(06а_Оценки!$N$4:$N$203,MATCH(K31,06а_Оценки!$A$4:$A$203,0)),"")="READY",IFERROR(INDEX(06а_Оценки!$B$4:$B$203,MATCH(K31,06а_Оценки!$A$4:$A$203,0)),"")=C31,IFERROR(INDEX(06а_Оценки!$E$4:$E$203,MATCH(K31,06а_Оценки!$A$4:$A$203,0)),"")=J31)),O31&lt;&gt;"",COUNTIF(13_Источники!$A$4:$A$203,O31)=1,P31&lt;&gt;"",R31&lt;&gt;""),"READY","INCOMPLETE / LINK")))</f>
        <v>INCOMPLETE / LINK</v>
      </c>
      <c r="O31" s="4"/>
      <c r="P31" s="4"/>
      <c r="Q31" s="4" t="s">
        <v>565</v>
      </c>
      <c r="R31" s="4" t="s">
        <v>240</v>
      </c>
      <c r="S31" s="4"/>
      <c r="T31" s="4"/>
      <c r="U31" s="4"/>
      <c r="V31" s="4"/>
    </row>
    <row r="32" customFormat="false" ht="76.1" hidden="false" customHeight="false" outlineLevel="0" collapsed="false">
      <c r="A32" s="4" t="s">
        <v>593</v>
      </c>
      <c r="B32" s="4" t="s">
        <v>242</v>
      </c>
      <c r="C32" s="4"/>
      <c r="D32" s="6" t="s">
        <v>243</v>
      </c>
      <c r="E32" s="4"/>
      <c r="F32" s="4"/>
      <c r="G32" s="4"/>
      <c r="H32" s="4"/>
      <c r="I32" s="4"/>
      <c r="J32" s="4"/>
      <c r="K32" s="4"/>
      <c r="L32" s="7" t="str">
        <f aca="false">IF(N32="READY",IF(V32="KAC",IFERROR(INDEX(06_КАЦ!$R$4:$R$203,MATCH(K32,06_КАЦ!$A$4:$A$203,0)),""),IFERROR(INDEX(06а_Оценки!$F$4:$F$203,MATCH(K32,06а_Оценки!$A$4:$A$203,0)),"")),"")</f>
        <v/>
      </c>
      <c r="M32" s="7" t="str">
        <f aca="false">IF(N32="READY",ROUND(I32*L32,2),"")</f>
        <v/>
      </c>
      <c r="N32" s="5" t="str">
        <f aca="false">IF(A32="","",IF(Q32="NOT_APPLICABLE",IF(AND(COUNTIF(A$4:A$203,A32)=1,H32="OUTSIDE",R32&lt;&gt;"",O32&lt;&gt;"",COUNTIF(13_Источники!$A$4:$A$203,O32)=1),"NOT_APPLICABLE","INCOMPLETE / EXCLUSION"),IF(AND(COUNTIF(A$4:A$203,A32)=1,COUNTIF(02_WBS!$A$4:$A$200,B32)=1,C32&lt;&gt;"",COUNTIF(03_Пакеты!$A$4:$A$203,C32)=1,IFERROR(INDEX(03_Пакеты!$B$4:$B$203,MATCH(C32,03_Пакеты!$A$4:$A$203,0)),"")=B32,E32&lt;&gt;"",F32&lt;&gt;"",F32&lt;&gt;"UNKNOWN",G32&lt;&gt;"",G32&lt;&gt;"UNKNOWN",OR(H32="REMAINING",H32="SUNK",H32="OUTSIDE"),ISNUMBER(I32),I32&gt;=0,OR(AND(I32&gt;0,Q32="KNOWN"),AND(I32=0,Q32="ZERO_CONFIRMED")),J32&lt;&gt;"",K32&lt;&gt;"",OR(AND(V32="KAC",COUNTIF(06_КАЦ!$A$4:$A$203,K32)=1,IFERROR(INDEX(06_КАЦ!$V$4:$V$203,MATCH(K32,06_КАЦ!$A$4:$A$203,0)),"")="SELECTED_READY",IFERROR(INDEX(06_КАЦ!$D$4:$D$203,MATCH(K32,06_КАЦ!$A$4:$A$203,0)),"")=C32,IFERROR(INDEX(06_КАЦ!$F$4:$F$203,MATCH(K32,06_КАЦ!$A$4:$A$203,0)),"")=J32),AND(V32="DIRECT",COUNTIF(06а_Оценки!$A$4:$A$203,K32)=1,IFERROR(INDEX(06а_Оценки!$N$4:$N$203,MATCH(K32,06а_Оценки!$A$4:$A$203,0)),"")="READY",IFERROR(INDEX(06а_Оценки!$B$4:$B$203,MATCH(K32,06а_Оценки!$A$4:$A$203,0)),"")=C32,IFERROR(INDEX(06а_Оценки!$E$4:$E$203,MATCH(K32,06а_Оценки!$A$4:$A$203,0)),"")=J32)),O32&lt;&gt;"",COUNTIF(13_Источники!$A$4:$A$203,O32)=1,P32&lt;&gt;"",R32&lt;&gt;""),"READY","INCOMPLETE / LINK")))</f>
        <v>INCOMPLETE / LINK</v>
      </c>
      <c r="O32" s="4"/>
      <c r="P32" s="4"/>
      <c r="Q32" s="4" t="s">
        <v>565</v>
      </c>
      <c r="R32" s="4" t="s">
        <v>245</v>
      </c>
      <c r="S32" s="4"/>
      <c r="T32" s="4"/>
      <c r="U32" s="4"/>
      <c r="V32" s="4"/>
    </row>
    <row r="33" customFormat="false" ht="76.1" hidden="false" customHeight="false" outlineLevel="0" collapsed="false">
      <c r="A33" s="4" t="s">
        <v>594</v>
      </c>
      <c r="B33" s="4" t="s">
        <v>247</v>
      </c>
      <c r="C33" s="4"/>
      <c r="D33" s="6" t="s">
        <v>248</v>
      </c>
      <c r="E33" s="4"/>
      <c r="F33" s="4"/>
      <c r="G33" s="4"/>
      <c r="H33" s="4"/>
      <c r="I33" s="4"/>
      <c r="J33" s="4"/>
      <c r="K33" s="4"/>
      <c r="L33" s="7" t="str">
        <f aca="false">IF(N33="READY",IF(V33="KAC",IFERROR(INDEX(06_КАЦ!$R$4:$R$203,MATCH(K33,06_КАЦ!$A$4:$A$203,0)),""),IFERROR(INDEX(06а_Оценки!$F$4:$F$203,MATCH(K33,06а_Оценки!$A$4:$A$203,0)),"")),"")</f>
        <v/>
      </c>
      <c r="M33" s="7" t="str">
        <f aca="false">IF(N33="READY",ROUND(I33*L33,2),"")</f>
        <v/>
      </c>
      <c r="N33" s="5" t="str">
        <f aca="false">IF(A33="","",IF(Q33="NOT_APPLICABLE",IF(AND(COUNTIF(A$4:A$203,A33)=1,H33="OUTSIDE",R33&lt;&gt;"",O33&lt;&gt;"",COUNTIF(13_Источники!$A$4:$A$203,O33)=1),"NOT_APPLICABLE","INCOMPLETE / EXCLUSION"),IF(AND(COUNTIF(A$4:A$203,A33)=1,COUNTIF(02_WBS!$A$4:$A$200,B33)=1,C33&lt;&gt;"",COUNTIF(03_Пакеты!$A$4:$A$203,C33)=1,IFERROR(INDEX(03_Пакеты!$B$4:$B$203,MATCH(C33,03_Пакеты!$A$4:$A$203,0)),"")=B33,E33&lt;&gt;"",F33&lt;&gt;"",F33&lt;&gt;"UNKNOWN",G33&lt;&gt;"",G33&lt;&gt;"UNKNOWN",OR(H33="REMAINING",H33="SUNK",H33="OUTSIDE"),ISNUMBER(I33),I33&gt;=0,OR(AND(I33&gt;0,Q33="KNOWN"),AND(I33=0,Q33="ZERO_CONFIRMED")),J33&lt;&gt;"",K33&lt;&gt;"",OR(AND(V33="KAC",COUNTIF(06_КАЦ!$A$4:$A$203,K33)=1,IFERROR(INDEX(06_КАЦ!$V$4:$V$203,MATCH(K33,06_КАЦ!$A$4:$A$203,0)),"")="SELECTED_READY",IFERROR(INDEX(06_КАЦ!$D$4:$D$203,MATCH(K33,06_КАЦ!$A$4:$A$203,0)),"")=C33,IFERROR(INDEX(06_КАЦ!$F$4:$F$203,MATCH(K33,06_КАЦ!$A$4:$A$203,0)),"")=J33),AND(V33="DIRECT",COUNTIF(06а_Оценки!$A$4:$A$203,K33)=1,IFERROR(INDEX(06а_Оценки!$N$4:$N$203,MATCH(K33,06а_Оценки!$A$4:$A$203,0)),"")="READY",IFERROR(INDEX(06а_Оценки!$B$4:$B$203,MATCH(K33,06а_Оценки!$A$4:$A$203,0)),"")=C33,IFERROR(INDEX(06а_Оценки!$E$4:$E$203,MATCH(K33,06а_Оценки!$A$4:$A$203,0)),"")=J33)),O33&lt;&gt;"",COUNTIF(13_Источники!$A$4:$A$203,O33)=1,P33&lt;&gt;"",R33&lt;&gt;""),"READY","INCOMPLETE / LINK")))</f>
        <v>INCOMPLETE / LINK</v>
      </c>
      <c r="O33" s="4"/>
      <c r="P33" s="4"/>
      <c r="Q33" s="4" t="s">
        <v>565</v>
      </c>
      <c r="R33" s="4" t="s">
        <v>250</v>
      </c>
      <c r="S33" s="4"/>
      <c r="T33" s="4"/>
      <c r="U33" s="4"/>
      <c r="V33" s="4"/>
    </row>
    <row r="34" customFormat="false" ht="91" hidden="false" customHeight="false" outlineLevel="0" collapsed="false">
      <c r="A34" s="4" t="s">
        <v>595</v>
      </c>
      <c r="B34" s="4" t="s">
        <v>255</v>
      </c>
      <c r="C34" s="4"/>
      <c r="D34" s="6" t="s">
        <v>256</v>
      </c>
      <c r="E34" s="4"/>
      <c r="F34" s="4"/>
      <c r="G34" s="4"/>
      <c r="H34" s="4"/>
      <c r="I34" s="4"/>
      <c r="J34" s="4"/>
      <c r="K34" s="4"/>
      <c r="L34" s="7" t="str">
        <f aca="false">IF(N34="READY",IF(V34="KAC",IFERROR(INDEX(06_КАЦ!$R$4:$R$203,MATCH(K34,06_КАЦ!$A$4:$A$203,0)),""),IFERROR(INDEX(06а_Оценки!$F$4:$F$203,MATCH(K34,06а_Оценки!$A$4:$A$203,0)),"")),"")</f>
        <v/>
      </c>
      <c r="M34" s="7" t="str">
        <f aca="false">IF(N34="READY",ROUND(I34*L34,2),"")</f>
        <v/>
      </c>
      <c r="N34" s="5" t="str">
        <f aca="false">IF(A34="","",IF(Q34="NOT_APPLICABLE",IF(AND(COUNTIF(A$4:A$203,A34)=1,H34="OUTSIDE",R34&lt;&gt;"",O34&lt;&gt;"",COUNTIF(13_Источники!$A$4:$A$203,O34)=1),"NOT_APPLICABLE","INCOMPLETE / EXCLUSION"),IF(AND(COUNTIF(A$4:A$203,A34)=1,COUNTIF(02_WBS!$A$4:$A$200,B34)=1,C34&lt;&gt;"",COUNTIF(03_Пакеты!$A$4:$A$203,C34)=1,IFERROR(INDEX(03_Пакеты!$B$4:$B$203,MATCH(C34,03_Пакеты!$A$4:$A$203,0)),"")=B34,E34&lt;&gt;"",F34&lt;&gt;"",F34&lt;&gt;"UNKNOWN",G34&lt;&gt;"",G34&lt;&gt;"UNKNOWN",OR(H34="REMAINING",H34="SUNK",H34="OUTSIDE"),ISNUMBER(I34),I34&gt;=0,OR(AND(I34&gt;0,Q34="KNOWN"),AND(I34=0,Q34="ZERO_CONFIRMED")),J34&lt;&gt;"",K34&lt;&gt;"",OR(AND(V34="KAC",COUNTIF(06_КАЦ!$A$4:$A$203,K34)=1,IFERROR(INDEX(06_КАЦ!$V$4:$V$203,MATCH(K34,06_КАЦ!$A$4:$A$203,0)),"")="SELECTED_READY",IFERROR(INDEX(06_КАЦ!$D$4:$D$203,MATCH(K34,06_КАЦ!$A$4:$A$203,0)),"")=C34,IFERROR(INDEX(06_КАЦ!$F$4:$F$203,MATCH(K34,06_КАЦ!$A$4:$A$203,0)),"")=J34),AND(V34="DIRECT",COUNTIF(06а_Оценки!$A$4:$A$203,K34)=1,IFERROR(INDEX(06а_Оценки!$N$4:$N$203,MATCH(K34,06а_Оценки!$A$4:$A$203,0)),"")="READY",IFERROR(INDEX(06а_Оценки!$B$4:$B$203,MATCH(K34,06а_Оценки!$A$4:$A$203,0)),"")=C34,IFERROR(INDEX(06а_Оценки!$E$4:$E$203,MATCH(K34,06а_Оценки!$A$4:$A$203,0)),"")=J34)),O34&lt;&gt;"",COUNTIF(13_Источники!$A$4:$A$203,O34)=1,P34&lt;&gt;"",R34&lt;&gt;""),"READY","INCOMPLETE / LINK")))</f>
        <v>INCOMPLETE / LINK</v>
      </c>
      <c r="O34" s="4"/>
      <c r="P34" s="4"/>
      <c r="Q34" s="4" t="s">
        <v>565</v>
      </c>
      <c r="R34" s="4" t="s">
        <v>258</v>
      </c>
      <c r="S34" s="4"/>
      <c r="T34" s="4"/>
      <c r="U34" s="4"/>
      <c r="V34" s="4"/>
    </row>
    <row r="35" customFormat="false" ht="76.1" hidden="false" customHeight="false" outlineLevel="0" collapsed="false">
      <c r="A35" s="4" t="s">
        <v>596</v>
      </c>
      <c r="B35" s="4" t="s">
        <v>260</v>
      </c>
      <c r="C35" s="4"/>
      <c r="D35" s="6" t="s">
        <v>261</v>
      </c>
      <c r="E35" s="4"/>
      <c r="F35" s="4"/>
      <c r="G35" s="4"/>
      <c r="H35" s="4"/>
      <c r="I35" s="4"/>
      <c r="J35" s="4"/>
      <c r="K35" s="4"/>
      <c r="L35" s="7" t="str">
        <f aca="false">IF(N35="READY",IF(V35="KAC",IFERROR(INDEX(06_КАЦ!$R$4:$R$203,MATCH(K35,06_КАЦ!$A$4:$A$203,0)),""),IFERROR(INDEX(06а_Оценки!$F$4:$F$203,MATCH(K35,06а_Оценки!$A$4:$A$203,0)),"")),"")</f>
        <v/>
      </c>
      <c r="M35" s="7" t="str">
        <f aca="false">IF(N35="READY",ROUND(I35*L35,2),"")</f>
        <v/>
      </c>
      <c r="N35" s="5" t="str">
        <f aca="false">IF(A35="","",IF(Q35="NOT_APPLICABLE",IF(AND(COUNTIF(A$4:A$203,A35)=1,H35="OUTSIDE",R35&lt;&gt;"",O35&lt;&gt;"",COUNTIF(13_Источники!$A$4:$A$203,O35)=1),"NOT_APPLICABLE","INCOMPLETE / EXCLUSION"),IF(AND(COUNTIF(A$4:A$203,A35)=1,COUNTIF(02_WBS!$A$4:$A$200,B35)=1,C35&lt;&gt;"",COUNTIF(03_Пакеты!$A$4:$A$203,C35)=1,IFERROR(INDEX(03_Пакеты!$B$4:$B$203,MATCH(C35,03_Пакеты!$A$4:$A$203,0)),"")=B35,E35&lt;&gt;"",F35&lt;&gt;"",F35&lt;&gt;"UNKNOWN",G35&lt;&gt;"",G35&lt;&gt;"UNKNOWN",OR(H35="REMAINING",H35="SUNK",H35="OUTSIDE"),ISNUMBER(I35),I35&gt;=0,OR(AND(I35&gt;0,Q35="KNOWN"),AND(I35=0,Q35="ZERO_CONFIRMED")),J35&lt;&gt;"",K35&lt;&gt;"",OR(AND(V35="KAC",COUNTIF(06_КАЦ!$A$4:$A$203,K35)=1,IFERROR(INDEX(06_КАЦ!$V$4:$V$203,MATCH(K35,06_КАЦ!$A$4:$A$203,0)),"")="SELECTED_READY",IFERROR(INDEX(06_КАЦ!$D$4:$D$203,MATCH(K35,06_КАЦ!$A$4:$A$203,0)),"")=C35,IFERROR(INDEX(06_КАЦ!$F$4:$F$203,MATCH(K35,06_КАЦ!$A$4:$A$203,0)),"")=J35),AND(V35="DIRECT",COUNTIF(06а_Оценки!$A$4:$A$203,K35)=1,IFERROR(INDEX(06а_Оценки!$N$4:$N$203,MATCH(K35,06а_Оценки!$A$4:$A$203,0)),"")="READY",IFERROR(INDEX(06а_Оценки!$B$4:$B$203,MATCH(K35,06а_Оценки!$A$4:$A$203,0)),"")=C35,IFERROR(INDEX(06а_Оценки!$E$4:$E$203,MATCH(K35,06а_Оценки!$A$4:$A$203,0)),"")=J35)),O35&lt;&gt;"",COUNTIF(13_Источники!$A$4:$A$203,O35)=1,P35&lt;&gt;"",R35&lt;&gt;""),"READY","INCOMPLETE / LINK")))</f>
        <v>INCOMPLETE / LINK</v>
      </c>
      <c r="O35" s="4"/>
      <c r="P35" s="4"/>
      <c r="Q35" s="4" t="s">
        <v>565</v>
      </c>
      <c r="R35" s="4" t="s">
        <v>263</v>
      </c>
      <c r="S35" s="4"/>
      <c r="T35" s="4"/>
      <c r="U35" s="4"/>
      <c r="V35" s="4"/>
    </row>
    <row r="36" customFormat="false" ht="150.7" hidden="false" customHeight="false" outlineLevel="0" collapsed="false">
      <c r="A36" s="4" t="s">
        <v>597</v>
      </c>
      <c r="B36" s="4" t="s">
        <v>265</v>
      </c>
      <c r="C36" s="4"/>
      <c r="D36" s="6" t="s">
        <v>266</v>
      </c>
      <c r="E36" s="4"/>
      <c r="F36" s="4"/>
      <c r="G36" s="4"/>
      <c r="H36" s="4"/>
      <c r="I36" s="4"/>
      <c r="J36" s="4"/>
      <c r="K36" s="4"/>
      <c r="L36" s="7" t="str">
        <f aca="false">IF(N36="READY",IF(V36="KAC",IFERROR(INDEX(06_КАЦ!$R$4:$R$203,MATCH(K36,06_КАЦ!$A$4:$A$203,0)),""),IFERROR(INDEX(06а_Оценки!$F$4:$F$203,MATCH(K36,06а_Оценки!$A$4:$A$203,0)),"")),"")</f>
        <v/>
      </c>
      <c r="M36" s="7" t="str">
        <f aca="false">IF(N36="READY",ROUND(I36*L36,2),"")</f>
        <v/>
      </c>
      <c r="N36" s="5" t="str">
        <f aca="false">IF(A36="","",IF(Q36="NOT_APPLICABLE",IF(AND(COUNTIF(A$4:A$203,A36)=1,H36="OUTSIDE",R36&lt;&gt;"",O36&lt;&gt;"",COUNTIF(13_Источники!$A$4:$A$203,O36)=1),"NOT_APPLICABLE","INCOMPLETE / EXCLUSION"),IF(AND(COUNTIF(A$4:A$203,A36)=1,COUNTIF(02_WBS!$A$4:$A$200,B36)=1,C36&lt;&gt;"",COUNTIF(03_Пакеты!$A$4:$A$203,C36)=1,IFERROR(INDEX(03_Пакеты!$B$4:$B$203,MATCH(C36,03_Пакеты!$A$4:$A$203,0)),"")=B36,E36&lt;&gt;"",F36&lt;&gt;"",F36&lt;&gt;"UNKNOWN",G36&lt;&gt;"",G36&lt;&gt;"UNKNOWN",OR(H36="REMAINING",H36="SUNK",H36="OUTSIDE"),ISNUMBER(I36),I36&gt;=0,OR(AND(I36&gt;0,Q36="KNOWN"),AND(I36=0,Q36="ZERO_CONFIRMED")),J36&lt;&gt;"",K36&lt;&gt;"",OR(AND(V36="KAC",COUNTIF(06_КАЦ!$A$4:$A$203,K36)=1,IFERROR(INDEX(06_КАЦ!$V$4:$V$203,MATCH(K36,06_КАЦ!$A$4:$A$203,0)),"")="SELECTED_READY",IFERROR(INDEX(06_КАЦ!$D$4:$D$203,MATCH(K36,06_КАЦ!$A$4:$A$203,0)),"")=C36,IFERROR(INDEX(06_КАЦ!$F$4:$F$203,MATCH(K36,06_КАЦ!$A$4:$A$203,0)),"")=J36),AND(V36="DIRECT",COUNTIF(06а_Оценки!$A$4:$A$203,K36)=1,IFERROR(INDEX(06а_Оценки!$N$4:$N$203,MATCH(K36,06а_Оценки!$A$4:$A$203,0)),"")="READY",IFERROR(INDEX(06а_Оценки!$B$4:$B$203,MATCH(K36,06а_Оценки!$A$4:$A$203,0)),"")=C36,IFERROR(INDEX(06а_Оценки!$E$4:$E$203,MATCH(K36,06а_Оценки!$A$4:$A$203,0)),"")=J36)),O36&lt;&gt;"",COUNTIF(13_Источники!$A$4:$A$203,O36)=1,P36&lt;&gt;"",R36&lt;&gt;""),"READY","INCOMPLETE / LINK")))</f>
        <v>INCOMPLETE / LINK</v>
      </c>
      <c r="O36" s="4"/>
      <c r="P36" s="4"/>
      <c r="Q36" s="4" t="s">
        <v>565</v>
      </c>
      <c r="R36" s="4" t="s">
        <v>268</v>
      </c>
      <c r="S36" s="4"/>
      <c r="T36" s="4"/>
      <c r="U36" s="4"/>
      <c r="V36" s="4"/>
    </row>
    <row r="37" customFormat="false" ht="76.1" hidden="false" customHeight="false" outlineLevel="0" collapsed="false">
      <c r="A37" s="4" t="s">
        <v>598</v>
      </c>
      <c r="B37" s="4" t="s">
        <v>270</v>
      </c>
      <c r="C37" s="4"/>
      <c r="D37" s="6" t="s">
        <v>271</v>
      </c>
      <c r="E37" s="4"/>
      <c r="F37" s="4"/>
      <c r="G37" s="4"/>
      <c r="H37" s="4"/>
      <c r="I37" s="4"/>
      <c r="J37" s="4"/>
      <c r="K37" s="4"/>
      <c r="L37" s="7" t="str">
        <f aca="false">IF(N37="READY",IF(V37="KAC",IFERROR(INDEX(06_КАЦ!$R$4:$R$203,MATCH(K37,06_КАЦ!$A$4:$A$203,0)),""),IFERROR(INDEX(06а_Оценки!$F$4:$F$203,MATCH(K37,06а_Оценки!$A$4:$A$203,0)),"")),"")</f>
        <v/>
      </c>
      <c r="M37" s="7" t="str">
        <f aca="false">IF(N37="READY",ROUND(I37*L37,2),"")</f>
        <v/>
      </c>
      <c r="N37" s="5" t="str">
        <f aca="false">IF(A37="","",IF(Q37="NOT_APPLICABLE",IF(AND(COUNTIF(A$4:A$203,A37)=1,H37="OUTSIDE",R37&lt;&gt;"",O37&lt;&gt;"",COUNTIF(13_Источники!$A$4:$A$203,O37)=1),"NOT_APPLICABLE","INCOMPLETE / EXCLUSION"),IF(AND(COUNTIF(A$4:A$203,A37)=1,COUNTIF(02_WBS!$A$4:$A$200,B37)=1,C37&lt;&gt;"",COUNTIF(03_Пакеты!$A$4:$A$203,C37)=1,IFERROR(INDEX(03_Пакеты!$B$4:$B$203,MATCH(C37,03_Пакеты!$A$4:$A$203,0)),"")=B37,E37&lt;&gt;"",F37&lt;&gt;"",F37&lt;&gt;"UNKNOWN",G37&lt;&gt;"",G37&lt;&gt;"UNKNOWN",OR(H37="REMAINING",H37="SUNK",H37="OUTSIDE"),ISNUMBER(I37),I37&gt;=0,OR(AND(I37&gt;0,Q37="KNOWN"),AND(I37=0,Q37="ZERO_CONFIRMED")),J37&lt;&gt;"",K37&lt;&gt;"",OR(AND(V37="KAC",COUNTIF(06_КАЦ!$A$4:$A$203,K37)=1,IFERROR(INDEX(06_КАЦ!$V$4:$V$203,MATCH(K37,06_КАЦ!$A$4:$A$203,0)),"")="SELECTED_READY",IFERROR(INDEX(06_КАЦ!$D$4:$D$203,MATCH(K37,06_КАЦ!$A$4:$A$203,0)),"")=C37,IFERROR(INDEX(06_КАЦ!$F$4:$F$203,MATCH(K37,06_КАЦ!$A$4:$A$203,0)),"")=J37),AND(V37="DIRECT",COUNTIF(06а_Оценки!$A$4:$A$203,K37)=1,IFERROR(INDEX(06а_Оценки!$N$4:$N$203,MATCH(K37,06а_Оценки!$A$4:$A$203,0)),"")="READY",IFERROR(INDEX(06а_Оценки!$B$4:$B$203,MATCH(K37,06а_Оценки!$A$4:$A$203,0)),"")=C37,IFERROR(INDEX(06а_Оценки!$E$4:$E$203,MATCH(K37,06а_Оценки!$A$4:$A$203,0)),"")=J37)),O37&lt;&gt;"",COUNTIF(13_Источники!$A$4:$A$203,O37)=1,P37&lt;&gt;"",R37&lt;&gt;""),"READY","INCOMPLETE / LINK")))</f>
        <v>INCOMPLETE / LINK</v>
      </c>
      <c r="O37" s="4"/>
      <c r="P37" s="4"/>
      <c r="Q37" s="4" t="s">
        <v>565</v>
      </c>
      <c r="R37" s="4" t="s">
        <v>273</v>
      </c>
      <c r="S37" s="4"/>
      <c r="T37" s="4"/>
      <c r="U37" s="4"/>
      <c r="V37" s="4"/>
    </row>
    <row r="38" customFormat="false" ht="91" hidden="false" customHeight="false" outlineLevel="0" collapsed="false">
      <c r="A38" s="4" t="s">
        <v>599</v>
      </c>
      <c r="B38" s="4" t="s">
        <v>275</v>
      </c>
      <c r="C38" s="4"/>
      <c r="D38" s="6" t="s">
        <v>276</v>
      </c>
      <c r="E38" s="4"/>
      <c r="F38" s="4"/>
      <c r="G38" s="4"/>
      <c r="H38" s="4"/>
      <c r="I38" s="4"/>
      <c r="J38" s="4"/>
      <c r="K38" s="4"/>
      <c r="L38" s="7" t="str">
        <f aca="false">IF(N38="READY",IF(V38="KAC",IFERROR(INDEX(06_КАЦ!$R$4:$R$203,MATCH(K38,06_КАЦ!$A$4:$A$203,0)),""),IFERROR(INDEX(06а_Оценки!$F$4:$F$203,MATCH(K38,06а_Оценки!$A$4:$A$203,0)),"")),"")</f>
        <v/>
      </c>
      <c r="M38" s="7" t="str">
        <f aca="false">IF(N38="READY",ROUND(I38*L38,2),"")</f>
        <v/>
      </c>
      <c r="N38" s="5" t="str">
        <f aca="false">IF(A38="","",IF(Q38="NOT_APPLICABLE",IF(AND(COUNTIF(A$4:A$203,A38)=1,H38="OUTSIDE",R38&lt;&gt;"",O38&lt;&gt;"",COUNTIF(13_Источники!$A$4:$A$203,O38)=1),"NOT_APPLICABLE","INCOMPLETE / EXCLUSION"),IF(AND(COUNTIF(A$4:A$203,A38)=1,COUNTIF(02_WBS!$A$4:$A$200,B38)=1,C38&lt;&gt;"",COUNTIF(03_Пакеты!$A$4:$A$203,C38)=1,IFERROR(INDEX(03_Пакеты!$B$4:$B$203,MATCH(C38,03_Пакеты!$A$4:$A$203,0)),"")=B38,E38&lt;&gt;"",F38&lt;&gt;"",F38&lt;&gt;"UNKNOWN",G38&lt;&gt;"",G38&lt;&gt;"UNKNOWN",OR(H38="REMAINING",H38="SUNK",H38="OUTSIDE"),ISNUMBER(I38),I38&gt;=0,OR(AND(I38&gt;0,Q38="KNOWN"),AND(I38=0,Q38="ZERO_CONFIRMED")),J38&lt;&gt;"",K38&lt;&gt;"",OR(AND(V38="KAC",COUNTIF(06_КАЦ!$A$4:$A$203,K38)=1,IFERROR(INDEX(06_КАЦ!$V$4:$V$203,MATCH(K38,06_КАЦ!$A$4:$A$203,0)),"")="SELECTED_READY",IFERROR(INDEX(06_КАЦ!$D$4:$D$203,MATCH(K38,06_КАЦ!$A$4:$A$203,0)),"")=C38,IFERROR(INDEX(06_КАЦ!$F$4:$F$203,MATCH(K38,06_КАЦ!$A$4:$A$203,0)),"")=J38),AND(V38="DIRECT",COUNTIF(06а_Оценки!$A$4:$A$203,K38)=1,IFERROR(INDEX(06а_Оценки!$N$4:$N$203,MATCH(K38,06а_Оценки!$A$4:$A$203,0)),"")="READY",IFERROR(INDEX(06а_Оценки!$B$4:$B$203,MATCH(K38,06а_Оценки!$A$4:$A$203,0)),"")=C38,IFERROR(INDEX(06а_Оценки!$E$4:$E$203,MATCH(K38,06а_Оценки!$A$4:$A$203,0)),"")=J38)),O38&lt;&gt;"",COUNTIF(13_Источники!$A$4:$A$203,O38)=1,P38&lt;&gt;"",R38&lt;&gt;""),"READY","INCOMPLETE / LINK")))</f>
        <v>INCOMPLETE / LINK</v>
      </c>
      <c r="O38" s="4"/>
      <c r="P38" s="4"/>
      <c r="Q38" s="4" t="s">
        <v>565</v>
      </c>
      <c r="R38" s="4" t="s">
        <v>278</v>
      </c>
      <c r="S38" s="4"/>
      <c r="T38" s="4"/>
      <c r="U38" s="4"/>
      <c r="V38" s="4"/>
    </row>
    <row r="39" customFormat="false" ht="105.95" hidden="false" customHeight="false" outlineLevel="0" collapsed="false">
      <c r="A39" s="4" t="s">
        <v>600</v>
      </c>
      <c r="B39" s="4" t="s">
        <v>280</v>
      </c>
      <c r="C39" s="4"/>
      <c r="D39" s="6" t="s">
        <v>281</v>
      </c>
      <c r="E39" s="4"/>
      <c r="F39" s="4"/>
      <c r="G39" s="4"/>
      <c r="H39" s="4"/>
      <c r="I39" s="4"/>
      <c r="J39" s="4"/>
      <c r="K39" s="4"/>
      <c r="L39" s="7" t="str">
        <f aca="false">IF(N39="READY",IF(V39="KAC",IFERROR(INDEX(06_КАЦ!$R$4:$R$203,MATCH(K39,06_КАЦ!$A$4:$A$203,0)),""),IFERROR(INDEX(06а_Оценки!$F$4:$F$203,MATCH(K39,06а_Оценки!$A$4:$A$203,0)),"")),"")</f>
        <v/>
      </c>
      <c r="M39" s="7" t="str">
        <f aca="false">IF(N39="READY",ROUND(I39*L39,2),"")</f>
        <v/>
      </c>
      <c r="N39" s="5" t="str">
        <f aca="false">IF(A39="","",IF(Q39="NOT_APPLICABLE",IF(AND(COUNTIF(A$4:A$203,A39)=1,H39="OUTSIDE",R39&lt;&gt;"",O39&lt;&gt;"",COUNTIF(13_Источники!$A$4:$A$203,O39)=1),"NOT_APPLICABLE","INCOMPLETE / EXCLUSION"),IF(AND(COUNTIF(A$4:A$203,A39)=1,COUNTIF(02_WBS!$A$4:$A$200,B39)=1,C39&lt;&gt;"",COUNTIF(03_Пакеты!$A$4:$A$203,C39)=1,IFERROR(INDEX(03_Пакеты!$B$4:$B$203,MATCH(C39,03_Пакеты!$A$4:$A$203,0)),"")=B39,E39&lt;&gt;"",F39&lt;&gt;"",F39&lt;&gt;"UNKNOWN",G39&lt;&gt;"",G39&lt;&gt;"UNKNOWN",OR(H39="REMAINING",H39="SUNK",H39="OUTSIDE"),ISNUMBER(I39),I39&gt;=0,OR(AND(I39&gt;0,Q39="KNOWN"),AND(I39=0,Q39="ZERO_CONFIRMED")),J39&lt;&gt;"",K39&lt;&gt;"",OR(AND(V39="KAC",COUNTIF(06_КАЦ!$A$4:$A$203,K39)=1,IFERROR(INDEX(06_КАЦ!$V$4:$V$203,MATCH(K39,06_КАЦ!$A$4:$A$203,0)),"")="SELECTED_READY",IFERROR(INDEX(06_КАЦ!$D$4:$D$203,MATCH(K39,06_КАЦ!$A$4:$A$203,0)),"")=C39,IFERROR(INDEX(06_КАЦ!$F$4:$F$203,MATCH(K39,06_КАЦ!$A$4:$A$203,0)),"")=J39),AND(V39="DIRECT",COUNTIF(06а_Оценки!$A$4:$A$203,K39)=1,IFERROR(INDEX(06а_Оценки!$N$4:$N$203,MATCH(K39,06а_Оценки!$A$4:$A$203,0)),"")="READY",IFERROR(INDEX(06а_Оценки!$B$4:$B$203,MATCH(K39,06а_Оценки!$A$4:$A$203,0)),"")=C39,IFERROR(INDEX(06а_Оценки!$E$4:$E$203,MATCH(K39,06а_Оценки!$A$4:$A$203,0)),"")=J39)),O39&lt;&gt;"",COUNTIF(13_Источники!$A$4:$A$203,O39)=1,P39&lt;&gt;"",R39&lt;&gt;""),"READY","INCOMPLETE / LINK")))</f>
        <v>INCOMPLETE / LINK</v>
      </c>
      <c r="O39" s="4"/>
      <c r="P39" s="4"/>
      <c r="Q39" s="4" t="s">
        <v>565</v>
      </c>
      <c r="R39" s="4" t="s">
        <v>283</v>
      </c>
      <c r="S39" s="4"/>
      <c r="T39" s="4"/>
      <c r="U39" s="4"/>
      <c r="V39" s="4"/>
    </row>
    <row r="40" customFormat="false" ht="91" hidden="false" customHeight="false" outlineLevel="0" collapsed="false">
      <c r="A40" s="4" t="s">
        <v>601</v>
      </c>
      <c r="B40" s="4" t="s">
        <v>285</v>
      </c>
      <c r="C40" s="4"/>
      <c r="D40" s="6" t="s">
        <v>286</v>
      </c>
      <c r="E40" s="4"/>
      <c r="F40" s="4"/>
      <c r="G40" s="4"/>
      <c r="H40" s="4"/>
      <c r="I40" s="4"/>
      <c r="J40" s="4"/>
      <c r="K40" s="4"/>
      <c r="L40" s="7" t="str">
        <f aca="false">IF(N40="READY",IF(V40="KAC",IFERROR(INDEX(06_КАЦ!$R$4:$R$203,MATCH(K40,06_КАЦ!$A$4:$A$203,0)),""),IFERROR(INDEX(06а_Оценки!$F$4:$F$203,MATCH(K40,06а_Оценки!$A$4:$A$203,0)),"")),"")</f>
        <v/>
      </c>
      <c r="M40" s="7" t="str">
        <f aca="false">IF(N40="READY",ROUND(I40*L40,2),"")</f>
        <v/>
      </c>
      <c r="N40" s="5" t="str">
        <f aca="false">IF(A40="","",IF(Q40="NOT_APPLICABLE",IF(AND(COUNTIF(A$4:A$203,A40)=1,H40="OUTSIDE",R40&lt;&gt;"",O40&lt;&gt;"",COUNTIF(13_Источники!$A$4:$A$203,O40)=1),"NOT_APPLICABLE","INCOMPLETE / EXCLUSION"),IF(AND(COUNTIF(A$4:A$203,A40)=1,COUNTIF(02_WBS!$A$4:$A$200,B40)=1,C40&lt;&gt;"",COUNTIF(03_Пакеты!$A$4:$A$203,C40)=1,IFERROR(INDEX(03_Пакеты!$B$4:$B$203,MATCH(C40,03_Пакеты!$A$4:$A$203,0)),"")=B40,E40&lt;&gt;"",F40&lt;&gt;"",F40&lt;&gt;"UNKNOWN",G40&lt;&gt;"",G40&lt;&gt;"UNKNOWN",OR(H40="REMAINING",H40="SUNK",H40="OUTSIDE"),ISNUMBER(I40),I40&gt;=0,OR(AND(I40&gt;0,Q40="KNOWN"),AND(I40=0,Q40="ZERO_CONFIRMED")),J40&lt;&gt;"",K40&lt;&gt;"",OR(AND(V40="KAC",COUNTIF(06_КАЦ!$A$4:$A$203,K40)=1,IFERROR(INDEX(06_КАЦ!$V$4:$V$203,MATCH(K40,06_КАЦ!$A$4:$A$203,0)),"")="SELECTED_READY",IFERROR(INDEX(06_КАЦ!$D$4:$D$203,MATCH(K40,06_КАЦ!$A$4:$A$203,0)),"")=C40,IFERROR(INDEX(06_КАЦ!$F$4:$F$203,MATCH(K40,06_КАЦ!$A$4:$A$203,0)),"")=J40),AND(V40="DIRECT",COUNTIF(06а_Оценки!$A$4:$A$203,K40)=1,IFERROR(INDEX(06а_Оценки!$N$4:$N$203,MATCH(K40,06а_Оценки!$A$4:$A$203,0)),"")="READY",IFERROR(INDEX(06а_Оценки!$B$4:$B$203,MATCH(K40,06а_Оценки!$A$4:$A$203,0)),"")=C40,IFERROR(INDEX(06а_Оценки!$E$4:$E$203,MATCH(K40,06а_Оценки!$A$4:$A$203,0)),"")=J40)),O40&lt;&gt;"",COUNTIF(13_Источники!$A$4:$A$203,O40)=1,P40&lt;&gt;"",R40&lt;&gt;""),"READY","INCOMPLETE / LINK")))</f>
        <v>INCOMPLETE / LINK</v>
      </c>
      <c r="O40" s="4"/>
      <c r="P40" s="4"/>
      <c r="Q40" s="4" t="s">
        <v>565</v>
      </c>
      <c r="R40" s="4" t="s">
        <v>288</v>
      </c>
      <c r="S40" s="4"/>
      <c r="T40" s="4"/>
      <c r="U40" s="4"/>
      <c r="V40" s="4"/>
    </row>
    <row r="41" customFormat="false" ht="120.85" hidden="false" customHeight="false" outlineLevel="0" collapsed="false">
      <c r="A41" s="4" t="s">
        <v>602</v>
      </c>
      <c r="B41" s="4" t="s">
        <v>290</v>
      </c>
      <c r="C41" s="4"/>
      <c r="D41" s="6" t="s">
        <v>291</v>
      </c>
      <c r="E41" s="4"/>
      <c r="F41" s="4"/>
      <c r="G41" s="4"/>
      <c r="H41" s="4"/>
      <c r="I41" s="4"/>
      <c r="J41" s="4"/>
      <c r="K41" s="4"/>
      <c r="L41" s="7" t="str">
        <f aca="false">IF(N41="READY",IF(V41="KAC",IFERROR(INDEX(06_КАЦ!$R$4:$R$203,MATCH(K41,06_КАЦ!$A$4:$A$203,0)),""),IFERROR(INDEX(06а_Оценки!$F$4:$F$203,MATCH(K41,06а_Оценки!$A$4:$A$203,0)),"")),"")</f>
        <v/>
      </c>
      <c r="M41" s="7" t="str">
        <f aca="false">IF(N41="READY",ROUND(I41*L41,2),"")</f>
        <v/>
      </c>
      <c r="N41" s="5" t="str">
        <f aca="false">IF(A41="","",IF(Q41="NOT_APPLICABLE",IF(AND(COUNTIF(A$4:A$203,A41)=1,H41="OUTSIDE",R41&lt;&gt;"",O41&lt;&gt;"",COUNTIF(13_Источники!$A$4:$A$203,O41)=1),"NOT_APPLICABLE","INCOMPLETE / EXCLUSION"),IF(AND(COUNTIF(A$4:A$203,A41)=1,COUNTIF(02_WBS!$A$4:$A$200,B41)=1,C41&lt;&gt;"",COUNTIF(03_Пакеты!$A$4:$A$203,C41)=1,IFERROR(INDEX(03_Пакеты!$B$4:$B$203,MATCH(C41,03_Пакеты!$A$4:$A$203,0)),"")=B41,E41&lt;&gt;"",F41&lt;&gt;"",F41&lt;&gt;"UNKNOWN",G41&lt;&gt;"",G41&lt;&gt;"UNKNOWN",OR(H41="REMAINING",H41="SUNK",H41="OUTSIDE"),ISNUMBER(I41),I41&gt;=0,OR(AND(I41&gt;0,Q41="KNOWN"),AND(I41=0,Q41="ZERO_CONFIRMED")),J41&lt;&gt;"",K41&lt;&gt;"",OR(AND(V41="KAC",COUNTIF(06_КАЦ!$A$4:$A$203,K41)=1,IFERROR(INDEX(06_КАЦ!$V$4:$V$203,MATCH(K41,06_КАЦ!$A$4:$A$203,0)),"")="SELECTED_READY",IFERROR(INDEX(06_КАЦ!$D$4:$D$203,MATCH(K41,06_КАЦ!$A$4:$A$203,0)),"")=C41,IFERROR(INDEX(06_КАЦ!$F$4:$F$203,MATCH(K41,06_КАЦ!$A$4:$A$203,0)),"")=J41),AND(V41="DIRECT",COUNTIF(06а_Оценки!$A$4:$A$203,K41)=1,IFERROR(INDEX(06а_Оценки!$N$4:$N$203,MATCH(K41,06а_Оценки!$A$4:$A$203,0)),"")="READY",IFERROR(INDEX(06а_Оценки!$B$4:$B$203,MATCH(K41,06а_Оценки!$A$4:$A$203,0)),"")=C41,IFERROR(INDEX(06а_Оценки!$E$4:$E$203,MATCH(K41,06а_Оценки!$A$4:$A$203,0)),"")=J41)),O41&lt;&gt;"",COUNTIF(13_Источники!$A$4:$A$203,O41)=1,P41&lt;&gt;"",R41&lt;&gt;""),"READY","INCOMPLETE / LINK")))</f>
        <v>INCOMPLETE / LINK</v>
      </c>
      <c r="O41" s="4"/>
      <c r="P41" s="4"/>
      <c r="Q41" s="4" t="s">
        <v>565</v>
      </c>
      <c r="R41" s="4" t="s">
        <v>293</v>
      </c>
      <c r="S41" s="4"/>
      <c r="T41" s="4"/>
      <c r="U41" s="4"/>
      <c r="V41" s="4"/>
    </row>
    <row r="42" customFormat="false" ht="91" hidden="false" customHeight="false" outlineLevel="0" collapsed="false">
      <c r="A42" s="4" t="s">
        <v>603</v>
      </c>
      <c r="B42" s="4" t="s">
        <v>295</v>
      </c>
      <c r="C42" s="4"/>
      <c r="D42" s="6" t="s">
        <v>296</v>
      </c>
      <c r="E42" s="4"/>
      <c r="F42" s="4"/>
      <c r="G42" s="4"/>
      <c r="H42" s="4"/>
      <c r="I42" s="4"/>
      <c r="J42" s="4"/>
      <c r="K42" s="4"/>
      <c r="L42" s="7" t="str">
        <f aca="false">IF(N42="READY",IF(V42="KAC",IFERROR(INDEX(06_КАЦ!$R$4:$R$203,MATCH(K42,06_КАЦ!$A$4:$A$203,0)),""),IFERROR(INDEX(06а_Оценки!$F$4:$F$203,MATCH(K42,06а_Оценки!$A$4:$A$203,0)),"")),"")</f>
        <v/>
      </c>
      <c r="M42" s="7" t="str">
        <f aca="false">IF(N42="READY",ROUND(I42*L42,2),"")</f>
        <v/>
      </c>
      <c r="N42" s="5" t="str">
        <f aca="false">IF(A42="","",IF(Q42="NOT_APPLICABLE",IF(AND(COUNTIF(A$4:A$203,A42)=1,H42="OUTSIDE",R42&lt;&gt;"",O42&lt;&gt;"",COUNTIF(13_Источники!$A$4:$A$203,O42)=1),"NOT_APPLICABLE","INCOMPLETE / EXCLUSION"),IF(AND(COUNTIF(A$4:A$203,A42)=1,COUNTIF(02_WBS!$A$4:$A$200,B42)=1,C42&lt;&gt;"",COUNTIF(03_Пакеты!$A$4:$A$203,C42)=1,IFERROR(INDEX(03_Пакеты!$B$4:$B$203,MATCH(C42,03_Пакеты!$A$4:$A$203,0)),"")=B42,E42&lt;&gt;"",F42&lt;&gt;"",F42&lt;&gt;"UNKNOWN",G42&lt;&gt;"",G42&lt;&gt;"UNKNOWN",OR(H42="REMAINING",H42="SUNK",H42="OUTSIDE"),ISNUMBER(I42),I42&gt;=0,OR(AND(I42&gt;0,Q42="KNOWN"),AND(I42=0,Q42="ZERO_CONFIRMED")),J42&lt;&gt;"",K42&lt;&gt;"",OR(AND(V42="KAC",COUNTIF(06_КАЦ!$A$4:$A$203,K42)=1,IFERROR(INDEX(06_КАЦ!$V$4:$V$203,MATCH(K42,06_КАЦ!$A$4:$A$203,0)),"")="SELECTED_READY",IFERROR(INDEX(06_КАЦ!$D$4:$D$203,MATCH(K42,06_КАЦ!$A$4:$A$203,0)),"")=C42,IFERROR(INDEX(06_КАЦ!$F$4:$F$203,MATCH(K42,06_КАЦ!$A$4:$A$203,0)),"")=J42),AND(V42="DIRECT",COUNTIF(06а_Оценки!$A$4:$A$203,K42)=1,IFERROR(INDEX(06а_Оценки!$N$4:$N$203,MATCH(K42,06а_Оценки!$A$4:$A$203,0)),"")="READY",IFERROR(INDEX(06а_Оценки!$B$4:$B$203,MATCH(K42,06а_Оценки!$A$4:$A$203,0)),"")=C42,IFERROR(INDEX(06а_Оценки!$E$4:$E$203,MATCH(K42,06а_Оценки!$A$4:$A$203,0)),"")=J42)),O42&lt;&gt;"",COUNTIF(13_Источники!$A$4:$A$203,O42)=1,P42&lt;&gt;"",R42&lt;&gt;""),"READY","INCOMPLETE / LINK")))</f>
        <v>INCOMPLETE / LINK</v>
      </c>
      <c r="O42" s="4"/>
      <c r="P42" s="4"/>
      <c r="Q42" s="4" t="s">
        <v>565</v>
      </c>
      <c r="R42" s="4" t="s">
        <v>298</v>
      </c>
      <c r="S42" s="4"/>
      <c r="T42" s="4"/>
      <c r="U42" s="4"/>
      <c r="V42" s="4"/>
    </row>
    <row r="43" customFormat="false" ht="91" hidden="false" customHeight="false" outlineLevel="0" collapsed="false">
      <c r="A43" s="4" t="s">
        <v>604</v>
      </c>
      <c r="B43" s="4" t="s">
        <v>300</v>
      </c>
      <c r="C43" s="4"/>
      <c r="D43" s="6" t="s">
        <v>301</v>
      </c>
      <c r="E43" s="4"/>
      <c r="F43" s="4"/>
      <c r="G43" s="4"/>
      <c r="H43" s="4"/>
      <c r="I43" s="4"/>
      <c r="J43" s="4"/>
      <c r="K43" s="4"/>
      <c r="L43" s="7" t="str">
        <f aca="false">IF(N43="READY",IF(V43="KAC",IFERROR(INDEX(06_КАЦ!$R$4:$R$203,MATCH(K43,06_КАЦ!$A$4:$A$203,0)),""),IFERROR(INDEX(06а_Оценки!$F$4:$F$203,MATCH(K43,06а_Оценки!$A$4:$A$203,0)),"")),"")</f>
        <v/>
      </c>
      <c r="M43" s="7" t="str">
        <f aca="false">IF(N43="READY",ROUND(I43*L43,2),"")</f>
        <v/>
      </c>
      <c r="N43" s="5" t="str">
        <f aca="false">IF(A43="","",IF(Q43="NOT_APPLICABLE",IF(AND(COUNTIF(A$4:A$203,A43)=1,H43="OUTSIDE",R43&lt;&gt;"",O43&lt;&gt;"",COUNTIF(13_Источники!$A$4:$A$203,O43)=1),"NOT_APPLICABLE","INCOMPLETE / EXCLUSION"),IF(AND(COUNTIF(A$4:A$203,A43)=1,COUNTIF(02_WBS!$A$4:$A$200,B43)=1,C43&lt;&gt;"",COUNTIF(03_Пакеты!$A$4:$A$203,C43)=1,IFERROR(INDEX(03_Пакеты!$B$4:$B$203,MATCH(C43,03_Пакеты!$A$4:$A$203,0)),"")=B43,E43&lt;&gt;"",F43&lt;&gt;"",F43&lt;&gt;"UNKNOWN",G43&lt;&gt;"",G43&lt;&gt;"UNKNOWN",OR(H43="REMAINING",H43="SUNK",H43="OUTSIDE"),ISNUMBER(I43),I43&gt;=0,OR(AND(I43&gt;0,Q43="KNOWN"),AND(I43=0,Q43="ZERO_CONFIRMED")),J43&lt;&gt;"",K43&lt;&gt;"",OR(AND(V43="KAC",COUNTIF(06_КАЦ!$A$4:$A$203,K43)=1,IFERROR(INDEX(06_КАЦ!$V$4:$V$203,MATCH(K43,06_КАЦ!$A$4:$A$203,0)),"")="SELECTED_READY",IFERROR(INDEX(06_КАЦ!$D$4:$D$203,MATCH(K43,06_КАЦ!$A$4:$A$203,0)),"")=C43,IFERROR(INDEX(06_КАЦ!$F$4:$F$203,MATCH(K43,06_КАЦ!$A$4:$A$203,0)),"")=J43),AND(V43="DIRECT",COUNTIF(06а_Оценки!$A$4:$A$203,K43)=1,IFERROR(INDEX(06а_Оценки!$N$4:$N$203,MATCH(K43,06а_Оценки!$A$4:$A$203,0)),"")="READY",IFERROR(INDEX(06а_Оценки!$B$4:$B$203,MATCH(K43,06а_Оценки!$A$4:$A$203,0)),"")=C43,IFERROR(INDEX(06а_Оценки!$E$4:$E$203,MATCH(K43,06а_Оценки!$A$4:$A$203,0)),"")=J43)),O43&lt;&gt;"",COUNTIF(13_Источники!$A$4:$A$203,O43)=1,P43&lt;&gt;"",R43&lt;&gt;""),"READY","INCOMPLETE / LINK")))</f>
        <v>INCOMPLETE / LINK</v>
      </c>
      <c r="O43" s="4"/>
      <c r="P43" s="4"/>
      <c r="Q43" s="4" t="s">
        <v>565</v>
      </c>
      <c r="R43" s="4" t="s">
        <v>303</v>
      </c>
      <c r="S43" s="4"/>
      <c r="T43" s="4"/>
      <c r="U43" s="4"/>
      <c r="V43" s="4"/>
    </row>
    <row r="44" customFormat="false" ht="180.55" hidden="false" customHeight="false" outlineLevel="0" collapsed="false">
      <c r="A44" s="4" t="s">
        <v>605</v>
      </c>
      <c r="B44" s="4" t="s">
        <v>308</v>
      </c>
      <c r="C44" s="4"/>
      <c r="D44" s="6" t="s">
        <v>309</v>
      </c>
      <c r="E44" s="4"/>
      <c r="F44" s="4"/>
      <c r="G44" s="4"/>
      <c r="H44" s="4"/>
      <c r="I44" s="4"/>
      <c r="J44" s="4"/>
      <c r="K44" s="4"/>
      <c r="L44" s="7" t="str">
        <f aca="false">IF(N44="READY",IF(V44="KAC",IFERROR(INDEX(06_КАЦ!$R$4:$R$203,MATCH(K44,06_КАЦ!$A$4:$A$203,0)),""),IFERROR(INDEX(06а_Оценки!$F$4:$F$203,MATCH(K44,06а_Оценки!$A$4:$A$203,0)),"")),"")</f>
        <v/>
      </c>
      <c r="M44" s="7" t="str">
        <f aca="false">IF(N44="READY",ROUND(I44*L44,2),"")</f>
        <v/>
      </c>
      <c r="N44" s="5" t="str">
        <f aca="false">IF(A44="","",IF(Q44="NOT_APPLICABLE",IF(AND(COUNTIF(A$4:A$203,A44)=1,H44="OUTSIDE",R44&lt;&gt;"",O44&lt;&gt;"",COUNTIF(13_Источники!$A$4:$A$203,O44)=1),"NOT_APPLICABLE","INCOMPLETE / EXCLUSION"),IF(AND(COUNTIF(A$4:A$203,A44)=1,COUNTIF(02_WBS!$A$4:$A$200,B44)=1,C44&lt;&gt;"",COUNTIF(03_Пакеты!$A$4:$A$203,C44)=1,IFERROR(INDEX(03_Пакеты!$B$4:$B$203,MATCH(C44,03_Пакеты!$A$4:$A$203,0)),"")=B44,E44&lt;&gt;"",F44&lt;&gt;"",F44&lt;&gt;"UNKNOWN",G44&lt;&gt;"",G44&lt;&gt;"UNKNOWN",OR(H44="REMAINING",H44="SUNK",H44="OUTSIDE"),ISNUMBER(I44),I44&gt;=0,OR(AND(I44&gt;0,Q44="KNOWN"),AND(I44=0,Q44="ZERO_CONFIRMED")),J44&lt;&gt;"",K44&lt;&gt;"",OR(AND(V44="KAC",COUNTIF(06_КАЦ!$A$4:$A$203,K44)=1,IFERROR(INDEX(06_КАЦ!$V$4:$V$203,MATCH(K44,06_КАЦ!$A$4:$A$203,0)),"")="SELECTED_READY",IFERROR(INDEX(06_КАЦ!$D$4:$D$203,MATCH(K44,06_КАЦ!$A$4:$A$203,0)),"")=C44,IFERROR(INDEX(06_КАЦ!$F$4:$F$203,MATCH(K44,06_КАЦ!$A$4:$A$203,0)),"")=J44),AND(V44="DIRECT",COUNTIF(06а_Оценки!$A$4:$A$203,K44)=1,IFERROR(INDEX(06а_Оценки!$N$4:$N$203,MATCH(K44,06а_Оценки!$A$4:$A$203,0)),"")="READY",IFERROR(INDEX(06а_Оценки!$B$4:$B$203,MATCH(K44,06а_Оценки!$A$4:$A$203,0)),"")=C44,IFERROR(INDEX(06а_Оценки!$E$4:$E$203,MATCH(K44,06а_Оценки!$A$4:$A$203,0)),"")=J44)),O44&lt;&gt;"",COUNTIF(13_Источники!$A$4:$A$203,O44)=1,P44&lt;&gt;"",R44&lt;&gt;""),"READY","INCOMPLETE / LINK")))</f>
        <v>INCOMPLETE / LINK</v>
      </c>
      <c r="O44" s="4"/>
      <c r="P44" s="4"/>
      <c r="Q44" s="4" t="s">
        <v>565</v>
      </c>
      <c r="R44" s="4" t="s">
        <v>311</v>
      </c>
      <c r="S44" s="4"/>
      <c r="T44" s="4"/>
      <c r="U44" s="4"/>
      <c r="V44" s="4"/>
    </row>
    <row r="45" customFormat="false" ht="150.7" hidden="false" customHeight="false" outlineLevel="0" collapsed="false">
      <c r="A45" s="4" t="s">
        <v>606</v>
      </c>
      <c r="B45" s="4" t="s">
        <v>313</v>
      </c>
      <c r="C45" s="4"/>
      <c r="D45" s="6" t="s">
        <v>314</v>
      </c>
      <c r="E45" s="4"/>
      <c r="F45" s="4"/>
      <c r="G45" s="4"/>
      <c r="H45" s="4"/>
      <c r="I45" s="4"/>
      <c r="J45" s="4"/>
      <c r="K45" s="4"/>
      <c r="L45" s="7" t="str">
        <f aca="false">IF(N45="READY",IF(V45="KAC",IFERROR(INDEX(06_КАЦ!$R$4:$R$203,MATCH(K45,06_КАЦ!$A$4:$A$203,0)),""),IFERROR(INDEX(06а_Оценки!$F$4:$F$203,MATCH(K45,06а_Оценки!$A$4:$A$203,0)),"")),"")</f>
        <v/>
      </c>
      <c r="M45" s="7" t="str">
        <f aca="false">IF(N45="READY",ROUND(I45*L45,2),"")</f>
        <v/>
      </c>
      <c r="N45" s="5" t="str">
        <f aca="false">IF(A45="","",IF(Q45="NOT_APPLICABLE",IF(AND(COUNTIF(A$4:A$203,A45)=1,H45="OUTSIDE",R45&lt;&gt;"",O45&lt;&gt;"",COUNTIF(13_Источники!$A$4:$A$203,O45)=1),"NOT_APPLICABLE","INCOMPLETE / EXCLUSION"),IF(AND(COUNTIF(A$4:A$203,A45)=1,COUNTIF(02_WBS!$A$4:$A$200,B45)=1,C45&lt;&gt;"",COUNTIF(03_Пакеты!$A$4:$A$203,C45)=1,IFERROR(INDEX(03_Пакеты!$B$4:$B$203,MATCH(C45,03_Пакеты!$A$4:$A$203,0)),"")=B45,E45&lt;&gt;"",F45&lt;&gt;"",F45&lt;&gt;"UNKNOWN",G45&lt;&gt;"",G45&lt;&gt;"UNKNOWN",OR(H45="REMAINING",H45="SUNK",H45="OUTSIDE"),ISNUMBER(I45),I45&gt;=0,OR(AND(I45&gt;0,Q45="KNOWN"),AND(I45=0,Q45="ZERO_CONFIRMED")),J45&lt;&gt;"",K45&lt;&gt;"",OR(AND(V45="KAC",COUNTIF(06_КАЦ!$A$4:$A$203,K45)=1,IFERROR(INDEX(06_КАЦ!$V$4:$V$203,MATCH(K45,06_КАЦ!$A$4:$A$203,0)),"")="SELECTED_READY",IFERROR(INDEX(06_КАЦ!$D$4:$D$203,MATCH(K45,06_КАЦ!$A$4:$A$203,0)),"")=C45,IFERROR(INDEX(06_КАЦ!$F$4:$F$203,MATCH(K45,06_КАЦ!$A$4:$A$203,0)),"")=J45),AND(V45="DIRECT",COUNTIF(06а_Оценки!$A$4:$A$203,K45)=1,IFERROR(INDEX(06а_Оценки!$N$4:$N$203,MATCH(K45,06а_Оценки!$A$4:$A$203,0)),"")="READY",IFERROR(INDEX(06а_Оценки!$B$4:$B$203,MATCH(K45,06а_Оценки!$A$4:$A$203,0)),"")=C45,IFERROR(INDEX(06а_Оценки!$E$4:$E$203,MATCH(K45,06а_Оценки!$A$4:$A$203,0)),"")=J45)),O45&lt;&gt;"",COUNTIF(13_Источники!$A$4:$A$203,O45)=1,P45&lt;&gt;"",R45&lt;&gt;""),"READY","INCOMPLETE / LINK")))</f>
        <v>INCOMPLETE / LINK</v>
      </c>
      <c r="O45" s="4"/>
      <c r="P45" s="4"/>
      <c r="Q45" s="4" t="s">
        <v>565</v>
      </c>
      <c r="R45" s="4" t="s">
        <v>316</v>
      </c>
      <c r="S45" s="4"/>
      <c r="T45" s="4"/>
      <c r="U45" s="4"/>
      <c r="V45" s="4"/>
    </row>
    <row r="46" customFormat="false" ht="91" hidden="false" customHeight="false" outlineLevel="0" collapsed="false">
      <c r="A46" s="4" t="s">
        <v>607</v>
      </c>
      <c r="B46" s="4" t="s">
        <v>318</v>
      </c>
      <c r="C46" s="4"/>
      <c r="D46" s="6" t="s">
        <v>319</v>
      </c>
      <c r="E46" s="4"/>
      <c r="F46" s="4"/>
      <c r="G46" s="4"/>
      <c r="H46" s="4"/>
      <c r="I46" s="4"/>
      <c r="J46" s="4"/>
      <c r="K46" s="4"/>
      <c r="L46" s="7" t="str">
        <f aca="false">IF(N46="READY",IF(V46="KAC",IFERROR(INDEX(06_КАЦ!$R$4:$R$203,MATCH(K46,06_КАЦ!$A$4:$A$203,0)),""),IFERROR(INDEX(06а_Оценки!$F$4:$F$203,MATCH(K46,06а_Оценки!$A$4:$A$203,0)),"")),"")</f>
        <v/>
      </c>
      <c r="M46" s="7" t="str">
        <f aca="false">IF(N46="READY",ROUND(I46*L46,2),"")</f>
        <v/>
      </c>
      <c r="N46" s="5" t="str">
        <f aca="false">IF(A46="","",IF(Q46="NOT_APPLICABLE",IF(AND(COUNTIF(A$4:A$203,A46)=1,H46="OUTSIDE",R46&lt;&gt;"",O46&lt;&gt;"",COUNTIF(13_Источники!$A$4:$A$203,O46)=1),"NOT_APPLICABLE","INCOMPLETE / EXCLUSION"),IF(AND(COUNTIF(A$4:A$203,A46)=1,COUNTIF(02_WBS!$A$4:$A$200,B46)=1,C46&lt;&gt;"",COUNTIF(03_Пакеты!$A$4:$A$203,C46)=1,IFERROR(INDEX(03_Пакеты!$B$4:$B$203,MATCH(C46,03_Пакеты!$A$4:$A$203,0)),"")=B46,E46&lt;&gt;"",F46&lt;&gt;"",F46&lt;&gt;"UNKNOWN",G46&lt;&gt;"",G46&lt;&gt;"UNKNOWN",OR(H46="REMAINING",H46="SUNK",H46="OUTSIDE"),ISNUMBER(I46),I46&gt;=0,OR(AND(I46&gt;0,Q46="KNOWN"),AND(I46=0,Q46="ZERO_CONFIRMED")),J46&lt;&gt;"",K46&lt;&gt;"",OR(AND(V46="KAC",COUNTIF(06_КАЦ!$A$4:$A$203,K46)=1,IFERROR(INDEX(06_КАЦ!$V$4:$V$203,MATCH(K46,06_КАЦ!$A$4:$A$203,0)),"")="SELECTED_READY",IFERROR(INDEX(06_КАЦ!$D$4:$D$203,MATCH(K46,06_КАЦ!$A$4:$A$203,0)),"")=C46,IFERROR(INDEX(06_КАЦ!$F$4:$F$203,MATCH(K46,06_КАЦ!$A$4:$A$203,0)),"")=J46),AND(V46="DIRECT",COUNTIF(06а_Оценки!$A$4:$A$203,K46)=1,IFERROR(INDEX(06а_Оценки!$N$4:$N$203,MATCH(K46,06а_Оценки!$A$4:$A$203,0)),"")="READY",IFERROR(INDEX(06а_Оценки!$B$4:$B$203,MATCH(K46,06а_Оценки!$A$4:$A$203,0)),"")=C46,IFERROR(INDEX(06а_Оценки!$E$4:$E$203,MATCH(K46,06а_Оценки!$A$4:$A$203,0)),"")=J46)),O46&lt;&gt;"",COUNTIF(13_Источники!$A$4:$A$203,O46)=1,P46&lt;&gt;"",R46&lt;&gt;""),"READY","INCOMPLETE / LINK")))</f>
        <v>INCOMPLETE / LINK</v>
      </c>
      <c r="O46" s="4"/>
      <c r="P46" s="4"/>
      <c r="Q46" s="4" t="s">
        <v>565</v>
      </c>
      <c r="R46" s="4" t="s">
        <v>321</v>
      </c>
      <c r="S46" s="4"/>
      <c r="T46" s="4"/>
      <c r="U46" s="4"/>
      <c r="V46" s="4"/>
    </row>
    <row r="47" customFormat="false" ht="76.1" hidden="false" customHeight="false" outlineLevel="0" collapsed="false">
      <c r="A47" s="4" t="s">
        <v>608</v>
      </c>
      <c r="B47" s="4" t="s">
        <v>323</v>
      </c>
      <c r="C47" s="4"/>
      <c r="D47" s="6" t="s">
        <v>324</v>
      </c>
      <c r="E47" s="4"/>
      <c r="F47" s="4"/>
      <c r="G47" s="4"/>
      <c r="H47" s="4"/>
      <c r="I47" s="4"/>
      <c r="J47" s="4"/>
      <c r="K47" s="4"/>
      <c r="L47" s="7" t="str">
        <f aca="false">IF(N47="READY",IF(V47="KAC",IFERROR(INDEX(06_КАЦ!$R$4:$R$203,MATCH(K47,06_КАЦ!$A$4:$A$203,0)),""),IFERROR(INDEX(06а_Оценки!$F$4:$F$203,MATCH(K47,06а_Оценки!$A$4:$A$203,0)),"")),"")</f>
        <v/>
      </c>
      <c r="M47" s="7" t="str">
        <f aca="false">IF(N47="READY",ROUND(I47*L47,2),"")</f>
        <v/>
      </c>
      <c r="N47" s="5" t="str">
        <f aca="false">IF(A47="","",IF(Q47="NOT_APPLICABLE",IF(AND(COUNTIF(A$4:A$203,A47)=1,H47="OUTSIDE",R47&lt;&gt;"",O47&lt;&gt;"",COUNTIF(13_Источники!$A$4:$A$203,O47)=1),"NOT_APPLICABLE","INCOMPLETE / EXCLUSION"),IF(AND(COUNTIF(A$4:A$203,A47)=1,COUNTIF(02_WBS!$A$4:$A$200,B47)=1,C47&lt;&gt;"",COUNTIF(03_Пакеты!$A$4:$A$203,C47)=1,IFERROR(INDEX(03_Пакеты!$B$4:$B$203,MATCH(C47,03_Пакеты!$A$4:$A$203,0)),"")=B47,E47&lt;&gt;"",F47&lt;&gt;"",F47&lt;&gt;"UNKNOWN",G47&lt;&gt;"",G47&lt;&gt;"UNKNOWN",OR(H47="REMAINING",H47="SUNK",H47="OUTSIDE"),ISNUMBER(I47),I47&gt;=0,OR(AND(I47&gt;0,Q47="KNOWN"),AND(I47=0,Q47="ZERO_CONFIRMED")),J47&lt;&gt;"",K47&lt;&gt;"",OR(AND(V47="KAC",COUNTIF(06_КАЦ!$A$4:$A$203,K47)=1,IFERROR(INDEX(06_КАЦ!$V$4:$V$203,MATCH(K47,06_КАЦ!$A$4:$A$203,0)),"")="SELECTED_READY",IFERROR(INDEX(06_КАЦ!$D$4:$D$203,MATCH(K47,06_КАЦ!$A$4:$A$203,0)),"")=C47,IFERROR(INDEX(06_КАЦ!$F$4:$F$203,MATCH(K47,06_КАЦ!$A$4:$A$203,0)),"")=J47),AND(V47="DIRECT",COUNTIF(06а_Оценки!$A$4:$A$203,K47)=1,IFERROR(INDEX(06а_Оценки!$N$4:$N$203,MATCH(K47,06а_Оценки!$A$4:$A$203,0)),"")="READY",IFERROR(INDEX(06а_Оценки!$B$4:$B$203,MATCH(K47,06а_Оценки!$A$4:$A$203,0)),"")=C47,IFERROR(INDEX(06а_Оценки!$E$4:$E$203,MATCH(K47,06а_Оценки!$A$4:$A$203,0)),"")=J47)),O47&lt;&gt;"",COUNTIF(13_Источники!$A$4:$A$203,O47)=1,P47&lt;&gt;"",R47&lt;&gt;""),"READY","INCOMPLETE / LINK")))</f>
        <v>INCOMPLETE / LINK</v>
      </c>
      <c r="O47" s="4"/>
      <c r="P47" s="4"/>
      <c r="Q47" s="4" t="s">
        <v>565</v>
      </c>
      <c r="R47" s="4" t="s">
        <v>326</v>
      </c>
      <c r="S47" s="4"/>
      <c r="T47" s="4"/>
      <c r="U47" s="4"/>
      <c r="V47" s="4"/>
    </row>
    <row r="48" customFormat="false" ht="105.95" hidden="false" customHeight="false" outlineLevel="0" collapsed="false">
      <c r="A48" s="4" t="s">
        <v>609</v>
      </c>
      <c r="B48" s="4" t="s">
        <v>328</v>
      </c>
      <c r="C48" s="4"/>
      <c r="D48" s="6" t="s">
        <v>329</v>
      </c>
      <c r="E48" s="4"/>
      <c r="F48" s="4"/>
      <c r="G48" s="4"/>
      <c r="H48" s="4"/>
      <c r="I48" s="4"/>
      <c r="J48" s="4"/>
      <c r="K48" s="4"/>
      <c r="L48" s="7" t="str">
        <f aca="false">IF(N48="READY",IF(V48="KAC",IFERROR(INDEX(06_КАЦ!$R$4:$R$203,MATCH(K48,06_КАЦ!$A$4:$A$203,0)),""),IFERROR(INDEX(06а_Оценки!$F$4:$F$203,MATCH(K48,06а_Оценки!$A$4:$A$203,0)),"")),"")</f>
        <v/>
      </c>
      <c r="M48" s="7" t="str">
        <f aca="false">IF(N48="READY",ROUND(I48*L48,2),"")</f>
        <v/>
      </c>
      <c r="N48" s="5" t="str">
        <f aca="false">IF(A48="","",IF(Q48="NOT_APPLICABLE",IF(AND(COUNTIF(A$4:A$203,A48)=1,H48="OUTSIDE",R48&lt;&gt;"",O48&lt;&gt;"",COUNTIF(13_Источники!$A$4:$A$203,O48)=1),"NOT_APPLICABLE","INCOMPLETE / EXCLUSION"),IF(AND(COUNTIF(A$4:A$203,A48)=1,COUNTIF(02_WBS!$A$4:$A$200,B48)=1,C48&lt;&gt;"",COUNTIF(03_Пакеты!$A$4:$A$203,C48)=1,IFERROR(INDEX(03_Пакеты!$B$4:$B$203,MATCH(C48,03_Пакеты!$A$4:$A$203,0)),"")=B48,E48&lt;&gt;"",F48&lt;&gt;"",F48&lt;&gt;"UNKNOWN",G48&lt;&gt;"",G48&lt;&gt;"UNKNOWN",OR(H48="REMAINING",H48="SUNK",H48="OUTSIDE"),ISNUMBER(I48),I48&gt;=0,OR(AND(I48&gt;0,Q48="KNOWN"),AND(I48=0,Q48="ZERO_CONFIRMED")),J48&lt;&gt;"",K48&lt;&gt;"",OR(AND(V48="KAC",COUNTIF(06_КАЦ!$A$4:$A$203,K48)=1,IFERROR(INDEX(06_КАЦ!$V$4:$V$203,MATCH(K48,06_КАЦ!$A$4:$A$203,0)),"")="SELECTED_READY",IFERROR(INDEX(06_КАЦ!$D$4:$D$203,MATCH(K48,06_КАЦ!$A$4:$A$203,0)),"")=C48,IFERROR(INDEX(06_КАЦ!$F$4:$F$203,MATCH(K48,06_КАЦ!$A$4:$A$203,0)),"")=J48),AND(V48="DIRECT",COUNTIF(06а_Оценки!$A$4:$A$203,K48)=1,IFERROR(INDEX(06а_Оценки!$N$4:$N$203,MATCH(K48,06а_Оценки!$A$4:$A$203,0)),"")="READY",IFERROR(INDEX(06а_Оценки!$B$4:$B$203,MATCH(K48,06а_Оценки!$A$4:$A$203,0)),"")=C48,IFERROR(INDEX(06а_Оценки!$E$4:$E$203,MATCH(K48,06а_Оценки!$A$4:$A$203,0)),"")=J48)),O48&lt;&gt;"",COUNTIF(13_Источники!$A$4:$A$203,O48)=1,P48&lt;&gt;"",R48&lt;&gt;""),"READY","INCOMPLETE / LINK")))</f>
        <v>INCOMPLETE / LINK</v>
      </c>
      <c r="O48" s="4"/>
      <c r="P48" s="4"/>
      <c r="Q48" s="4" t="s">
        <v>565</v>
      </c>
      <c r="R48" s="4" t="s">
        <v>331</v>
      </c>
      <c r="S48" s="4"/>
      <c r="T48" s="4"/>
      <c r="U48" s="4"/>
      <c r="V48" s="4"/>
    </row>
    <row r="49" customFormat="false" ht="150.7" hidden="false" customHeight="false" outlineLevel="0" collapsed="false">
      <c r="A49" s="4" t="s">
        <v>610</v>
      </c>
      <c r="B49" s="4" t="s">
        <v>333</v>
      </c>
      <c r="C49" s="4"/>
      <c r="D49" s="6" t="s">
        <v>334</v>
      </c>
      <c r="E49" s="4"/>
      <c r="F49" s="4"/>
      <c r="G49" s="4"/>
      <c r="H49" s="4"/>
      <c r="I49" s="4"/>
      <c r="J49" s="4"/>
      <c r="K49" s="4"/>
      <c r="L49" s="7" t="str">
        <f aca="false">IF(N49="READY",IF(V49="KAC",IFERROR(INDEX(06_КАЦ!$R$4:$R$203,MATCH(K49,06_КАЦ!$A$4:$A$203,0)),""),IFERROR(INDEX(06а_Оценки!$F$4:$F$203,MATCH(K49,06а_Оценки!$A$4:$A$203,0)),"")),"")</f>
        <v/>
      </c>
      <c r="M49" s="7" t="str">
        <f aca="false">IF(N49="READY",ROUND(I49*L49,2),"")</f>
        <v/>
      </c>
      <c r="N49" s="5" t="str">
        <f aca="false">IF(A49="","",IF(Q49="NOT_APPLICABLE",IF(AND(COUNTIF(A$4:A$203,A49)=1,H49="OUTSIDE",R49&lt;&gt;"",O49&lt;&gt;"",COUNTIF(13_Источники!$A$4:$A$203,O49)=1),"NOT_APPLICABLE","INCOMPLETE / EXCLUSION"),IF(AND(COUNTIF(A$4:A$203,A49)=1,COUNTIF(02_WBS!$A$4:$A$200,B49)=1,C49&lt;&gt;"",COUNTIF(03_Пакеты!$A$4:$A$203,C49)=1,IFERROR(INDEX(03_Пакеты!$B$4:$B$203,MATCH(C49,03_Пакеты!$A$4:$A$203,0)),"")=B49,E49&lt;&gt;"",F49&lt;&gt;"",F49&lt;&gt;"UNKNOWN",G49&lt;&gt;"",G49&lt;&gt;"UNKNOWN",OR(H49="REMAINING",H49="SUNK",H49="OUTSIDE"),ISNUMBER(I49),I49&gt;=0,OR(AND(I49&gt;0,Q49="KNOWN"),AND(I49=0,Q49="ZERO_CONFIRMED")),J49&lt;&gt;"",K49&lt;&gt;"",OR(AND(V49="KAC",COUNTIF(06_КАЦ!$A$4:$A$203,K49)=1,IFERROR(INDEX(06_КАЦ!$V$4:$V$203,MATCH(K49,06_КАЦ!$A$4:$A$203,0)),"")="SELECTED_READY",IFERROR(INDEX(06_КАЦ!$D$4:$D$203,MATCH(K49,06_КАЦ!$A$4:$A$203,0)),"")=C49,IFERROR(INDEX(06_КАЦ!$F$4:$F$203,MATCH(K49,06_КАЦ!$A$4:$A$203,0)),"")=J49),AND(V49="DIRECT",COUNTIF(06а_Оценки!$A$4:$A$203,K49)=1,IFERROR(INDEX(06а_Оценки!$N$4:$N$203,MATCH(K49,06а_Оценки!$A$4:$A$203,0)),"")="READY",IFERROR(INDEX(06а_Оценки!$B$4:$B$203,MATCH(K49,06а_Оценки!$A$4:$A$203,0)),"")=C49,IFERROR(INDEX(06а_Оценки!$E$4:$E$203,MATCH(K49,06а_Оценки!$A$4:$A$203,0)),"")=J49)),O49&lt;&gt;"",COUNTIF(13_Источники!$A$4:$A$203,O49)=1,P49&lt;&gt;"",R49&lt;&gt;""),"READY","INCOMPLETE / LINK")))</f>
        <v>INCOMPLETE / LINK</v>
      </c>
      <c r="O49" s="4"/>
      <c r="P49" s="4"/>
      <c r="Q49" s="4" t="s">
        <v>565</v>
      </c>
      <c r="R49" s="4" t="s">
        <v>336</v>
      </c>
      <c r="S49" s="4"/>
      <c r="T49" s="4"/>
      <c r="U49" s="4"/>
      <c r="V49" s="4"/>
    </row>
    <row r="50" customFormat="false" ht="76.1" hidden="false" customHeight="false" outlineLevel="0" collapsed="false">
      <c r="A50" s="4" t="s">
        <v>611</v>
      </c>
      <c r="B50" s="4" t="s">
        <v>338</v>
      </c>
      <c r="C50" s="4"/>
      <c r="D50" s="6" t="s">
        <v>339</v>
      </c>
      <c r="E50" s="4"/>
      <c r="F50" s="4"/>
      <c r="G50" s="4"/>
      <c r="H50" s="4"/>
      <c r="I50" s="4"/>
      <c r="J50" s="4"/>
      <c r="K50" s="4"/>
      <c r="L50" s="7" t="str">
        <f aca="false">IF(N50="READY",IF(V50="KAC",IFERROR(INDEX(06_КАЦ!$R$4:$R$203,MATCH(K50,06_КАЦ!$A$4:$A$203,0)),""),IFERROR(INDEX(06а_Оценки!$F$4:$F$203,MATCH(K50,06а_Оценки!$A$4:$A$203,0)),"")),"")</f>
        <v/>
      </c>
      <c r="M50" s="7" t="str">
        <f aca="false">IF(N50="READY",ROUND(I50*L50,2),"")</f>
        <v/>
      </c>
      <c r="N50" s="5" t="str">
        <f aca="false">IF(A50="","",IF(Q50="NOT_APPLICABLE",IF(AND(COUNTIF(A$4:A$203,A50)=1,H50="OUTSIDE",R50&lt;&gt;"",O50&lt;&gt;"",COUNTIF(13_Источники!$A$4:$A$203,O50)=1),"NOT_APPLICABLE","INCOMPLETE / EXCLUSION"),IF(AND(COUNTIF(A$4:A$203,A50)=1,COUNTIF(02_WBS!$A$4:$A$200,B50)=1,C50&lt;&gt;"",COUNTIF(03_Пакеты!$A$4:$A$203,C50)=1,IFERROR(INDEX(03_Пакеты!$B$4:$B$203,MATCH(C50,03_Пакеты!$A$4:$A$203,0)),"")=B50,E50&lt;&gt;"",F50&lt;&gt;"",F50&lt;&gt;"UNKNOWN",G50&lt;&gt;"",G50&lt;&gt;"UNKNOWN",OR(H50="REMAINING",H50="SUNK",H50="OUTSIDE"),ISNUMBER(I50),I50&gt;=0,OR(AND(I50&gt;0,Q50="KNOWN"),AND(I50=0,Q50="ZERO_CONFIRMED")),J50&lt;&gt;"",K50&lt;&gt;"",OR(AND(V50="KAC",COUNTIF(06_КАЦ!$A$4:$A$203,K50)=1,IFERROR(INDEX(06_КАЦ!$V$4:$V$203,MATCH(K50,06_КАЦ!$A$4:$A$203,0)),"")="SELECTED_READY",IFERROR(INDEX(06_КАЦ!$D$4:$D$203,MATCH(K50,06_КАЦ!$A$4:$A$203,0)),"")=C50,IFERROR(INDEX(06_КАЦ!$F$4:$F$203,MATCH(K50,06_КАЦ!$A$4:$A$203,0)),"")=J50),AND(V50="DIRECT",COUNTIF(06а_Оценки!$A$4:$A$203,K50)=1,IFERROR(INDEX(06а_Оценки!$N$4:$N$203,MATCH(K50,06а_Оценки!$A$4:$A$203,0)),"")="READY",IFERROR(INDEX(06а_Оценки!$B$4:$B$203,MATCH(K50,06а_Оценки!$A$4:$A$203,0)),"")=C50,IFERROR(INDEX(06а_Оценки!$E$4:$E$203,MATCH(K50,06а_Оценки!$A$4:$A$203,0)),"")=J50)),O50&lt;&gt;"",COUNTIF(13_Источники!$A$4:$A$203,O50)=1,P50&lt;&gt;"",R50&lt;&gt;""),"READY","INCOMPLETE / LINK")))</f>
        <v>INCOMPLETE / LINK</v>
      </c>
      <c r="O50" s="4"/>
      <c r="P50" s="4"/>
      <c r="Q50" s="4" t="s">
        <v>565</v>
      </c>
      <c r="R50" s="4" t="s">
        <v>341</v>
      </c>
      <c r="S50" s="4"/>
      <c r="T50" s="4"/>
      <c r="U50" s="4"/>
      <c r="V50" s="4"/>
    </row>
    <row r="51" customFormat="false" ht="76.1" hidden="false" customHeight="false" outlineLevel="0" collapsed="false">
      <c r="A51" s="4" t="s">
        <v>612</v>
      </c>
      <c r="B51" s="4" t="s">
        <v>343</v>
      </c>
      <c r="C51" s="4"/>
      <c r="D51" s="6" t="s">
        <v>344</v>
      </c>
      <c r="E51" s="4"/>
      <c r="F51" s="4"/>
      <c r="G51" s="4"/>
      <c r="H51" s="4"/>
      <c r="I51" s="4"/>
      <c r="J51" s="4"/>
      <c r="K51" s="4"/>
      <c r="L51" s="7" t="str">
        <f aca="false">IF(N51="READY",IF(V51="KAC",IFERROR(INDEX(06_КАЦ!$R$4:$R$203,MATCH(K51,06_КАЦ!$A$4:$A$203,0)),""),IFERROR(INDEX(06а_Оценки!$F$4:$F$203,MATCH(K51,06а_Оценки!$A$4:$A$203,0)),"")),"")</f>
        <v/>
      </c>
      <c r="M51" s="7" t="str">
        <f aca="false">IF(N51="READY",ROUND(I51*L51,2),"")</f>
        <v/>
      </c>
      <c r="N51" s="5" t="str">
        <f aca="false">IF(A51="","",IF(Q51="NOT_APPLICABLE",IF(AND(COUNTIF(A$4:A$203,A51)=1,H51="OUTSIDE",R51&lt;&gt;"",O51&lt;&gt;"",COUNTIF(13_Источники!$A$4:$A$203,O51)=1),"NOT_APPLICABLE","INCOMPLETE / EXCLUSION"),IF(AND(COUNTIF(A$4:A$203,A51)=1,COUNTIF(02_WBS!$A$4:$A$200,B51)=1,C51&lt;&gt;"",COUNTIF(03_Пакеты!$A$4:$A$203,C51)=1,IFERROR(INDEX(03_Пакеты!$B$4:$B$203,MATCH(C51,03_Пакеты!$A$4:$A$203,0)),"")=B51,E51&lt;&gt;"",F51&lt;&gt;"",F51&lt;&gt;"UNKNOWN",G51&lt;&gt;"",G51&lt;&gt;"UNKNOWN",OR(H51="REMAINING",H51="SUNK",H51="OUTSIDE"),ISNUMBER(I51),I51&gt;=0,OR(AND(I51&gt;0,Q51="KNOWN"),AND(I51=0,Q51="ZERO_CONFIRMED")),J51&lt;&gt;"",K51&lt;&gt;"",OR(AND(V51="KAC",COUNTIF(06_КАЦ!$A$4:$A$203,K51)=1,IFERROR(INDEX(06_КАЦ!$V$4:$V$203,MATCH(K51,06_КАЦ!$A$4:$A$203,0)),"")="SELECTED_READY",IFERROR(INDEX(06_КАЦ!$D$4:$D$203,MATCH(K51,06_КАЦ!$A$4:$A$203,0)),"")=C51,IFERROR(INDEX(06_КАЦ!$F$4:$F$203,MATCH(K51,06_КАЦ!$A$4:$A$203,0)),"")=J51),AND(V51="DIRECT",COUNTIF(06а_Оценки!$A$4:$A$203,K51)=1,IFERROR(INDEX(06а_Оценки!$N$4:$N$203,MATCH(K51,06а_Оценки!$A$4:$A$203,0)),"")="READY",IFERROR(INDEX(06а_Оценки!$B$4:$B$203,MATCH(K51,06а_Оценки!$A$4:$A$203,0)),"")=C51,IFERROR(INDEX(06а_Оценки!$E$4:$E$203,MATCH(K51,06а_Оценки!$A$4:$A$203,0)),"")=J51)),O51&lt;&gt;"",COUNTIF(13_Источники!$A$4:$A$203,O51)=1,P51&lt;&gt;"",R51&lt;&gt;""),"READY","INCOMPLETE / LINK")))</f>
        <v>INCOMPLETE / LINK</v>
      </c>
      <c r="O51" s="4"/>
      <c r="P51" s="4"/>
      <c r="Q51" s="4" t="s">
        <v>565</v>
      </c>
      <c r="R51" s="4" t="s">
        <v>346</v>
      </c>
      <c r="S51" s="4"/>
      <c r="T51" s="4"/>
      <c r="U51" s="4"/>
      <c r="V51" s="4"/>
    </row>
    <row r="52" customFormat="false" ht="195.5" hidden="false" customHeight="false" outlineLevel="0" collapsed="false">
      <c r="A52" s="4" t="s">
        <v>613</v>
      </c>
      <c r="B52" s="4" t="s">
        <v>348</v>
      </c>
      <c r="C52" s="4"/>
      <c r="D52" s="6" t="s">
        <v>349</v>
      </c>
      <c r="E52" s="4"/>
      <c r="F52" s="4"/>
      <c r="G52" s="4"/>
      <c r="H52" s="4"/>
      <c r="I52" s="4"/>
      <c r="J52" s="4"/>
      <c r="K52" s="4"/>
      <c r="L52" s="7" t="str">
        <f aca="false">IF(N52="READY",IF(V52="KAC",IFERROR(INDEX(06_КАЦ!$R$4:$R$203,MATCH(K52,06_КАЦ!$A$4:$A$203,0)),""),IFERROR(INDEX(06а_Оценки!$F$4:$F$203,MATCH(K52,06а_Оценки!$A$4:$A$203,0)),"")),"")</f>
        <v/>
      </c>
      <c r="M52" s="7" t="str">
        <f aca="false">IF(N52="READY",ROUND(I52*L52,2),"")</f>
        <v/>
      </c>
      <c r="N52" s="5" t="str">
        <f aca="false">IF(A52="","",IF(Q52="NOT_APPLICABLE",IF(AND(COUNTIF(A$4:A$203,A52)=1,H52="OUTSIDE",R52&lt;&gt;"",O52&lt;&gt;"",COUNTIF(13_Источники!$A$4:$A$203,O52)=1),"NOT_APPLICABLE","INCOMPLETE / EXCLUSION"),IF(AND(COUNTIF(A$4:A$203,A52)=1,COUNTIF(02_WBS!$A$4:$A$200,B52)=1,C52&lt;&gt;"",COUNTIF(03_Пакеты!$A$4:$A$203,C52)=1,IFERROR(INDEX(03_Пакеты!$B$4:$B$203,MATCH(C52,03_Пакеты!$A$4:$A$203,0)),"")=B52,E52&lt;&gt;"",F52&lt;&gt;"",F52&lt;&gt;"UNKNOWN",G52&lt;&gt;"",G52&lt;&gt;"UNKNOWN",OR(H52="REMAINING",H52="SUNK",H52="OUTSIDE"),ISNUMBER(I52),I52&gt;=0,OR(AND(I52&gt;0,Q52="KNOWN"),AND(I52=0,Q52="ZERO_CONFIRMED")),J52&lt;&gt;"",K52&lt;&gt;"",OR(AND(V52="KAC",COUNTIF(06_КАЦ!$A$4:$A$203,K52)=1,IFERROR(INDEX(06_КАЦ!$V$4:$V$203,MATCH(K52,06_КАЦ!$A$4:$A$203,0)),"")="SELECTED_READY",IFERROR(INDEX(06_КАЦ!$D$4:$D$203,MATCH(K52,06_КАЦ!$A$4:$A$203,0)),"")=C52,IFERROR(INDEX(06_КАЦ!$F$4:$F$203,MATCH(K52,06_КАЦ!$A$4:$A$203,0)),"")=J52),AND(V52="DIRECT",COUNTIF(06а_Оценки!$A$4:$A$203,K52)=1,IFERROR(INDEX(06а_Оценки!$N$4:$N$203,MATCH(K52,06а_Оценки!$A$4:$A$203,0)),"")="READY",IFERROR(INDEX(06а_Оценки!$B$4:$B$203,MATCH(K52,06а_Оценки!$A$4:$A$203,0)),"")=C52,IFERROR(INDEX(06а_Оценки!$E$4:$E$203,MATCH(K52,06а_Оценки!$A$4:$A$203,0)),"")=J52)),O52&lt;&gt;"",COUNTIF(13_Источники!$A$4:$A$203,O52)=1,P52&lt;&gt;"",R52&lt;&gt;""),"READY","INCOMPLETE / LINK")))</f>
        <v>INCOMPLETE / LINK</v>
      </c>
      <c r="O52" s="4"/>
      <c r="P52" s="4"/>
      <c r="Q52" s="4" t="s">
        <v>565</v>
      </c>
      <c r="R52" s="4" t="s">
        <v>351</v>
      </c>
      <c r="S52" s="4"/>
      <c r="T52" s="4"/>
      <c r="U52" s="4"/>
      <c r="V52" s="4"/>
    </row>
    <row r="53" customFormat="false" ht="91" hidden="false" customHeight="false" outlineLevel="0" collapsed="false">
      <c r="A53" s="4" t="s">
        <v>614</v>
      </c>
      <c r="B53" s="4" t="s">
        <v>353</v>
      </c>
      <c r="C53" s="4"/>
      <c r="D53" s="6" t="s">
        <v>354</v>
      </c>
      <c r="E53" s="4"/>
      <c r="F53" s="4"/>
      <c r="G53" s="4"/>
      <c r="H53" s="4"/>
      <c r="I53" s="4"/>
      <c r="J53" s="4"/>
      <c r="K53" s="4"/>
      <c r="L53" s="7" t="str">
        <f aca="false">IF(N53="READY",IF(V53="KAC",IFERROR(INDEX(06_КАЦ!$R$4:$R$203,MATCH(K53,06_КАЦ!$A$4:$A$203,0)),""),IFERROR(INDEX(06а_Оценки!$F$4:$F$203,MATCH(K53,06а_Оценки!$A$4:$A$203,0)),"")),"")</f>
        <v/>
      </c>
      <c r="M53" s="7" t="str">
        <f aca="false">IF(N53="READY",ROUND(I53*L53,2),"")</f>
        <v/>
      </c>
      <c r="N53" s="5" t="str">
        <f aca="false">IF(A53="","",IF(Q53="NOT_APPLICABLE",IF(AND(COUNTIF(A$4:A$203,A53)=1,H53="OUTSIDE",R53&lt;&gt;"",O53&lt;&gt;"",COUNTIF(13_Источники!$A$4:$A$203,O53)=1),"NOT_APPLICABLE","INCOMPLETE / EXCLUSION"),IF(AND(COUNTIF(A$4:A$203,A53)=1,COUNTIF(02_WBS!$A$4:$A$200,B53)=1,C53&lt;&gt;"",COUNTIF(03_Пакеты!$A$4:$A$203,C53)=1,IFERROR(INDEX(03_Пакеты!$B$4:$B$203,MATCH(C53,03_Пакеты!$A$4:$A$203,0)),"")=B53,E53&lt;&gt;"",F53&lt;&gt;"",F53&lt;&gt;"UNKNOWN",G53&lt;&gt;"",G53&lt;&gt;"UNKNOWN",OR(H53="REMAINING",H53="SUNK",H53="OUTSIDE"),ISNUMBER(I53),I53&gt;=0,OR(AND(I53&gt;0,Q53="KNOWN"),AND(I53=0,Q53="ZERO_CONFIRMED")),J53&lt;&gt;"",K53&lt;&gt;"",OR(AND(V53="KAC",COUNTIF(06_КАЦ!$A$4:$A$203,K53)=1,IFERROR(INDEX(06_КАЦ!$V$4:$V$203,MATCH(K53,06_КАЦ!$A$4:$A$203,0)),"")="SELECTED_READY",IFERROR(INDEX(06_КАЦ!$D$4:$D$203,MATCH(K53,06_КАЦ!$A$4:$A$203,0)),"")=C53,IFERROR(INDEX(06_КАЦ!$F$4:$F$203,MATCH(K53,06_КАЦ!$A$4:$A$203,0)),"")=J53),AND(V53="DIRECT",COUNTIF(06а_Оценки!$A$4:$A$203,K53)=1,IFERROR(INDEX(06а_Оценки!$N$4:$N$203,MATCH(K53,06а_Оценки!$A$4:$A$203,0)),"")="READY",IFERROR(INDEX(06а_Оценки!$B$4:$B$203,MATCH(K53,06а_Оценки!$A$4:$A$203,0)),"")=C53,IFERROR(INDEX(06а_Оценки!$E$4:$E$203,MATCH(K53,06а_Оценки!$A$4:$A$203,0)),"")=J53)),O53&lt;&gt;"",COUNTIF(13_Источники!$A$4:$A$203,O53)=1,P53&lt;&gt;"",R53&lt;&gt;""),"READY","INCOMPLETE / LINK")))</f>
        <v>INCOMPLETE / LINK</v>
      </c>
      <c r="O53" s="4"/>
      <c r="P53" s="4"/>
      <c r="Q53" s="4" t="s">
        <v>565</v>
      </c>
      <c r="R53" s="4" t="s">
        <v>356</v>
      </c>
      <c r="S53" s="4"/>
      <c r="T53" s="4"/>
      <c r="U53" s="4"/>
      <c r="V53" s="4"/>
    </row>
    <row r="54" customFormat="false" ht="120.85" hidden="false" customHeight="false" outlineLevel="0" collapsed="false">
      <c r="A54" s="4" t="s">
        <v>615</v>
      </c>
      <c r="B54" s="4" t="s">
        <v>358</v>
      </c>
      <c r="C54" s="4"/>
      <c r="D54" s="6" t="s">
        <v>359</v>
      </c>
      <c r="E54" s="4"/>
      <c r="F54" s="4"/>
      <c r="G54" s="4"/>
      <c r="H54" s="4"/>
      <c r="I54" s="4"/>
      <c r="J54" s="4"/>
      <c r="K54" s="4"/>
      <c r="L54" s="7" t="str">
        <f aca="false">IF(N54="READY",IF(V54="KAC",IFERROR(INDEX(06_КАЦ!$R$4:$R$203,MATCH(K54,06_КАЦ!$A$4:$A$203,0)),""),IFERROR(INDEX(06а_Оценки!$F$4:$F$203,MATCH(K54,06а_Оценки!$A$4:$A$203,0)),"")),"")</f>
        <v/>
      </c>
      <c r="M54" s="7" t="str">
        <f aca="false">IF(N54="READY",ROUND(I54*L54,2),"")</f>
        <v/>
      </c>
      <c r="N54" s="5" t="str">
        <f aca="false">IF(A54="","",IF(Q54="NOT_APPLICABLE",IF(AND(COUNTIF(A$4:A$203,A54)=1,H54="OUTSIDE",R54&lt;&gt;"",O54&lt;&gt;"",COUNTIF(13_Источники!$A$4:$A$203,O54)=1),"NOT_APPLICABLE","INCOMPLETE / EXCLUSION"),IF(AND(COUNTIF(A$4:A$203,A54)=1,COUNTIF(02_WBS!$A$4:$A$200,B54)=1,C54&lt;&gt;"",COUNTIF(03_Пакеты!$A$4:$A$203,C54)=1,IFERROR(INDEX(03_Пакеты!$B$4:$B$203,MATCH(C54,03_Пакеты!$A$4:$A$203,0)),"")=B54,E54&lt;&gt;"",F54&lt;&gt;"",F54&lt;&gt;"UNKNOWN",G54&lt;&gt;"",G54&lt;&gt;"UNKNOWN",OR(H54="REMAINING",H54="SUNK",H54="OUTSIDE"),ISNUMBER(I54),I54&gt;=0,OR(AND(I54&gt;0,Q54="KNOWN"),AND(I54=0,Q54="ZERO_CONFIRMED")),J54&lt;&gt;"",K54&lt;&gt;"",OR(AND(V54="KAC",COUNTIF(06_КАЦ!$A$4:$A$203,K54)=1,IFERROR(INDEX(06_КАЦ!$V$4:$V$203,MATCH(K54,06_КАЦ!$A$4:$A$203,0)),"")="SELECTED_READY",IFERROR(INDEX(06_КАЦ!$D$4:$D$203,MATCH(K54,06_КАЦ!$A$4:$A$203,0)),"")=C54,IFERROR(INDEX(06_КАЦ!$F$4:$F$203,MATCH(K54,06_КАЦ!$A$4:$A$203,0)),"")=J54),AND(V54="DIRECT",COUNTIF(06а_Оценки!$A$4:$A$203,K54)=1,IFERROR(INDEX(06а_Оценки!$N$4:$N$203,MATCH(K54,06а_Оценки!$A$4:$A$203,0)),"")="READY",IFERROR(INDEX(06а_Оценки!$B$4:$B$203,MATCH(K54,06а_Оценки!$A$4:$A$203,0)),"")=C54,IFERROR(INDEX(06а_Оценки!$E$4:$E$203,MATCH(K54,06а_Оценки!$A$4:$A$203,0)),"")=J54)),O54&lt;&gt;"",COUNTIF(13_Источники!$A$4:$A$203,O54)=1,P54&lt;&gt;"",R54&lt;&gt;""),"READY","INCOMPLETE / LINK")))</f>
        <v>INCOMPLETE / LINK</v>
      </c>
      <c r="O54" s="4"/>
      <c r="P54" s="4"/>
      <c r="Q54" s="4" t="s">
        <v>565</v>
      </c>
      <c r="R54" s="4" t="s">
        <v>361</v>
      </c>
      <c r="S54" s="4"/>
      <c r="T54" s="4"/>
      <c r="U54" s="4"/>
      <c r="V54" s="4"/>
    </row>
    <row r="55" customFormat="false" ht="120.85" hidden="false" customHeight="false" outlineLevel="0" collapsed="false">
      <c r="A55" s="4" t="s">
        <v>616</v>
      </c>
      <c r="B55" s="4" t="s">
        <v>363</v>
      </c>
      <c r="C55" s="4"/>
      <c r="D55" s="6" t="s">
        <v>364</v>
      </c>
      <c r="E55" s="4"/>
      <c r="F55" s="4"/>
      <c r="G55" s="4"/>
      <c r="H55" s="4"/>
      <c r="I55" s="4"/>
      <c r="J55" s="4"/>
      <c r="K55" s="4"/>
      <c r="L55" s="7" t="str">
        <f aca="false">IF(N55="READY",IF(V55="KAC",IFERROR(INDEX(06_КАЦ!$R$4:$R$203,MATCH(K55,06_КАЦ!$A$4:$A$203,0)),""),IFERROR(INDEX(06а_Оценки!$F$4:$F$203,MATCH(K55,06а_Оценки!$A$4:$A$203,0)),"")),"")</f>
        <v/>
      </c>
      <c r="M55" s="7" t="str">
        <f aca="false">IF(N55="READY",ROUND(I55*L55,2),"")</f>
        <v/>
      </c>
      <c r="N55" s="5" t="str">
        <f aca="false">IF(A55="","",IF(Q55="NOT_APPLICABLE",IF(AND(COUNTIF(A$4:A$203,A55)=1,H55="OUTSIDE",R55&lt;&gt;"",O55&lt;&gt;"",COUNTIF(13_Источники!$A$4:$A$203,O55)=1),"NOT_APPLICABLE","INCOMPLETE / EXCLUSION"),IF(AND(COUNTIF(A$4:A$203,A55)=1,COUNTIF(02_WBS!$A$4:$A$200,B55)=1,C55&lt;&gt;"",COUNTIF(03_Пакеты!$A$4:$A$203,C55)=1,IFERROR(INDEX(03_Пакеты!$B$4:$B$203,MATCH(C55,03_Пакеты!$A$4:$A$203,0)),"")=B55,E55&lt;&gt;"",F55&lt;&gt;"",F55&lt;&gt;"UNKNOWN",G55&lt;&gt;"",G55&lt;&gt;"UNKNOWN",OR(H55="REMAINING",H55="SUNK",H55="OUTSIDE"),ISNUMBER(I55),I55&gt;=0,OR(AND(I55&gt;0,Q55="KNOWN"),AND(I55=0,Q55="ZERO_CONFIRMED")),J55&lt;&gt;"",K55&lt;&gt;"",OR(AND(V55="KAC",COUNTIF(06_КАЦ!$A$4:$A$203,K55)=1,IFERROR(INDEX(06_КАЦ!$V$4:$V$203,MATCH(K55,06_КАЦ!$A$4:$A$203,0)),"")="SELECTED_READY",IFERROR(INDEX(06_КАЦ!$D$4:$D$203,MATCH(K55,06_КАЦ!$A$4:$A$203,0)),"")=C55,IFERROR(INDEX(06_КАЦ!$F$4:$F$203,MATCH(K55,06_КАЦ!$A$4:$A$203,0)),"")=J55),AND(V55="DIRECT",COUNTIF(06а_Оценки!$A$4:$A$203,K55)=1,IFERROR(INDEX(06а_Оценки!$N$4:$N$203,MATCH(K55,06а_Оценки!$A$4:$A$203,0)),"")="READY",IFERROR(INDEX(06а_Оценки!$B$4:$B$203,MATCH(K55,06а_Оценки!$A$4:$A$203,0)),"")=C55,IFERROR(INDEX(06а_Оценки!$E$4:$E$203,MATCH(K55,06а_Оценки!$A$4:$A$203,0)),"")=J55)),O55&lt;&gt;"",COUNTIF(13_Источники!$A$4:$A$203,O55)=1,P55&lt;&gt;"",R55&lt;&gt;""),"READY","INCOMPLETE / LINK")))</f>
        <v>INCOMPLETE / LINK</v>
      </c>
      <c r="O55" s="4"/>
      <c r="P55" s="4"/>
      <c r="Q55" s="4" t="s">
        <v>565</v>
      </c>
      <c r="R55" s="4" t="s">
        <v>366</v>
      </c>
      <c r="S55" s="4"/>
      <c r="T55" s="4"/>
      <c r="U55" s="4"/>
      <c r="V55" s="4"/>
    </row>
    <row r="56" customFormat="false" ht="76.1" hidden="false" customHeight="false" outlineLevel="0" collapsed="false">
      <c r="A56" s="4" t="s">
        <v>617</v>
      </c>
      <c r="B56" s="4" t="s">
        <v>368</v>
      </c>
      <c r="C56" s="4"/>
      <c r="D56" s="6" t="s">
        <v>369</v>
      </c>
      <c r="E56" s="4"/>
      <c r="F56" s="4"/>
      <c r="G56" s="4"/>
      <c r="H56" s="4"/>
      <c r="I56" s="4"/>
      <c r="J56" s="4"/>
      <c r="K56" s="4"/>
      <c r="L56" s="7" t="str">
        <f aca="false">IF(N56="READY",IF(V56="KAC",IFERROR(INDEX(06_КАЦ!$R$4:$R$203,MATCH(K56,06_КАЦ!$A$4:$A$203,0)),""),IFERROR(INDEX(06а_Оценки!$F$4:$F$203,MATCH(K56,06а_Оценки!$A$4:$A$203,0)),"")),"")</f>
        <v/>
      </c>
      <c r="M56" s="7" t="str">
        <f aca="false">IF(N56="READY",ROUND(I56*L56,2),"")</f>
        <v/>
      </c>
      <c r="N56" s="5" t="str">
        <f aca="false">IF(A56="","",IF(Q56="NOT_APPLICABLE",IF(AND(COUNTIF(A$4:A$203,A56)=1,H56="OUTSIDE",R56&lt;&gt;"",O56&lt;&gt;"",COUNTIF(13_Источники!$A$4:$A$203,O56)=1),"NOT_APPLICABLE","INCOMPLETE / EXCLUSION"),IF(AND(COUNTIF(A$4:A$203,A56)=1,COUNTIF(02_WBS!$A$4:$A$200,B56)=1,C56&lt;&gt;"",COUNTIF(03_Пакеты!$A$4:$A$203,C56)=1,IFERROR(INDEX(03_Пакеты!$B$4:$B$203,MATCH(C56,03_Пакеты!$A$4:$A$203,0)),"")=B56,E56&lt;&gt;"",F56&lt;&gt;"",F56&lt;&gt;"UNKNOWN",G56&lt;&gt;"",G56&lt;&gt;"UNKNOWN",OR(H56="REMAINING",H56="SUNK",H56="OUTSIDE"),ISNUMBER(I56),I56&gt;=0,OR(AND(I56&gt;0,Q56="KNOWN"),AND(I56=0,Q56="ZERO_CONFIRMED")),J56&lt;&gt;"",K56&lt;&gt;"",OR(AND(V56="KAC",COUNTIF(06_КАЦ!$A$4:$A$203,K56)=1,IFERROR(INDEX(06_КАЦ!$V$4:$V$203,MATCH(K56,06_КАЦ!$A$4:$A$203,0)),"")="SELECTED_READY",IFERROR(INDEX(06_КАЦ!$D$4:$D$203,MATCH(K56,06_КАЦ!$A$4:$A$203,0)),"")=C56,IFERROR(INDEX(06_КАЦ!$F$4:$F$203,MATCH(K56,06_КАЦ!$A$4:$A$203,0)),"")=J56),AND(V56="DIRECT",COUNTIF(06а_Оценки!$A$4:$A$203,K56)=1,IFERROR(INDEX(06а_Оценки!$N$4:$N$203,MATCH(K56,06а_Оценки!$A$4:$A$203,0)),"")="READY",IFERROR(INDEX(06а_Оценки!$B$4:$B$203,MATCH(K56,06а_Оценки!$A$4:$A$203,0)),"")=C56,IFERROR(INDEX(06а_Оценки!$E$4:$E$203,MATCH(K56,06а_Оценки!$A$4:$A$203,0)),"")=J56)),O56&lt;&gt;"",COUNTIF(13_Источники!$A$4:$A$203,O56)=1,P56&lt;&gt;"",R56&lt;&gt;""),"READY","INCOMPLETE / LINK")))</f>
        <v>INCOMPLETE / LINK</v>
      </c>
      <c r="O56" s="4"/>
      <c r="P56" s="4"/>
      <c r="Q56" s="4" t="s">
        <v>565</v>
      </c>
      <c r="R56" s="4" t="s">
        <v>371</v>
      </c>
      <c r="S56" s="4"/>
      <c r="T56" s="4"/>
      <c r="U56" s="4"/>
      <c r="V56" s="4"/>
    </row>
    <row r="57" customFormat="false" ht="195.5" hidden="false" customHeight="false" outlineLevel="0" collapsed="false">
      <c r="A57" s="4" t="s">
        <v>618</v>
      </c>
      <c r="B57" s="4" t="s">
        <v>373</v>
      </c>
      <c r="C57" s="4"/>
      <c r="D57" s="6" t="s">
        <v>374</v>
      </c>
      <c r="E57" s="4"/>
      <c r="F57" s="4"/>
      <c r="G57" s="4"/>
      <c r="H57" s="4"/>
      <c r="I57" s="4"/>
      <c r="J57" s="4"/>
      <c r="K57" s="4"/>
      <c r="L57" s="7" t="str">
        <f aca="false">IF(N57="READY",IF(V57="KAC",IFERROR(INDEX(06_КАЦ!$R$4:$R$203,MATCH(K57,06_КАЦ!$A$4:$A$203,0)),""),IFERROR(INDEX(06а_Оценки!$F$4:$F$203,MATCH(K57,06а_Оценки!$A$4:$A$203,0)),"")),"")</f>
        <v/>
      </c>
      <c r="M57" s="7" t="str">
        <f aca="false">IF(N57="READY",ROUND(I57*L57,2),"")</f>
        <v/>
      </c>
      <c r="N57" s="5" t="str">
        <f aca="false">IF(A57="","",IF(Q57="NOT_APPLICABLE",IF(AND(COUNTIF(A$4:A$203,A57)=1,H57="OUTSIDE",R57&lt;&gt;"",O57&lt;&gt;"",COUNTIF(13_Источники!$A$4:$A$203,O57)=1),"NOT_APPLICABLE","INCOMPLETE / EXCLUSION"),IF(AND(COUNTIF(A$4:A$203,A57)=1,COUNTIF(02_WBS!$A$4:$A$200,B57)=1,C57&lt;&gt;"",COUNTIF(03_Пакеты!$A$4:$A$203,C57)=1,IFERROR(INDEX(03_Пакеты!$B$4:$B$203,MATCH(C57,03_Пакеты!$A$4:$A$203,0)),"")=B57,E57&lt;&gt;"",F57&lt;&gt;"",F57&lt;&gt;"UNKNOWN",G57&lt;&gt;"",G57&lt;&gt;"UNKNOWN",OR(H57="REMAINING",H57="SUNK",H57="OUTSIDE"),ISNUMBER(I57),I57&gt;=0,OR(AND(I57&gt;0,Q57="KNOWN"),AND(I57=0,Q57="ZERO_CONFIRMED")),J57&lt;&gt;"",K57&lt;&gt;"",OR(AND(V57="KAC",COUNTIF(06_КАЦ!$A$4:$A$203,K57)=1,IFERROR(INDEX(06_КАЦ!$V$4:$V$203,MATCH(K57,06_КАЦ!$A$4:$A$203,0)),"")="SELECTED_READY",IFERROR(INDEX(06_КАЦ!$D$4:$D$203,MATCH(K57,06_КАЦ!$A$4:$A$203,0)),"")=C57,IFERROR(INDEX(06_КАЦ!$F$4:$F$203,MATCH(K57,06_КАЦ!$A$4:$A$203,0)),"")=J57),AND(V57="DIRECT",COUNTIF(06а_Оценки!$A$4:$A$203,K57)=1,IFERROR(INDEX(06а_Оценки!$N$4:$N$203,MATCH(K57,06а_Оценки!$A$4:$A$203,0)),"")="READY",IFERROR(INDEX(06а_Оценки!$B$4:$B$203,MATCH(K57,06а_Оценки!$A$4:$A$203,0)),"")=C57,IFERROR(INDEX(06а_Оценки!$E$4:$E$203,MATCH(K57,06а_Оценки!$A$4:$A$203,0)),"")=J57)),O57&lt;&gt;"",COUNTIF(13_Источники!$A$4:$A$203,O57)=1,P57&lt;&gt;"",R57&lt;&gt;""),"READY","INCOMPLETE / LINK")))</f>
        <v>INCOMPLETE / LINK</v>
      </c>
      <c r="O57" s="4"/>
      <c r="P57" s="4"/>
      <c r="Q57" s="4" t="s">
        <v>565</v>
      </c>
      <c r="R57" s="4" t="s">
        <v>376</v>
      </c>
      <c r="S57" s="4"/>
      <c r="T57" s="4"/>
      <c r="U57" s="4"/>
      <c r="V57" s="4"/>
    </row>
    <row r="58" customFormat="false" ht="61.15" hidden="false" customHeight="false" outlineLevel="0" collapsed="false">
      <c r="A58" s="4" t="s">
        <v>619</v>
      </c>
      <c r="B58" s="4" t="s">
        <v>381</v>
      </c>
      <c r="C58" s="4"/>
      <c r="D58" s="6" t="s">
        <v>382</v>
      </c>
      <c r="E58" s="4"/>
      <c r="F58" s="4"/>
      <c r="G58" s="4"/>
      <c r="H58" s="4"/>
      <c r="I58" s="4"/>
      <c r="J58" s="4"/>
      <c r="K58" s="4"/>
      <c r="L58" s="7" t="str">
        <f aca="false">IF(N58="READY",IF(V58="KAC",IFERROR(INDEX(06_КАЦ!$R$4:$R$203,MATCH(K58,06_КАЦ!$A$4:$A$203,0)),""),IFERROR(INDEX(06а_Оценки!$F$4:$F$203,MATCH(K58,06а_Оценки!$A$4:$A$203,0)),"")),"")</f>
        <v/>
      </c>
      <c r="M58" s="7" t="str">
        <f aca="false">IF(N58="READY",ROUND(I58*L58,2),"")</f>
        <v/>
      </c>
      <c r="N58" s="5" t="str">
        <f aca="false">IF(A58="","",IF(Q58="NOT_APPLICABLE",IF(AND(COUNTIF(A$4:A$203,A58)=1,H58="OUTSIDE",R58&lt;&gt;"",O58&lt;&gt;"",COUNTIF(13_Источники!$A$4:$A$203,O58)=1),"NOT_APPLICABLE","INCOMPLETE / EXCLUSION"),IF(AND(COUNTIF(A$4:A$203,A58)=1,COUNTIF(02_WBS!$A$4:$A$200,B58)=1,C58&lt;&gt;"",COUNTIF(03_Пакеты!$A$4:$A$203,C58)=1,IFERROR(INDEX(03_Пакеты!$B$4:$B$203,MATCH(C58,03_Пакеты!$A$4:$A$203,0)),"")=B58,E58&lt;&gt;"",F58&lt;&gt;"",F58&lt;&gt;"UNKNOWN",G58&lt;&gt;"",G58&lt;&gt;"UNKNOWN",OR(H58="REMAINING",H58="SUNK",H58="OUTSIDE"),ISNUMBER(I58),I58&gt;=0,OR(AND(I58&gt;0,Q58="KNOWN"),AND(I58=0,Q58="ZERO_CONFIRMED")),J58&lt;&gt;"",K58&lt;&gt;"",OR(AND(V58="KAC",COUNTIF(06_КАЦ!$A$4:$A$203,K58)=1,IFERROR(INDEX(06_КАЦ!$V$4:$V$203,MATCH(K58,06_КАЦ!$A$4:$A$203,0)),"")="SELECTED_READY",IFERROR(INDEX(06_КАЦ!$D$4:$D$203,MATCH(K58,06_КАЦ!$A$4:$A$203,0)),"")=C58,IFERROR(INDEX(06_КАЦ!$F$4:$F$203,MATCH(K58,06_КАЦ!$A$4:$A$203,0)),"")=J58),AND(V58="DIRECT",COUNTIF(06а_Оценки!$A$4:$A$203,K58)=1,IFERROR(INDEX(06а_Оценки!$N$4:$N$203,MATCH(K58,06а_Оценки!$A$4:$A$203,0)),"")="READY",IFERROR(INDEX(06а_Оценки!$B$4:$B$203,MATCH(K58,06а_Оценки!$A$4:$A$203,0)),"")=C58,IFERROR(INDEX(06а_Оценки!$E$4:$E$203,MATCH(K58,06а_Оценки!$A$4:$A$203,0)),"")=J58)),O58&lt;&gt;"",COUNTIF(13_Источники!$A$4:$A$203,O58)=1,P58&lt;&gt;"",R58&lt;&gt;""),"READY","INCOMPLETE / LINK")))</f>
        <v>INCOMPLETE / LINK</v>
      </c>
      <c r="O58" s="4"/>
      <c r="P58" s="4"/>
      <c r="Q58" s="4" t="s">
        <v>565</v>
      </c>
      <c r="R58" s="4" t="s">
        <v>384</v>
      </c>
      <c r="S58" s="4"/>
      <c r="T58" s="4"/>
      <c r="U58" s="4"/>
      <c r="V58" s="4"/>
    </row>
    <row r="59" customFormat="false" ht="61.15" hidden="false" customHeight="false" outlineLevel="0" collapsed="false">
      <c r="A59" s="4" t="s">
        <v>620</v>
      </c>
      <c r="B59" s="4" t="s">
        <v>386</v>
      </c>
      <c r="C59" s="4"/>
      <c r="D59" s="6" t="s">
        <v>387</v>
      </c>
      <c r="E59" s="4"/>
      <c r="F59" s="4"/>
      <c r="G59" s="4"/>
      <c r="H59" s="4"/>
      <c r="I59" s="4"/>
      <c r="J59" s="4"/>
      <c r="K59" s="4"/>
      <c r="L59" s="7" t="str">
        <f aca="false">IF(N59="READY",IF(V59="KAC",IFERROR(INDEX(06_КАЦ!$R$4:$R$203,MATCH(K59,06_КАЦ!$A$4:$A$203,0)),""),IFERROR(INDEX(06а_Оценки!$F$4:$F$203,MATCH(K59,06а_Оценки!$A$4:$A$203,0)),"")),"")</f>
        <v/>
      </c>
      <c r="M59" s="7" t="str">
        <f aca="false">IF(N59="READY",ROUND(I59*L59,2),"")</f>
        <v/>
      </c>
      <c r="N59" s="5" t="str">
        <f aca="false">IF(A59="","",IF(Q59="NOT_APPLICABLE",IF(AND(COUNTIF(A$4:A$203,A59)=1,H59="OUTSIDE",R59&lt;&gt;"",O59&lt;&gt;"",COUNTIF(13_Источники!$A$4:$A$203,O59)=1),"NOT_APPLICABLE","INCOMPLETE / EXCLUSION"),IF(AND(COUNTIF(A$4:A$203,A59)=1,COUNTIF(02_WBS!$A$4:$A$200,B59)=1,C59&lt;&gt;"",COUNTIF(03_Пакеты!$A$4:$A$203,C59)=1,IFERROR(INDEX(03_Пакеты!$B$4:$B$203,MATCH(C59,03_Пакеты!$A$4:$A$203,0)),"")=B59,E59&lt;&gt;"",F59&lt;&gt;"",F59&lt;&gt;"UNKNOWN",G59&lt;&gt;"",G59&lt;&gt;"UNKNOWN",OR(H59="REMAINING",H59="SUNK",H59="OUTSIDE"),ISNUMBER(I59),I59&gt;=0,OR(AND(I59&gt;0,Q59="KNOWN"),AND(I59=0,Q59="ZERO_CONFIRMED")),J59&lt;&gt;"",K59&lt;&gt;"",OR(AND(V59="KAC",COUNTIF(06_КАЦ!$A$4:$A$203,K59)=1,IFERROR(INDEX(06_КАЦ!$V$4:$V$203,MATCH(K59,06_КАЦ!$A$4:$A$203,0)),"")="SELECTED_READY",IFERROR(INDEX(06_КАЦ!$D$4:$D$203,MATCH(K59,06_КАЦ!$A$4:$A$203,0)),"")=C59,IFERROR(INDEX(06_КАЦ!$F$4:$F$203,MATCH(K59,06_КАЦ!$A$4:$A$203,0)),"")=J59),AND(V59="DIRECT",COUNTIF(06а_Оценки!$A$4:$A$203,K59)=1,IFERROR(INDEX(06а_Оценки!$N$4:$N$203,MATCH(K59,06а_Оценки!$A$4:$A$203,0)),"")="READY",IFERROR(INDEX(06а_Оценки!$B$4:$B$203,MATCH(K59,06а_Оценки!$A$4:$A$203,0)),"")=C59,IFERROR(INDEX(06а_Оценки!$E$4:$E$203,MATCH(K59,06а_Оценки!$A$4:$A$203,0)),"")=J59)),O59&lt;&gt;"",COUNTIF(13_Источники!$A$4:$A$203,O59)=1,P59&lt;&gt;"",R59&lt;&gt;""),"READY","INCOMPLETE / LINK")))</f>
        <v>INCOMPLETE / LINK</v>
      </c>
      <c r="O59" s="4"/>
      <c r="P59" s="4"/>
      <c r="Q59" s="4" t="s">
        <v>565</v>
      </c>
      <c r="R59" s="4" t="s">
        <v>389</v>
      </c>
      <c r="S59" s="4"/>
      <c r="T59" s="4"/>
      <c r="U59" s="4"/>
      <c r="V59" s="4"/>
    </row>
    <row r="60" customFormat="false" ht="46.25" hidden="false" customHeight="false" outlineLevel="0" collapsed="false">
      <c r="A60" s="4" t="s">
        <v>621</v>
      </c>
      <c r="B60" s="4" t="s">
        <v>391</v>
      </c>
      <c r="C60" s="4"/>
      <c r="D60" s="6" t="s">
        <v>392</v>
      </c>
      <c r="E60" s="4"/>
      <c r="F60" s="4"/>
      <c r="G60" s="4"/>
      <c r="H60" s="4"/>
      <c r="I60" s="4"/>
      <c r="J60" s="4"/>
      <c r="K60" s="4"/>
      <c r="L60" s="7" t="str">
        <f aca="false">IF(N60="READY",IF(V60="KAC",IFERROR(INDEX(06_КАЦ!$R$4:$R$203,MATCH(K60,06_КАЦ!$A$4:$A$203,0)),""),IFERROR(INDEX(06а_Оценки!$F$4:$F$203,MATCH(K60,06а_Оценки!$A$4:$A$203,0)),"")),"")</f>
        <v/>
      </c>
      <c r="M60" s="7" t="str">
        <f aca="false">IF(N60="READY",ROUND(I60*L60,2),"")</f>
        <v/>
      </c>
      <c r="N60" s="5" t="str">
        <f aca="false">IF(A60="","",IF(Q60="NOT_APPLICABLE",IF(AND(COUNTIF(A$4:A$203,A60)=1,H60="OUTSIDE",R60&lt;&gt;"",O60&lt;&gt;"",COUNTIF(13_Источники!$A$4:$A$203,O60)=1),"NOT_APPLICABLE","INCOMPLETE / EXCLUSION"),IF(AND(COUNTIF(A$4:A$203,A60)=1,COUNTIF(02_WBS!$A$4:$A$200,B60)=1,C60&lt;&gt;"",COUNTIF(03_Пакеты!$A$4:$A$203,C60)=1,IFERROR(INDEX(03_Пакеты!$B$4:$B$203,MATCH(C60,03_Пакеты!$A$4:$A$203,0)),"")=B60,E60&lt;&gt;"",F60&lt;&gt;"",F60&lt;&gt;"UNKNOWN",G60&lt;&gt;"",G60&lt;&gt;"UNKNOWN",OR(H60="REMAINING",H60="SUNK",H60="OUTSIDE"),ISNUMBER(I60),I60&gt;=0,OR(AND(I60&gt;0,Q60="KNOWN"),AND(I60=0,Q60="ZERO_CONFIRMED")),J60&lt;&gt;"",K60&lt;&gt;"",OR(AND(V60="KAC",COUNTIF(06_КАЦ!$A$4:$A$203,K60)=1,IFERROR(INDEX(06_КАЦ!$V$4:$V$203,MATCH(K60,06_КАЦ!$A$4:$A$203,0)),"")="SELECTED_READY",IFERROR(INDEX(06_КАЦ!$D$4:$D$203,MATCH(K60,06_КАЦ!$A$4:$A$203,0)),"")=C60,IFERROR(INDEX(06_КАЦ!$F$4:$F$203,MATCH(K60,06_КАЦ!$A$4:$A$203,0)),"")=J60),AND(V60="DIRECT",COUNTIF(06а_Оценки!$A$4:$A$203,K60)=1,IFERROR(INDEX(06а_Оценки!$N$4:$N$203,MATCH(K60,06а_Оценки!$A$4:$A$203,0)),"")="READY",IFERROR(INDEX(06а_Оценки!$B$4:$B$203,MATCH(K60,06а_Оценки!$A$4:$A$203,0)),"")=C60,IFERROR(INDEX(06а_Оценки!$E$4:$E$203,MATCH(K60,06а_Оценки!$A$4:$A$203,0)),"")=J60)),O60&lt;&gt;"",COUNTIF(13_Источники!$A$4:$A$203,O60)=1,P60&lt;&gt;"",R60&lt;&gt;""),"READY","INCOMPLETE / LINK")))</f>
        <v>INCOMPLETE / LINK</v>
      </c>
      <c r="O60" s="4"/>
      <c r="P60" s="4"/>
      <c r="Q60" s="4" t="s">
        <v>565</v>
      </c>
      <c r="R60" s="4" t="s">
        <v>394</v>
      </c>
      <c r="S60" s="4"/>
      <c r="T60" s="4"/>
      <c r="U60" s="4"/>
      <c r="V60" s="4"/>
    </row>
    <row r="61" customFormat="false" ht="46.25" hidden="false" customHeight="false" outlineLevel="0" collapsed="false">
      <c r="A61" s="4" t="s">
        <v>622</v>
      </c>
      <c r="B61" s="4" t="s">
        <v>396</v>
      </c>
      <c r="C61" s="4"/>
      <c r="D61" s="6" t="s">
        <v>397</v>
      </c>
      <c r="E61" s="4"/>
      <c r="F61" s="4"/>
      <c r="G61" s="4"/>
      <c r="H61" s="4"/>
      <c r="I61" s="4"/>
      <c r="J61" s="4"/>
      <c r="K61" s="4"/>
      <c r="L61" s="7" t="str">
        <f aca="false">IF(N61="READY",IF(V61="KAC",IFERROR(INDEX(06_КАЦ!$R$4:$R$203,MATCH(K61,06_КАЦ!$A$4:$A$203,0)),""),IFERROR(INDEX(06а_Оценки!$F$4:$F$203,MATCH(K61,06а_Оценки!$A$4:$A$203,0)),"")),"")</f>
        <v/>
      </c>
      <c r="M61" s="7" t="str">
        <f aca="false">IF(N61="READY",ROUND(I61*L61,2),"")</f>
        <v/>
      </c>
      <c r="N61" s="5" t="str">
        <f aca="false">IF(A61="","",IF(Q61="NOT_APPLICABLE",IF(AND(COUNTIF(A$4:A$203,A61)=1,H61="OUTSIDE",R61&lt;&gt;"",O61&lt;&gt;"",COUNTIF(13_Источники!$A$4:$A$203,O61)=1),"NOT_APPLICABLE","INCOMPLETE / EXCLUSION"),IF(AND(COUNTIF(A$4:A$203,A61)=1,COUNTIF(02_WBS!$A$4:$A$200,B61)=1,C61&lt;&gt;"",COUNTIF(03_Пакеты!$A$4:$A$203,C61)=1,IFERROR(INDEX(03_Пакеты!$B$4:$B$203,MATCH(C61,03_Пакеты!$A$4:$A$203,0)),"")=B61,E61&lt;&gt;"",F61&lt;&gt;"",F61&lt;&gt;"UNKNOWN",G61&lt;&gt;"",G61&lt;&gt;"UNKNOWN",OR(H61="REMAINING",H61="SUNK",H61="OUTSIDE"),ISNUMBER(I61),I61&gt;=0,OR(AND(I61&gt;0,Q61="KNOWN"),AND(I61=0,Q61="ZERO_CONFIRMED")),J61&lt;&gt;"",K61&lt;&gt;"",OR(AND(V61="KAC",COUNTIF(06_КАЦ!$A$4:$A$203,K61)=1,IFERROR(INDEX(06_КАЦ!$V$4:$V$203,MATCH(K61,06_КАЦ!$A$4:$A$203,0)),"")="SELECTED_READY",IFERROR(INDEX(06_КАЦ!$D$4:$D$203,MATCH(K61,06_КАЦ!$A$4:$A$203,0)),"")=C61,IFERROR(INDEX(06_КАЦ!$F$4:$F$203,MATCH(K61,06_КАЦ!$A$4:$A$203,0)),"")=J61),AND(V61="DIRECT",COUNTIF(06а_Оценки!$A$4:$A$203,K61)=1,IFERROR(INDEX(06а_Оценки!$N$4:$N$203,MATCH(K61,06а_Оценки!$A$4:$A$203,0)),"")="READY",IFERROR(INDEX(06а_Оценки!$B$4:$B$203,MATCH(K61,06а_Оценки!$A$4:$A$203,0)),"")=C61,IFERROR(INDEX(06а_Оценки!$E$4:$E$203,MATCH(K61,06а_Оценки!$A$4:$A$203,0)),"")=J61)),O61&lt;&gt;"",COUNTIF(13_Источники!$A$4:$A$203,O61)=1,P61&lt;&gt;"",R61&lt;&gt;""),"READY","INCOMPLETE / LINK")))</f>
        <v>INCOMPLETE / LINK</v>
      </c>
      <c r="O61" s="4"/>
      <c r="P61" s="4"/>
      <c r="Q61" s="4" t="s">
        <v>565</v>
      </c>
      <c r="R61" s="4" t="s">
        <v>399</v>
      </c>
      <c r="S61" s="4"/>
      <c r="T61" s="4"/>
      <c r="U61" s="4"/>
      <c r="V61" s="4"/>
    </row>
    <row r="62" customFormat="false" ht="91" hidden="false" customHeight="false" outlineLevel="0" collapsed="false">
      <c r="A62" s="4" t="s">
        <v>623</v>
      </c>
      <c r="B62" s="4" t="s">
        <v>401</v>
      </c>
      <c r="C62" s="4"/>
      <c r="D62" s="6" t="s">
        <v>402</v>
      </c>
      <c r="E62" s="4"/>
      <c r="F62" s="4"/>
      <c r="G62" s="4"/>
      <c r="H62" s="4"/>
      <c r="I62" s="4"/>
      <c r="J62" s="4"/>
      <c r="K62" s="4"/>
      <c r="L62" s="7" t="str">
        <f aca="false">IF(N62="READY",IF(V62="KAC",IFERROR(INDEX(06_КАЦ!$R$4:$R$203,MATCH(K62,06_КАЦ!$A$4:$A$203,0)),""),IFERROR(INDEX(06а_Оценки!$F$4:$F$203,MATCH(K62,06а_Оценки!$A$4:$A$203,0)),"")),"")</f>
        <v/>
      </c>
      <c r="M62" s="7" t="str">
        <f aca="false">IF(N62="READY",ROUND(I62*L62,2),"")</f>
        <v/>
      </c>
      <c r="N62" s="5" t="str">
        <f aca="false">IF(A62="","",IF(Q62="NOT_APPLICABLE",IF(AND(COUNTIF(A$4:A$203,A62)=1,H62="OUTSIDE",R62&lt;&gt;"",O62&lt;&gt;"",COUNTIF(13_Источники!$A$4:$A$203,O62)=1),"NOT_APPLICABLE","INCOMPLETE / EXCLUSION"),IF(AND(COUNTIF(A$4:A$203,A62)=1,COUNTIF(02_WBS!$A$4:$A$200,B62)=1,C62&lt;&gt;"",COUNTIF(03_Пакеты!$A$4:$A$203,C62)=1,IFERROR(INDEX(03_Пакеты!$B$4:$B$203,MATCH(C62,03_Пакеты!$A$4:$A$203,0)),"")=B62,E62&lt;&gt;"",F62&lt;&gt;"",F62&lt;&gt;"UNKNOWN",G62&lt;&gt;"",G62&lt;&gt;"UNKNOWN",OR(H62="REMAINING",H62="SUNK",H62="OUTSIDE"),ISNUMBER(I62),I62&gt;=0,OR(AND(I62&gt;0,Q62="KNOWN"),AND(I62=0,Q62="ZERO_CONFIRMED")),J62&lt;&gt;"",K62&lt;&gt;"",OR(AND(V62="KAC",COUNTIF(06_КАЦ!$A$4:$A$203,K62)=1,IFERROR(INDEX(06_КАЦ!$V$4:$V$203,MATCH(K62,06_КАЦ!$A$4:$A$203,0)),"")="SELECTED_READY",IFERROR(INDEX(06_КАЦ!$D$4:$D$203,MATCH(K62,06_КАЦ!$A$4:$A$203,0)),"")=C62,IFERROR(INDEX(06_КАЦ!$F$4:$F$203,MATCH(K62,06_КАЦ!$A$4:$A$203,0)),"")=J62),AND(V62="DIRECT",COUNTIF(06а_Оценки!$A$4:$A$203,K62)=1,IFERROR(INDEX(06а_Оценки!$N$4:$N$203,MATCH(K62,06а_Оценки!$A$4:$A$203,0)),"")="READY",IFERROR(INDEX(06а_Оценки!$B$4:$B$203,MATCH(K62,06а_Оценки!$A$4:$A$203,0)),"")=C62,IFERROR(INDEX(06а_Оценки!$E$4:$E$203,MATCH(K62,06а_Оценки!$A$4:$A$203,0)),"")=J62)),O62&lt;&gt;"",COUNTIF(13_Источники!$A$4:$A$203,O62)=1,P62&lt;&gt;"",R62&lt;&gt;""),"READY","INCOMPLETE / LINK")))</f>
        <v>INCOMPLETE / LINK</v>
      </c>
      <c r="O62" s="4"/>
      <c r="P62" s="4"/>
      <c r="Q62" s="4" t="s">
        <v>565</v>
      </c>
      <c r="R62" s="4" t="s">
        <v>404</v>
      </c>
      <c r="S62" s="4"/>
      <c r="T62" s="4"/>
      <c r="U62" s="4"/>
      <c r="V62" s="4"/>
    </row>
    <row r="63" customFormat="false" ht="76.1" hidden="false" customHeight="false" outlineLevel="0" collapsed="false">
      <c r="A63" s="4" t="s">
        <v>624</v>
      </c>
      <c r="B63" s="4" t="s">
        <v>406</v>
      </c>
      <c r="C63" s="4"/>
      <c r="D63" s="6" t="s">
        <v>407</v>
      </c>
      <c r="E63" s="4"/>
      <c r="F63" s="4"/>
      <c r="G63" s="4"/>
      <c r="H63" s="4"/>
      <c r="I63" s="4"/>
      <c r="J63" s="4"/>
      <c r="K63" s="4"/>
      <c r="L63" s="7" t="str">
        <f aca="false">IF(N63="READY",IF(V63="KAC",IFERROR(INDEX(06_КАЦ!$R$4:$R$203,MATCH(K63,06_КАЦ!$A$4:$A$203,0)),""),IFERROR(INDEX(06а_Оценки!$F$4:$F$203,MATCH(K63,06а_Оценки!$A$4:$A$203,0)),"")),"")</f>
        <v/>
      </c>
      <c r="M63" s="7" t="str">
        <f aca="false">IF(N63="READY",ROUND(I63*L63,2),"")</f>
        <v/>
      </c>
      <c r="N63" s="5" t="str">
        <f aca="false">IF(A63="","",IF(Q63="NOT_APPLICABLE",IF(AND(COUNTIF(A$4:A$203,A63)=1,H63="OUTSIDE",R63&lt;&gt;"",O63&lt;&gt;"",COUNTIF(13_Источники!$A$4:$A$203,O63)=1),"NOT_APPLICABLE","INCOMPLETE / EXCLUSION"),IF(AND(COUNTIF(A$4:A$203,A63)=1,COUNTIF(02_WBS!$A$4:$A$200,B63)=1,C63&lt;&gt;"",COUNTIF(03_Пакеты!$A$4:$A$203,C63)=1,IFERROR(INDEX(03_Пакеты!$B$4:$B$203,MATCH(C63,03_Пакеты!$A$4:$A$203,0)),"")=B63,E63&lt;&gt;"",F63&lt;&gt;"",F63&lt;&gt;"UNKNOWN",G63&lt;&gt;"",G63&lt;&gt;"UNKNOWN",OR(H63="REMAINING",H63="SUNK",H63="OUTSIDE"),ISNUMBER(I63),I63&gt;=0,OR(AND(I63&gt;0,Q63="KNOWN"),AND(I63=0,Q63="ZERO_CONFIRMED")),J63&lt;&gt;"",K63&lt;&gt;"",OR(AND(V63="KAC",COUNTIF(06_КАЦ!$A$4:$A$203,K63)=1,IFERROR(INDEX(06_КАЦ!$V$4:$V$203,MATCH(K63,06_КАЦ!$A$4:$A$203,0)),"")="SELECTED_READY",IFERROR(INDEX(06_КАЦ!$D$4:$D$203,MATCH(K63,06_КАЦ!$A$4:$A$203,0)),"")=C63,IFERROR(INDEX(06_КАЦ!$F$4:$F$203,MATCH(K63,06_КАЦ!$A$4:$A$203,0)),"")=J63),AND(V63="DIRECT",COUNTIF(06а_Оценки!$A$4:$A$203,K63)=1,IFERROR(INDEX(06а_Оценки!$N$4:$N$203,MATCH(K63,06а_Оценки!$A$4:$A$203,0)),"")="READY",IFERROR(INDEX(06а_Оценки!$B$4:$B$203,MATCH(K63,06а_Оценки!$A$4:$A$203,0)),"")=C63,IFERROR(INDEX(06а_Оценки!$E$4:$E$203,MATCH(K63,06а_Оценки!$A$4:$A$203,0)),"")=J63)),O63&lt;&gt;"",COUNTIF(13_Источники!$A$4:$A$203,O63)=1,P63&lt;&gt;"",R63&lt;&gt;""),"READY","INCOMPLETE / LINK")))</f>
        <v>INCOMPLETE / LINK</v>
      </c>
      <c r="O63" s="4"/>
      <c r="P63" s="4"/>
      <c r="Q63" s="4" t="s">
        <v>565</v>
      </c>
      <c r="R63" s="4" t="s">
        <v>409</v>
      </c>
      <c r="S63" s="4"/>
      <c r="T63" s="4"/>
      <c r="U63" s="4"/>
      <c r="V63" s="4"/>
    </row>
    <row r="64" customFormat="false" ht="91" hidden="false" customHeight="false" outlineLevel="0" collapsed="false">
      <c r="A64" s="4" t="s">
        <v>625</v>
      </c>
      <c r="B64" s="4" t="s">
        <v>414</v>
      </c>
      <c r="C64" s="4"/>
      <c r="D64" s="6" t="s">
        <v>415</v>
      </c>
      <c r="E64" s="4"/>
      <c r="F64" s="4"/>
      <c r="G64" s="4"/>
      <c r="H64" s="4"/>
      <c r="I64" s="4"/>
      <c r="J64" s="4"/>
      <c r="K64" s="4"/>
      <c r="L64" s="7" t="str">
        <f aca="false">IF(N64="READY",IF(V64="KAC",IFERROR(INDEX(06_КАЦ!$R$4:$R$203,MATCH(K64,06_КАЦ!$A$4:$A$203,0)),""),IFERROR(INDEX(06а_Оценки!$F$4:$F$203,MATCH(K64,06а_Оценки!$A$4:$A$203,0)),"")),"")</f>
        <v/>
      </c>
      <c r="M64" s="7" t="str">
        <f aca="false">IF(N64="READY",ROUND(I64*L64,2),"")</f>
        <v/>
      </c>
      <c r="N64" s="5" t="str">
        <f aca="false">IF(A64="","",IF(Q64="NOT_APPLICABLE",IF(AND(COUNTIF(A$4:A$203,A64)=1,H64="OUTSIDE",R64&lt;&gt;"",O64&lt;&gt;"",COUNTIF(13_Источники!$A$4:$A$203,O64)=1),"NOT_APPLICABLE","INCOMPLETE / EXCLUSION"),IF(AND(COUNTIF(A$4:A$203,A64)=1,COUNTIF(02_WBS!$A$4:$A$200,B64)=1,C64&lt;&gt;"",COUNTIF(03_Пакеты!$A$4:$A$203,C64)=1,IFERROR(INDEX(03_Пакеты!$B$4:$B$203,MATCH(C64,03_Пакеты!$A$4:$A$203,0)),"")=B64,E64&lt;&gt;"",F64&lt;&gt;"",F64&lt;&gt;"UNKNOWN",G64&lt;&gt;"",G64&lt;&gt;"UNKNOWN",OR(H64="REMAINING",H64="SUNK",H64="OUTSIDE"),ISNUMBER(I64),I64&gt;=0,OR(AND(I64&gt;0,Q64="KNOWN"),AND(I64=0,Q64="ZERO_CONFIRMED")),J64&lt;&gt;"",K64&lt;&gt;"",OR(AND(V64="KAC",COUNTIF(06_КАЦ!$A$4:$A$203,K64)=1,IFERROR(INDEX(06_КАЦ!$V$4:$V$203,MATCH(K64,06_КАЦ!$A$4:$A$203,0)),"")="SELECTED_READY",IFERROR(INDEX(06_КАЦ!$D$4:$D$203,MATCH(K64,06_КАЦ!$A$4:$A$203,0)),"")=C64,IFERROR(INDEX(06_КАЦ!$F$4:$F$203,MATCH(K64,06_КАЦ!$A$4:$A$203,0)),"")=J64),AND(V64="DIRECT",COUNTIF(06а_Оценки!$A$4:$A$203,K64)=1,IFERROR(INDEX(06а_Оценки!$N$4:$N$203,MATCH(K64,06а_Оценки!$A$4:$A$203,0)),"")="READY",IFERROR(INDEX(06а_Оценки!$B$4:$B$203,MATCH(K64,06а_Оценки!$A$4:$A$203,0)),"")=C64,IFERROR(INDEX(06а_Оценки!$E$4:$E$203,MATCH(K64,06а_Оценки!$A$4:$A$203,0)),"")=J64)),O64&lt;&gt;"",COUNTIF(13_Источники!$A$4:$A$203,O64)=1,P64&lt;&gt;"",R64&lt;&gt;""),"READY","INCOMPLETE / LINK")))</f>
        <v>INCOMPLETE / LINK</v>
      </c>
      <c r="O64" s="4"/>
      <c r="P64" s="4"/>
      <c r="Q64" s="4" t="s">
        <v>565</v>
      </c>
      <c r="R64" s="4" t="s">
        <v>417</v>
      </c>
      <c r="S64" s="4"/>
      <c r="T64" s="4"/>
      <c r="U64" s="4"/>
      <c r="V64" s="4"/>
    </row>
    <row r="65" customFormat="false" ht="135.8" hidden="false" customHeight="false" outlineLevel="0" collapsed="false">
      <c r="A65" s="4" t="s">
        <v>626</v>
      </c>
      <c r="B65" s="4" t="s">
        <v>419</v>
      </c>
      <c r="C65" s="4"/>
      <c r="D65" s="6" t="s">
        <v>420</v>
      </c>
      <c r="E65" s="4"/>
      <c r="F65" s="4"/>
      <c r="G65" s="4"/>
      <c r="H65" s="4"/>
      <c r="I65" s="4"/>
      <c r="J65" s="4"/>
      <c r="K65" s="4"/>
      <c r="L65" s="7" t="str">
        <f aca="false">IF(N65="READY",IF(V65="KAC",IFERROR(INDEX(06_КАЦ!$R$4:$R$203,MATCH(K65,06_КАЦ!$A$4:$A$203,0)),""),IFERROR(INDEX(06а_Оценки!$F$4:$F$203,MATCH(K65,06а_Оценки!$A$4:$A$203,0)),"")),"")</f>
        <v/>
      </c>
      <c r="M65" s="7" t="str">
        <f aca="false">IF(N65="READY",ROUND(I65*L65,2),"")</f>
        <v/>
      </c>
      <c r="N65" s="5" t="str">
        <f aca="false">IF(A65="","",IF(Q65="NOT_APPLICABLE",IF(AND(COUNTIF(A$4:A$203,A65)=1,H65="OUTSIDE",R65&lt;&gt;"",O65&lt;&gt;"",COUNTIF(13_Источники!$A$4:$A$203,O65)=1),"NOT_APPLICABLE","INCOMPLETE / EXCLUSION"),IF(AND(COUNTIF(A$4:A$203,A65)=1,COUNTIF(02_WBS!$A$4:$A$200,B65)=1,C65&lt;&gt;"",COUNTIF(03_Пакеты!$A$4:$A$203,C65)=1,IFERROR(INDEX(03_Пакеты!$B$4:$B$203,MATCH(C65,03_Пакеты!$A$4:$A$203,0)),"")=B65,E65&lt;&gt;"",F65&lt;&gt;"",F65&lt;&gt;"UNKNOWN",G65&lt;&gt;"",G65&lt;&gt;"UNKNOWN",OR(H65="REMAINING",H65="SUNK",H65="OUTSIDE"),ISNUMBER(I65),I65&gt;=0,OR(AND(I65&gt;0,Q65="KNOWN"),AND(I65=0,Q65="ZERO_CONFIRMED")),J65&lt;&gt;"",K65&lt;&gt;"",OR(AND(V65="KAC",COUNTIF(06_КАЦ!$A$4:$A$203,K65)=1,IFERROR(INDEX(06_КАЦ!$V$4:$V$203,MATCH(K65,06_КАЦ!$A$4:$A$203,0)),"")="SELECTED_READY",IFERROR(INDEX(06_КАЦ!$D$4:$D$203,MATCH(K65,06_КАЦ!$A$4:$A$203,0)),"")=C65,IFERROR(INDEX(06_КАЦ!$F$4:$F$203,MATCH(K65,06_КАЦ!$A$4:$A$203,0)),"")=J65),AND(V65="DIRECT",COUNTIF(06а_Оценки!$A$4:$A$203,K65)=1,IFERROR(INDEX(06а_Оценки!$N$4:$N$203,MATCH(K65,06а_Оценки!$A$4:$A$203,0)),"")="READY",IFERROR(INDEX(06а_Оценки!$B$4:$B$203,MATCH(K65,06а_Оценки!$A$4:$A$203,0)),"")=C65,IFERROR(INDEX(06а_Оценки!$E$4:$E$203,MATCH(K65,06а_Оценки!$A$4:$A$203,0)),"")=J65)),O65&lt;&gt;"",COUNTIF(13_Источники!$A$4:$A$203,O65)=1,P65&lt;&gt;"",R65&lt;&gt;""),"READY","INCOMPLETE / LINK")))</f>
        <v>INCOMPLETE / LINK</v>
      </c>
      <c r="O65" s="4"/>
      <c r="P65" s="4"/>
      <c r="Q65" s="4" t="s">
        <v>565</v>
      </c>
      <c r="R65" s="4" t="s">
        <v>422</v>
      </c>
      <c r="S65" s="4"/>
      <c r="T65" s="4"/>
      <c r="U65" s="4"/>
      <c r="V65" s="4"/>
    </row>
    <row r="66" customFormat="false" ht="180.55" hidden="false" customHeight="false" outlineLevel="0" collapsed="false">
      <c r="A66" s="4" t="s">
        <v>627</v>
      </c>
      <c r="B66" s="4" t="s">
        <v>424</v>
      </c>
      <c r="C66" s="4"/>
      <c r="D66" s="6" t="s">
        <v>425</v>
      </c>
      <c r="E66" s="4"/>
      <c r="F66" s="4"/>
      <c r="G66" s="4"/>
      <c r="H66" s="4"/>
      <c r="I66" s="4"/>
      <c r="J66" s="4"/>
      <c r="K66" s="4"/>
      <c r="L66" s="7" t="str">
        <f aca="false">IF(N66="READY",IF(V66="KAC",IFERROR(INDEX(06_КАЦ!$R$4:$R$203,MATCH(K66,06_КАЦ!$A$4:$A$203,0)),""),IFERROR(INDEX(06а_Оценки!$F$4:$F$203,MATCH(K66,06а_Оценки!$A$4:$A$203,0)),"")),"")</f>
        <v/>
      </c>
      <c r="M66" s="7" t="str">
        <f aca="false">IF(N66="READY",ROUND(I66*L66,2),"")</f>
        <v/>
      </c>
      <c r="N66" s="5" t="str">
        <f aca="false">IF(A66="","",IF(Q66="NOT_APPLICABLE",IF(AND(COUNTIF(A$4:A$203,A66)=1,H66="OUTSIDE",R66&lt;&gt;"",O66&lt;&gt;"",COUNTIF(13_Источники!$A$4:$A$203,O66)=1),"NOT_APPLICABLE","INCOMPLETE / EXCLUSION"),IF(AND(COUNTIF(A$4:A$203,A66)=1,COUNTIF(02_WBS!$A$4:$A$200,B66)=1,C66&lt;&gt;"",COUNTIF(03_Пакеты!$A$4:$A$203,C66)=1,IFERROR(INDEX(03_Пакеты!$B$4:$B$203,MATCH(C66,03_Пакеты!$A$4:$A$203,0)),"")=B66,E66&lt;&gt;"",F66&lt;&gt;"",F66&lt;&gt;"UNKNOWN",G66&lt;&gt;"",G66&lt;&gt;"UNKNOWN",OR(H66="REMAINING",H66="SUNK",H66="OUTSIDE"),ISNUMBER(I66),I66&gt;=0,OR(AND(I66&gt;0,Q66="KNOWN"),AND(I66=0,Q66="ZERO_CONFIRMED")),J66&lt;&gt;"",K66&lt;&gt;"",OR(AND(V66="KAC",COUNTIF(06_КАЦ!$A$4:$A$203,K66)=1,IFERROR(INDEX(06_КАЦ!$V$4:$V$203,MATCH(K66,06_КАЦ!$A$4:$A$203,0)),"")="SELECTED_READY",IFERROR(INDEX(06_КАЦ!$D$4:$D$203,MATCH(K66,06_КАЦ!$A$4:$A$203,0)),"")=C66,IFERROR(INDEX(06_КАЦ!$F$4:$F$203,MATCH(K66,06_КАЦ!$A$4:$A$203,0)),"")=J66),AND(V66="DIRECT",COUNTIF(06а_Оценки!$A$4:$A$203,K66)=1,IFERROR(INDEX(06а_Оценки!$N$4:$N$203,MATCH(K66,06а_Оценки!$A$4:$A$203,0)),"")="READY",IFERROR(INDEX(06а_Оценки!$B$4:$B$203,MATCH(K66,06а_Оценки!$A$4:$A$203,0)),"")=C66,IFERROR(INDEX(06а_Оценки!$E$4:$E$203,MATCH(K66,06а_Оценки!$A$4:$A$203,0)),"")=J66)),O66&lt;&gt;"",COUNTIF(13_Источники!$A$4:$A$203,O66)=1,P66&lt;&gt;"",R66&lt;&gt;""),"READY","INCOMPLETE / LINK")))</f>
        <v>INCOMPLETE / LINK</v>
      </c>
      <c r="O66" s="4"/>
      <c r="P66" s="4"/>
      <c r="Q66" s="4" t="s">
        <v>565</v>
      </c>
      <c r="R66" s="4" t="s">
        <v>427</v>
      </c>
      <c r="S66" s="4"/>
      <c r="T66" s="4"/>
      <c r="U66" s="4"/>
      <c r="V66" s="4"/>
    </row>
    <row r="67" customFormat="false" ht="150.7" hidden="false" customHeight="false" outlineLevel="0" collapsed="false">
      <c r="A67" s="4" t="s">
        <v>628</v>
      </c>
      <c r="B67" s="4" t="s">
        <v>432</v>
      </c>
      <c r="C67" s="4"/>
      <c r="D67" s="6" t="s">
        <v>433</v>
      </c>
      <c r="E67" s="4"/>
      <c r="F67" s="4"/>
      <c r="G67" s="4"/>
      <c r="H67" s="4"/>
      <c r="I67" s="4"/>
      <c r="J67" s="4"/>
      <c r="K67" s="4"/>
      <c r="L67" s="7" t="str">
        <f aca="false">IF(N67="READY",IF(V67="KAC",IFERROR(INDEX(06_КАЦ!$R$4:$R$203,MATCH(K67,06_КАЦ!$A$4:$A$203,0)),""),IFERROR(INDEX(06а_Оценки!$F$4:$F$203,MATCH(K67,06а_Оценки!$A$4:$A$203,0)),"")),"")</f>
        <v/>
      </c>
      <c r="M67" s="7" t="str">
        <f aca="false">IF(N67="READY",ROUND(I67*L67,2),"")</f>
        <v/>
      </c>
      <c r="N67" s="5" t="str">
        <f aca="false">IF(A67="","",IF(Q67="NOT_APPLICABLE",IF(AND(COUNTIF(A$4:A$203,A67)=1,H67="OUTSIDE",R67&lt;&gt;"",O67&lt;&gt;"",COUNTIF(13_Источники!$A$4:$A$203,O67)=1),"NOT_APPLICABLE","INCOMPLETE / EXCLUSION"),IF(AND(COUNTIF(A$4:A$203,A67)=1,COUNTIF(02_WBS!$A$4:$A$200,B67)=1,C67&lt;&gt;"",COUNTIF(03_Пакеты!$A$4:$A$203,C67)=1,IFERROR(INDEX(03_Пакеты!$B$4:$B$203,MATCH(C67,03_Пакеты!$A$4:$A$203,0)),"")=B67,E67&lt;&gt;"",F67&lt;&gt;"",F67&lt;&gt;"UNKNOWN",G67&lt;&gt;"",G67&lt;&gt;"UNKNOWN",OR(H67="REMAINING",H67="SUNK",H67="OUTSIDE"),ISNUMBER(I67),I67&gt;=0,OR(AND(I67&gt;0,Q67="KNOWN"),AND(I67=0,Q67="ZERO_CONFIRMED")),J67&lt;&gt;"",K67&lt;&gt;"",OR(AND(V67="KAC",COUNTIF(06_КАЦ!$A$4:$A$203,K67)=1,IFERROR(INDEX(06_КАЦ!$V$4:$V$203,MATCH(K67,06_КАЦ!$A$4:$A$203,0)),"")="SELECTED_READY",IFERROR(INDEX(06_КАЦ!$D$4:$D$203,MATCH(K67,06_КАЦ!$A$4:$A$203,0)),"")=C67,IFERROR(INDEX(06_КАЦ!$F$4:$F$203,MATCH(K67,06_КАЦ!$A$4:$A$203,0)),"")=J67),AND(V67="DIRECT",COUNTIF(06а_Оценки!$A$4:$A$203,K67)=1,IFERROR(INDEX(06а_Оценки!$N$4:$N$203,MATCH(K67,06а_Оценки!$A$4:$A$203,0)),"")="READY",IFERROR(INDEX(06а_Оценки!$B$4:$B$203,MATCH(K67,06а_Оценки!$A$4:$A$203,0)),"")=C67,IFERROR(INDEX(06а_Оценки!$E$4:$E$203,MATCH(K67,06а_Оценки!$A$4:$A$203,0)),"")=J67)),O67&lt;&gt;"",COUNTIF(13_Источники!$A$4:$A$203,O67)=1,P67&lt;&gt;"",R67&lt;&gt;""),"READY","INCOMPLETE / LINK")))</f>
        <v>INCOMPLETE / LINK</v>
      </c>
      <c r="O67" s="4"/>
      <c r="P67" s="4"/>
      <c r="Q67" s="4" t="s">
        <v>565</v>
      </c>
      <c r="R67" s="4" t="s">
        <v>435</v>
      </c>
      <c r="S67" s="4"/>
      <c r="T67" s="4"/>
      <c r="U67" s="4"/>
      <c r="V67" s="4"/>
    </row>
    <row r="68" customFormat="false" ht="150.7" hidden="false" customHeight="false" outlineLevel="0" collapsed="false">
      <c r="A68" s="4" t="s">
        <v>629</v>
      </c>
      <c r="B68" s="4" t="s">
        <v>437</v>
      </c>
      <c r="C68" s="4"/>
      <c r="D68" s="6" t="s">
        <v>438</v>
      </c>
      <c r="E68" s="4"/>
      <c r="F68" s="4"/>
      <c r="G68" s="4"/>
      <c r="H68" s="4"/>
      <c r="I68" s="4"/>
      <c r="J68" s="4"/>
      <c r="K68" s="4"/>
      <c r="L68" s="7" t="str">
        <f aca="false">IF(N68="READY",IF(V68="KAC",IFERROR(INDEX(06_КАЦ!$R$4:$R$203,MATCH(K68,06_КАЦ!$A$4:$A$203,0)),""),IFERROR(INDEX(06а_Оценки!$F$4:$F$203,MATCH(K68,06а_Оценки!$A$4:$A$203,0)),"")),"")</f>
        <v/>
      </c>
      <c r="M68" s="7" t="str">
        <f aca="false">IF(N68="READY",ROUND(I68*L68,2),"")</f>
        <v/>
      </c>
      <c r="N68" s="5" t="str">
        <f aca="false">IF(A68="","",IF(Q68="NOT_APPLICABLE",IF(AND(COUNTIF(A$4:A$203,A68)=1,H68="OUTSIDE",R68&lt;&gt;"",O68&lt;&gt;"",COUNTIF(13_Источники!$A$4:$A$203,O68)=1),"NOT_APPLICABLE","INCOMPLETE / EXCLUSION"),IF(AND(COUNTIF(A$4:A$203,A68)=1,COUNTIF(02_WBS!$A$4:$A$200,B68)=1,C68&lt;&gt;"",COUNTIF(03_Пакеты!$A$4:$A$203,C68)=1,IFERROR(INDEX(03_Пакеты!$B$4:$B$203,MATCH(C68,03_Пакеты!$A$4:$A$203,0)),"")=B68,E68&lt;&gt;"",F68&lt;&gt;"",F68&lt;&gt;"UNKNOWN",G68&lt;&gt;"",G68&lt;&gt;"UNKNOWN",OR(H68="REMAINING",H68="SUNK",H68="OUTSIDE"),ISNUMBER(I68),I68&gt;=0,OR(AND(I68&gt;0,Q68="KNOWN"),AND(I68=0,Q68="ZERO_CONFIRMED")),J68&lt;&gt;"",K68&lt;&gt;"",OR(AND(V68="KAC",COUNTIF(06_КАЦ!$A$4:$A$203,K68)=1,IFERROR(INDEX(06_КАЦ!$V$4:$V$203,MATCH(K68,06_КАЦ!$A$4:$A$203,0)),"")="SELECTED_READY",IFERROR(INDEX(06_КАЦ!$D$4:$D$203,MATCH(K68,06_КАЦ!$A$4:$A$203,0)),"")=C68,IFERROR(INDEX(06_КАЦ!$F$4:$F$203,MATCH(K68,06_КАЦ!$A$4:$A$203,0)),"")=J68),AND(V68="DIRECT",COUNTIF(06а_Оценки!$A$4:$A$203,K68)=1,IFERROR(INDEX(06а_Оценки!$N$4:$N$203,MATCH(K68,06а_Оценки!$A$4:$A$203,0)),"")="READY",IFERROR(INDEX(06а_Оценки!$B$4:$B$203,MATCH(K68,06а_Оценки!$A$4:$A$203,0)),"")=C68,IFERROR(INDEX(06а_Оценки!$E$4:$E$203,MATCH(K68,06а_Оценки!$A$4:$A$203,0)),"")=J68)),O68&lt;&gt;"",COUNTIF(13_Источники!$A$4:$A$203,O68)=1,P68&lt;&gt;"",R68&lt;&gt;""),"READY","INCOMPLETE / LINK")))</f>
        <v>INCOMPLETE / LINK</v>
      </c>
      <c r="O68" s="4"/>
      <c r="P68" s="4"/>
      <c r="Q68" s="4" t="s">
        <v>565</v>
      </c>
      <c r="R68" s="4" t="s">
        <v>440</v>
      </c>
      <c r="S68" s="4"/>
      <c r="T68" s="4"/>
      <c r="U68" s="4"/>
      <c r="V68" s="4"/>
    </row>
    <row r="69" customFormat="false" ht="165.65" hidden="false" customHeight="false" outlineLevel="0" collapsed="false">
      <c r="A69" s="4" t="s">
        <v>630</v>
      </c>
      <c r="B69" s="4" t="s">
        <v>442</v>
      </c>
      <c r="C69" s="4"/>
      <c r="D69" s="6" t="s">
        <v>443</v>
      </c>
      <c r="E69" s="4"/>
      <c r="F69" s="4"/>
      <c r="G69" s="4"/>
      <c r="H69" s="4"/>
      <c r="I69" s="4"/>
      <c r="J69" s="4"/>
      <c r="K69" s="4"/>
      <c r="L69" s="7" t="str">
        <f aca="false">IF(N69="READY",IF(V69="KAC",IFERROR(INDEX(06_КАЦ!$R$4:$R$203,MATCH(K69,06_КАЦ!$A$4:$A$203,0)),""),IFERROR(INDEX(06а_Оценки!$F$4:$F$203,MATCH(K69,06а_Оценки!$A$4:$A$203,0)),"")),"")</f>
        <v/>
      </c>
      <c r="M69" s="7" t="str">
        <f aca="false">IF(N69="READY",ROUND(I69*L69,2),"")</f>
        <v/>
      </c>
      <c r="N69" s="5" t="str">
        <f aca="false">IF(A69="","",IF(Q69="NOT_APPLICABLE",IF(AND(COUNTIF(A$4:A$203,A69)=1,H69="OUTSIDE",R69&lt;&gt;"",O69&lt;&gt;"",COUNTIF(13_Источники!$A$4:$A$203,O69)=1),"NOT_APPLICABLE","INCOMPLETE / EXCLUSION"),IF(AND(COUNTIF(A$4:A$203,A69)=1,COUNTIF(02_WBS!$A$4:$A$200,B69)=1,C69&lt;&gt;"",COUNTIF(03_Пакеты!$A$4:$A$203,C69)=1,IFERROR(INDEX(03_Пакеты!$B$4:$B$203,MATCH(C69,03_Пакеты!$A$4:$A$203,0)),"")=B69,E69&lt;&gt;"",F69&lt;&gt;"",F69&lt;&gt;"UNKNOWN",G69&lt;&gt;"",G69&lt;&gt;"UNKNOWN",OR(H69="REMAINING",H69="SUNK",H69="OUTSIDE"),ISNUMBER(I69),I69&gt;=0,OR(AND(I69&gt;0,Q69="KNOWN"),AND(I69=0,Q69="ZERO_CONFIRMED")),J69&lt;&gt;"",K69&lt;&gt;"",OR(AND(V69="KAC",COUNTIF(06_КАЦ!$A$4:$A$203,K69)=1,IFERROR(INDEX(06_КАЦ!$V$4:$V$203,MATCH(K69,06_КАЦ!$A$4:$A$203,0)),"")="SELECTED_READY",IFERROR(INDEX(06_КАЦ!$D$4:$D$203,MATCH(K69,06_КАЦ!$A$4:$A$203,0)),"")=C69,IFERROR(INDEX(06_КАЦ!$F$4:$F$203,MATCH(K69,06_КАЦ!$A$4:$A$203,0)),"")=J69),AND(V69="DIRECT",COUNTIF(06а_Оценки!$A$4:$A$203,K69)=1,IFERROR(INDEX(06а_Оценки!$N$4:$N$203,MATCH(K69,06а_Оценки!$A$4:$A$203,0)),"")="READY",IFERROR(INDEX(06а_Оценки!$B$4:$B$203,MATCH(K69,06а_Оценки!$A$4:$A$203,0)),"")=C69,IFERROR(INDEX(06а_Оценки!$E$4:$E$203,MATCH(K69,06а_Оценки!$A$4:$A$203,0)),"")=J69)),O69&lt;&gt;"",COUNTIF(13_Источники!$A$4:$A$203,O69)=1,P69&lt;&gt;"",R69&lt;&gt;""),"READY","INCOMPLETE / LINK")))</f>
        <v>INCOMPLETE / LINK</v>
      </c>
      <c r="O69" s="4"/>
      <c r="P69" s="4"/>
      <c r="Q69" s="4" t="s">
        <v>565</v>
      </c>
      <c r="R69" s="4" t="s">
        <v>445</v>
      </c>
      <c r="S69" s="4"/>
      <c r="T69" s="4"/>
      <c r="U69" s="4"/>
      <c r="V69" s="4"/>
    </row>
    <row r="70" customFormat="false" ht="61.15" hidden="false" customHeight="false" outlineLevel="0" collapsed="false">
      <c r="A70" s="4" t="s">
        <v>631</v>
      </c>
      <c r="B70" s="4" t="s">
        <v>447</v>
      </c>
      <c r="C70" s="4"/>
      <c r="D70" s="6" t="s">
        <v>448</v>
      </c>
      <c r="E70" s="4"/>
      <c r="F70" s="4"/>
      <c r="G70" s="4"/>
      <c r="H70" s="4"/>
      <c r="I70" s="4"/>
      <c r="J70" s="4"/>
      <c r="K70" s="4"/>
      <c r="L70" s="7" t="str">
        <f aca="false">IF(N70="READY",IF(V70="KAC",IFERROR(INDEX(06_КАЦ!$R$4:$R$203,MATCH(K70,06_КАЦ!$A$4:$A$203,0)),""),IFERROR(INDEX(06а_Оценки!$F$4:$F$203,MATCH(K70,06а_Оценки!$A$4:$A$203,0)),"")),"")</f>
        <v/>
      </c>
      <c r="M70" s="7" t="str">
        <f aca="false">IF(N70="READY",ROUND(I70*L70,2),"")</f>
        <v/>
      </c>
      <c r="N70" s="5" t="str">
        <f aca="false">IF(A70="","",IF(Q70="NOT_APPLICABLE",IF(AND(COUNTIF(A$4:A$203,A70)=1,H70="OUTSIDE",R70&lt;&gt;"",O70&lt;&gt;"",COUNTIF(13_Источники!$A$4:$A$203,O70)=1),"NOT_APPLICABLE","INCOMPLETE / EXCLUSION"),IF(AND(COUNTIF(A$4:A$203,A70)=1,COUNTIF(02_WBS!$A$4:$A$200,B70)=1,C70&lt;&gt;"",COUNTIF(03_Пакеты!$A$4:$A$203,C70)=1,IFERROR(INDEX(03_Пакеты!$B$4:$B$203,MATCH(C70,03_Пакеты!$A$4:$A$203,0)),"")=B70,E70&lt;&gt;"",F70&lt;&gt;"",F70&lt;&gt;"UNKNOWN",G70&lt;&gt;"",G70&lt;&gt;"UNKNOWN",OR(H70="REMAINING",H70="SUNK",H70="OUTSIDE"),ISNUMBER(I70),I70&gt;=0,OR(AND(I70&gt;0,Q70="KNOWN"),AND(I70=0,Q70="ZERO_CONFIRMED")),J70&lt;&gt;"",K70&lt;&gt;"",OR(AND(V70="KAC",COUNTIF(06_КАЦ!$A$4:$A$203,K70)=1,IFERROR(INDEX(06_КАЦ!$V$4:$V$203,MATCH(K70,06_КАЦ!$A$4:$A$203,0)),"")="SELECTED_READY",IFERROR(INDEX(06_КАЦ!$D$4:$D$203,MATCH(K70,06_КАЦ!$A$4:$A$203,0)),"")=C70,IFERROR(INDEX(06_КАЦ!$F$4:$F$203,MATCH(K70,06_КАЦ!$A$4:$A$203,0)),"")=J70),AND(V70="DIRECT",COUNTIF(06а_Оценки!$A$4:$A$203,K70)=1,IFERROR(INDEX(06а_Оценки!$N$4:$N$203,MATCH(K70,06а_Оценки!$A$4:$A$203,0)),"")="READY",IFERROR(INDEX(06а_Оценки!$B$4:$B$203,MATCH(K70,06а_Оценки!$A$4:$A$203,0)),"")=C70,IFERROR(INDEX(06а_Оценки!$E$4:$E$203,MATCH(K70,06а_Оценки!$A$4:$A$203,0)),"")=J70)),O70&lt;&gt;"",COUNTIF(13_Источники!$A$4:$A$203,O70)=1,P70&lt;&gt;"",R70&lt;&gt;""),"READY","INCOMPLETE / LINK")))</f>
        <v>INCOMPLETE / LINK</v>
      </c>
      <c r="O70" s="4"/>
      <c r="P70" s="4"/>
      <c r="Q70" s="4" t="s">
        <v>565</v>
      </c>
      <c r="R70" s="4" t="s">
        <v>450</v>
      </c>
      <c r="S70" s="4"/>
      <c r="T70" s="4"/>
      <c r="U70" s="4"/>
      <c r="V70" s="4"/>
    </row>
    <row r="71" customFormat="false" ht="91" hidden="false" customHeight="false" outlineLevel="0" collapsed="false">
      <c r="A71" s="4" t="s">
        <v>632</v>
      </c>
      <c r="B71" s="4" t="s">
        <v>455</v>
      </c>
      <c r="C71" s="4"/>
      <c r="D71" s="6" t="s">
        <v>456</v>
      </c>
      <c r="E71" s="4"/>
      <c r="F71" s="4"/>
      <c r="G71" s="4"/>
      <c r="H71" s="4"/>
      <c r="I71" s="4"/>
      <c r="J71" s="4"/>
      <c r="K71" s="4"/>
      <c r="L71" s="7" t="str">
        <f aca="false">IF(N71="READY",IF(V71="KAC",IFERROR(INDEX(06_КАЦ!$R$4:$R$203,MATCH(K71,06_КАЦ!$A$4:$A$203,0)),""),IFERROR(INDEX(06а_Оценки!$F$4:$F$203,MATCH(K71,06а_Оценки!$A$4:$A$203,0)),"")),"")</f>
        <v/>
      </c>
      <c r="M71" s="7" t="str">
        <f aca="false">IF(N71="READY",ROUND(I71*L71,2),"")</f>
        <v/>
      </c>
      <c r="N71" s="5" t="str">
        <f aca="false">IF(A71="","",IF(Q71="NOT_APPLICABLE",IF(AND(COUNTIF(A$4:A$203,A71)=1,H71="OUTSIDE",R71&lt;&gt;"",O71&lt;&gt;"",COUNTIF(13_Источники!$A$4:$A$203,O71)=1),"NOT_APPLICABLE","INCOMPLETE / EXCLUSION"),IF(AND(COUNTIF(A$4:A$203,A71)=1,COUNTIF(02_WBS!$A$4:$A$200,B71)=1,C71&lt;&gt;"",COUNTIF(03_Пакеты!$A$4:$A$203,C71)=1,IFERROR(INDEX(03_Пакеты!$B$4:$B$203,MATCH(C71,03_Пакеты!$A$4:$A$203,0)),"")=B71,E71&lt;&gt;"",F71&lt;&gt;"",F71&lt;&gt;"UNKNOWN",G71&lt;&gt;"",G71&lt;&gt;"UNKNOWN",OR(H71="REMAINING",H71="SUNK",H71="OUTSIDE"),ISNUMBER(I71),I71&gt;=0,OR(AND(I71&gt;0,Q71="KNOWN"),AND(I71=0,Q71="ZERO_CONFIRMED")),J71&lt;&gt;"",K71&lt;&gt;"",OR(AND(V71="KAC",COUNTIF(06_КАЦ!$A$4:$A$203,K71)=1,IFERROR(INDEX(06_КАЦ!$V$4:$V$203,MATCH(K71,06_КАЦ!$A$4:$A$203,0)),"")="SELECTED_READY",IFERROR(INDEX(06_КАЦ!$D$4:$D$203,MATCH(K71,06_КАЦ!$A$4:$A$203,0)),"")=C71,IFERROR(INDEX(06_КАЦ!$F$4:$F$203,MATCH(K71,06_КАЦ!$A$4:$A$203,0)),"")=J71),AND(V71="DIRECT",COUNTIF(06а_Оценки!$A$4:$A$203,K71)=1,IFERROR(INDEX(06а_Оценки!$N$4:$N$203,MATCH(K71,06а_Оценки!$A$4:$A$203,0)),"")="READY",IFERROR(INDEX(06а_Оценки!$B$4:$B$203,MATCH(K71,06а_Оценки!$A$4:$A$203,0)),"")=C71,IFERROR(INDEX(06а_Оценки!$E$4:$E$203,MATCH(K71,06а_Оценки!$A$4:$A$203,0)),"")=J71)),O71&lt;&gt;"",COUNTIF(13_Источники!$A$4:$A$203,O71)=1,P71&lt;&gt;"",R71&lt;&gt;""),"READY","INCOMPLETE / LINK")))</f>
        <v>INCOMPLETE / LINK</v>
      </c>
      <c r="O71" s="4"/>
      <c r="P71" s="4"/>
      <c r="Q71" s="4" t="s">
        <v>565</v>
      </c>
      <c r="R71" s="4" t="s">
        <v>458</v>
      </c>
      <c r="S71" s="4"/>
      <c r="T71" s="4"/>
      <c r="U71" s="4"/>
      <c r="V71" s="4"/>
    </row>
    <row r="72" customFormat="false" ht="76.1" hidden="false" customHeight="false" outlineLevel="0" collapsed="false">
      <c r="A72" s="4" t="s">
        <v>633</v>
      </c>
      <c r="B72" s="4" t="s">
        <v>460</v>
      </c>
      <c r="C72" s="4"/>
      <c r="D72" s="6" t="s">
        <v>461</v>
      </c>
      <c r="E72" s="4"/>
      <c r="F72" s="4"/>
      <c r="G72" s="4"/>
      <c r="H72" s="4"/>
      <c r="I72" s="4"/>
      <c r="J72" s="4"/>
      <c r="K72" s="4"/>
      <c r="L72" s="7" t="str">
        <f aca="false">IF(N72="READY",IF(V72="KAC",IFERROR(INDEX(06_КАЦ!$R$4:$R$203,MATCH(K72,06_КАЦ!$A$4:$A$203,0)),""),IFERROR(INDEX(06а_Оценки!$F$4:$F$203,MATCH(K72,06а_Оценки!$A$4:$A$203,0)),"")),"")</f>
        <v/>
      </c>
      <c r="M72" s="7" t="str">
        <f aca="false">IF(N72="READY",ROUND(I72*L72,2),"")</f>
        <v/>
      </c>
      <c r="N72" s="5" t="str">
        <f aca="false">IF(A72="","",IF(Q72="NOT_APPLICABLE",IF(AND(COUNTIF(A$4:A$203,A72)=1,H72="OUTSIDE",R72&lt;&gt;"",O72&lt;&gt;"",COUNTIF(13_Источники!$A$4:$A$203,O72)=1),"NOT_APPLICABLE","INCOMPLETE / EXCLUSION"),IF(AND(COUNTIF(A$4:A$203,A72)=1,COUNTIF(02_WBS!$A$4:$A$200,B72)=1,C72&lt;&gt;"",COUNTIF(03_Пакеты!$A$4:$A$203,C72)=1,IFERROR(INDEX(03_Пакеты!$B$4:$B$203,MATCH(C72,03_Пакеты!$A$4:$A$203,0)),"")=B72,E72&lt;&gt;"",F72&lt;&gt;"",F72&lt;&gt;"UNKNOWN",G72&lt;&gt;"",G72&lt;&gt;"UNKNOWN",OR(H72="REMAINING",H72="SUNK",H72="OUTSIDE"),ISNUMBER(I72),I72&gt;=0,OR(AND(I72&gt;0,Q72="KNOWN"),AND(I72=0,Q72="ZERO_CONFIRMED")),J72&lt;&gt;"",K72&lt;&gt;"",OR(AND(V72="KAC",COUNTIF(06_КАЦ!$A$4:$A$203,K72)=1,IFERROR(INDEX(06_КАЦ!$V$4:$V$203,MATCH(K72,06_КАЦ!$A$4:$A$203,0)),"")="SELECTED_READY",IFERROR(INDEX(06_КАЦ!$D$4:$D$203,MATCH(K72,06_КАЦ!$A$4:$A$203,0)),"")=C72,IFERROR(INDEX(06_КАЦ!$F$4:$F$203,MATCH(K72,06_КАЦ!$A$4:$A$203,0)),"")=J72),AND(V72="DIRECT",COUNTIF(06а_Оценки!$A$4:$A$203,K72)=1,IFERROR(INDEX(06а_Оценки!$N$4:$N$203,MATCH(K72,06а_Оценки!$A$4:$A$203,0)),"")="READY",IFERROR(INDEX(06а_Оценки!$B$4:$B$203,MATCH(K72,06а_Оценки!$A$4:$A$203,0)),"")=C72,IFERROR(INDEX(06а_Оценки!$E$4:$E$203,MATCH(K72,06а_Оценки!$A$4:$A$203,0)),"")=J72)),O72&lt;&gt;"",COUNTIF(13_Источники!$A$4:$A$203,O72)=1,P72&lt;&gt;"",R72&lt;&gt;""),"READY","INCOMPLETE / LINK")))</f>
        <v>INCOMPLETE / LINK</v>
      </c>
      <c r="O72" s="4"/>
      <c r="P72" s="4"/>
      <c r="Q72" s="4" t="s">
        <v>565</v>
      </c>
      <c r="R72" s="4" t="s">
        <v>463</v>
      </c>
      <c r="S72" s="4"/>
      <c r="T72" s="4"/>
      <c r="U72" s="4"/>
      <c r="V72" s="4"/>
    </row>
    <row r="73" customFormat="false" ht="61.15" hidden="false" customHeight="false" outlineLevel="0" collapsed="false">
      <c r="A73" s="4" t="s">
        <v>634</v>
      </c>
      <c r="B73" s="4" t="s">
        <v>465</v>
      </c>
      <c r="C73" s="4"/>
      <c r="D73" s="6" t="s">
        <v>466</v>
      </c>
      <c r="E73" s="4"/>
      <c r="F73" s="4"/>
      <c r="G73" s="4"/>
      <c r="H73" s="4"/>
      <c r="I73" s="4"/>
      <c r="J73" s="4"/>
      <c r="K73" s="4"/>
      <c r="L73" s="7" t="str">
        <f aca="false">IF(N73="READY",IF(V73="KAC",IFERROR(INDEX(06_КАЦ!$R$4:$R$203,MATCH(K73,06_КАЦ!$A$4:$A$203,0)),""),IFERROR(INDEX(06а_Оценки!$F$4:$F$203,MATCH(K73,06а_Оценки!$A$4:$A$203,0)),"")),"")</f>
        <v/>
      </c>
      <c r="M73" s="7" t="str">
        <f aca="false">IF(N73="READY",ROUND(I73*L73,2),"")</f>
        <v/>
      </c>
      <c r="N73" s="5" t="str">
        <f aca="false">IF(A73="","",IF(Q73="NOT_APPLICABLE",IF(AND(COUNTIF(A$4:A$203,A73)=1,H73="OUTSIDE",R73&lt;&gt;"",O73&lt;&gt;"",COUNTIF(13_Источники!$A$4:$A$203,O73)=1),"NOT_APPLICABLE","INCOMPLETE / EXCLUSION"),IF(AND(COUNTIF(A$4:A$203,A73)=1,COUNTIF(02_WBS!$A$4:$A$200,B73)=1,C73&lt;&gt;"",COUNTIF(03_Пакеты!$A$4:$A$203,C73)=1,IFERROR(INDEX(03_Пакеты!$B$4:$B$203,MATCH(C73,03_Пакеты!$A$4:$A$203,0)),"")=B73,E73&lt;&gt;"",F73&lt;&gt;"",F73&lt;&gt;"UNKNOWN",G73&lt;&gt;"",G73&lt;&gt;"UNKNOWN",OR(H73="REMAINING",H73="SUNK",H73="OUTSIDE"),ISNUMBER(I73),I73&gt;=0,OR(AND(I73&gt;0,Q73="KNOWN"),AND(I73=0,Q73="ZERO_CONFIRMED")),J73&lt;&gt;"",K73&lt;&gt;"",OR(AND(V73="KAC",COUNTIF(06_КАЦ!$A$4:$A$203,K73)=1,IFERROR(INDEX(06_КАЦ!$V$4:$V$203,MATCH(K73,06_КАЦ!$A$4:$A$203,0)),"")="SELECTED_READY",IFERROR(INDEX(06_КАЦ!$D$4:$D$203,MATCH(K73,06_КАЦ!$A$4:$A$203,0)),"")=C73,IFERROR(INDEX(06_КАЦ!$F$4:$F$203,MATCH(K73,06_КАЦ!$A$4:$A$203,0)),"")=J73),AND(V73="DIRECT",COUNTIF(06а_Оценки!$A$4:$A$203,K73)=1,IFERROR(INDEX(06а_Оценки!$N$4:$N$203,MATCH(K73,06а_Оценки!$A$4:$A$203,0)),"")="READY",IFERROR(INDEX(06а_Оценки!$B$4:$B$203,MATCH(K73,06а_Оценки!$A$4:$A$203,0)),"")=C73,IFERROR(INDEX(06а_Оценки!$E$4:$E$203,MATCH(K73,06а_Оценки!$A$4:$A$203,0)),"")=J73)),O73&lt;&gt;"",COUNTIF(13_Источники!$A$4:$A$203,O73)=1,P73&lt;&gt;"",R73&lt;&gt;""),"READY","INCOMPLETE / LINK")))</f>
        <v>INCOMPLETE / LINK</v>
      </c>
      <c r="O73" s="4"/>
      <c r="P73" s="4"/>
      <c r="Q73" s="4" t="s">
        <v>565</v>
      </c>
      <c r="R73" s="4" t="s">
        <v>468</v>
      </c>
      <c r="S73" s="4"/>
      <c r="T73" s="4"/>
      <c r="U73" s="4"/>
      <c r="V73" s="4"/>
    </row>
    <row r="74" customFormat="false" ht="61.15" hidden="false" customHeight="false" outlineLevel="0" collapsed="false">
      <c r="A74" s="4" t="s">
        <v>635</v>
      </c>
      <c r="B74" s="4" t="s">
        <v>470</v>
      </c>
      <c r="C74" s="4"/>
      <c r="D74" s="6" t="s">
        <v>471</v>
      </c>
      <c r="E74" s="4"/>
      <c r="F74" s="4"/>
      <c r="G74" s="4"/>
      <c r="H74" s="4"/>
      <c r="I74" s="4"/>
      <c r="J74" s="4"/>
      <c r="K74" s="4"/>
      <c r="L74" s="7" t="str">
        <f aca="false">IF(N74="READY",IF(V74="KAC",IFERROR(INDEX(06_КАЦ!$R$4:$R$203,MATCH(K74,06_КАЦ!$A$4:$A$203,0)),""),IFERROR(INDEX(06а_Оценки!$F$4:$F$203,MATCH(K74,06а_Оценки!$A$4:$A$203,0)),"")),"")</f>
        <v/>
      </c>
      <c r="M74" s="7" t="str">
        <f aca="false">IF(N74="READY",ROUND(I74*L74,2),"")</f>
        <v/>
      </c>
      <c r="N74" s="5" t="str">
        <f aca="false">IF(A74="","",IF(Q74="NOT_APPLICABLE",IF(AND(COUNTIF(A$4:A$203,A74)=1,H74="OUTSIDE",R74&lt;&gt;"",O74&lt;&gt;"",COUNTIF(13_Источники!$A$4:$A$203,O74)=1),"NOT_APPLICABLE","INCOMPLETE / EXCLUSION"),IF(AND(COUNTIF(A$4:A$203,A74)=1,COUNTIF(02_WBS!$A$4:$A$200,B74)=1,C74&lt;&gt;"",COUNTIF(03_Пакеты!$A$4:$A$203,C74)=1,IFERROR(INDEX(03_Пакеты!$B$4:$B$203,MATCH(C74,03_Пакеты!$A$4:$A$203,0)),"")=B74,E74&lt;&gt;"",F74&lt;&gt;"",F74&lt;&gt;"UNKNOWN",G74&lt;&gt;"",G74&lt;&gt;"UNKNOWN",OR(H74="REMAINING",H74="SUNK",H74="OUTSIDE"),ISNUMBER(I74),I74&gt;=0,OR(AND(I74&gt;0,Q74="KNOWN"),AND(I74=0,Q74="ZERO_CONFIRMED")),J74&lt;&gt;"",K74&lt;&gt;"",OR(AND(V74="KAC",COUNTIF(06_КАЦ!$A$4:$A$203,K74)=1,IFERROR(INDEX(06_КАЦ!$V$4:$V$203,MATCH(K74,06_КАЦ!$A$4:$A$203,0)),"")="SELECTED_READY",IFERROR(INDEX(06_КАЦ!$D$4:$D$203,MATCH(K74,06_КАЦ!$A$4:$A$203,0)),"")=C74,IFERROR(INDEX(06_КАЦ!$F$4:$F$203,MATCH(K74,06_КАЦ!$A$4:$A$203,0)),"")=J74),AND(V74="DIRECT",COUNTIF(06а_Оценки!$A$4:$A$203,K74)=1,IFERROR(INDEX(06а_Оценки!$N$4:$N$203,MATCH(K74,06а_Оценки!$A$4:$A$203,0)),"")="READY",IFERROR(INDEX(06а_Оценки!$B$4:$B$203,MATCH(K74,06а_Оценки!$A$4:$A$203,0)),"")=C74,IFERROR(INDEX(06а_Оценки!$E$4:$E$203,MATCH(K74,06а_Оценки!$A$4:$A$203,0)),"")=J74)),O74&lt;&gt;"",COUNTIF(13_Источники!$A$4:$A$203,O74)=1,P74&lt;&gt;"",R74&lt;&gt;""),"READY","INCOMPLETE / LINK")))</f>
        <v>INCOMPLETE / LINK</v>
      </c>
      <c r="O74" s="4"/>
      <c r="P74" s="4"/>
      <c r="Q74" s="4" t="s">
        <v>565</v>
      </c>
      <c r="R74" s="4" t="s">
        <v>473</v>
      </c>
      <c r="S74" s="4"/>
      <c r="T74" s="4"/>
      <c r="U74" s="4"/>
      <c r="V74" s="4"/>
    </row>
    <row r="75" customFormat="false" ht="61.15" hidden="false" customHeight="false" outlineLevel="0" collapsed="false">
      <c r="A75" s="4" t="s">
        <v>636</v>
      </c>
      <c r="B75" s="4" t="s">
        <v>475</v>
      </c>
      <c r="C75" s="4"/>
      <c r="D75" s="6" t="s">
        <v>476</v>
      </c>
      <c r="E75" s="4"/>
      <c r="F75" s="4"/>
      <c r="G75" s="4"/>
      <c r="H75" s="4"/>
      <c r="I75" s="4"/>
      <c r="J75" s="4"/>
      <c r="K75" s="4"/>
      <c r="L75" s="7" t="str">
        <f aca="false">IF(N75="READY",IF(V75="KAC",IFERROR(INDEX(06_КАЦ!$R$4:$R$203,MATCH(K75,06_КАЦ!$A$4:$A$203,0)),""),IFERROR(INDEX(06а_Оценки!$F$4:$F$203,MATCH(K75,06а_Оценки!$A$4:$A$203,0)),"")),"")</f>
        <v/>
      </c>
      <c r="M75" s="7" t="str">
        <f aca="false">IF(N75="READY",ROUND(I75*L75,2),"")</f>
        <v/>
      </c>
      <c r="N75" s="5" t="str">
        <f aca="false">IF(A75="","",IF(Q75="NOT_APPLICABLE",IF(AND(COUNTIF(A$4:A$203,A75)=1,H75="OUTSIDE",R75&lt;&gt;"",O75&lt;&gt;"",COUNTIF(13_Источники!$A$4:$A$203,O75)=1),"NOT_APPLICABLE","INCOMPLETE / EXCLUSION"),IF(AND(COUNTIF(A$4:A$203,A75)=1,COUNTIF(02_WBS!$A$4:$A$200,B75)=1,C75&lt;&gt;"",COUNTIF(03_Пакеты!$A$4:$A$203,C75)=1,IFERROR(INDEX(03_Пакеты!$B$4:$B$203,MATCH(C75,03_Пакеты!$A$4:$A$203,0)),"")=B75,E75&lt;&gt;"",F75&lt;&gt;"",F75&lt;&gt;"UNKNOWN",G75&lt;&gt;"",G75&lt;&gt;"UNKNOWN",OR(H75="REMAINING",H75="SUNK",H75="OUTSIDE"),ISNUMBER(I75),I75&gt;=0,OR(AND(I75&gt;0,Q75="KNOWN"),AND(I75=0,Q75="ZERO_CONFIRMED")),J75&lt;&gt;"",K75&lt;&gt;"",OR(AND(V75="KAC",COUNTIF(06_КАЦ!$A$4:$A$203,K75)=1,IFERROR(INDEX(06_КАЦ!$V$4:$V$203,MATCH(K75,06_КАЦ!$A$4:$A$203,0)),"")="SELECTED_READY",IFERROR(INDEX(06_КАЦ!$D$4:$D$203,MATCH(K75,06_КАЦ!$A$4:$A$203,0)),"")=C75,IFERROR(INDEX(06_КАЦ!$F$4:$F$203,MATCH(K75,06_КАЦ!$A$4:$A$203,0)),"")=J75),AND(V75="DIRECT",COUNTIF(06а_Оценки!$A$4:$A$203,K75)=1,IFERROR(INDEX(06а_Оценки!$N$4:$N$203,MATCH(K75,06а_Оценки!$A$4:$A$203,0)),"")="READY",IFERROR(INDEX(06а_Оценки!$B$4:$B$203,MATCH(K75,06а_Оценки!$A$4:$A$203,0)),"")=C75,IFERROR(INDEX(06а_Оценки!$E$4:$E$203,MATCH(K75,06а_Оценки!$A$4:$A$203,0)),"")=J75)),O75&lt;&gt;"",COUNTIF(13_Источники!$A$4:$A$203,O75)=1,P75&lt;&gt;"",R75&lt;&gt;""),"READY","INCOMPLETE / LINK")))</f>
        <v>INCOMPLETE / LINK</v>
      </c>
      <c r="O75" s="4"/>
      <c r="P75" s="4"/>
      <c r="Q75" s="4" t="s">
        <v>565</v>
      </c>
      <c r="R75" s="4" t="s">
        <v>478</v>
      </c>
      <c r="S75" s="4"/>
      <c r="T75" s="4"/>
      <c r="U75" s="4"/>
      <c r="V75" s="4"/>
    </row>
    <row r="76" customFormat="false" ht="15" hidden="false" customHeight="false" outlineLevel="0" collapsed="false">
      <c r="A76" s="4"/>
      <c r="B76" s="4"/>
      <c r="C76" s="4"/>
      <c r="D76" s="6"/>
      <c r="E76" s="4"/>
      <c r="F76" s="4"/>
      <c r="G76" s="4"/>
      <c r="H76" s="4"/>
      <c r="I76" s="4"/>
      <c r="J76" s="4"/>
      <c r="K76" s="4"/>
      <c r="L76" s="7" t="str">
        <f aca="false">IF(N76="READY",IF(V76="KAC",IFERROR(INDEX(06_КАЦ!$R$4:$R$203,MATCH(K76,06_КАЦ!$A$4:$A$203,0)),""),IFERROR(INDEX(06а_Оценки!$F$4:$F$203,MATCH(K76,06а_Оценки!$A$4:$A$203,0)),"")),"")</f>
        <v/>
      </c>
      <c r="M76" s="7" t="str">
        <f aca="false">IF(N76="READY",ROUND(I76*L76,2),"")</f>
        <v/>
      </c>
      <c r="N76" s="5" t="str">
        <f aca="false">IF(A76="","",IF(Q76="NOT_APPLICABLE",IF(AND(COUNTIF(A$4:A$203,A76)=1,H76="OUTSIDE",R76&lt;&gt;"",O76&lt;&gt;"",COUNTIF(13_Источники!$A$4:$A$203,O76)=1),"NOT_APPLICABLE","INCOMPLETE / EXCLUSION"),IF(AND(COUNTIF(A$4:A$203,A76)=1,COUNTIF(02_WBS!$A$4:$A$200,B76)=1,C76&lt;&gt;"",COUNTIF(03_Пакеты!$A$4:$A$203,C76)=1,IFERROR(INDEX(03_Пакеты!$B$4:$B$203,MATCH(C76,03_Пакеты!$A$4:$A$203,0)),"")=B76,E76&lt;&gt;"",F76&lt;&gt;"",F76&lt;&gt;"UNKNOWN",G76&lt;&gt;"",G76&lt;&gt;"UNKNOWN",OR(H76="REMAINING",H76="SUNK",H76="OUTSIDE"),ISNUMBER(I76),I76&gt;=0,OR(AND(I76&gt;0,Q76="KNOWN"),AND(I76=0,Q76="ZERO_CONFIRMED")),J76&lt;&gt;"",K76&lt;&gt;"",OR(AND(V76="KAC",COUNTIF(06_КАЦ!$A$4:$A$203,K76)=1,IFERROR(INDEX(06_КАЦ!$V$4:$V$203,MATCH(K76,06_КАЦ!$A$4:$A$203,0)),"")="SELECTED_READY",IFERROR(INDEX(06_КАЦ!$D$4:$D$203,MATCH(K76,06_КАЦ!$A$4:$A$203,0)),"")=C76,IFERROR(INDEX(06_КАЦ!$F$4:$F$203,MATCH(K76,06_КАЦ!$A$4:$A$203,0)),"")=J76),AND(V76="DIRECT",COUNTIF(06а_Оценки!$A$4:$A$203,K76)=1,IFERROR(INDEX(06а_Оценки!$N$4:$N$203,MATCH(K76,06а_Оценки!$A$4:$A$203,0)),"")="READY",IFERROR(INDEX(06а_Оценки!$B$4:$B$203,MATCH(K76,06а_Оценки!$A$4:$A$203,0)),"")=C76,IFERROR(INDEX(06а_Оценки!$E$4:$E$203,MATCH(K76,06а_Оценки!$A$4:$A$203,0)),"")=J76)),O76&lt;&gt;"",COUNTIF(13_Источники!$A$4:$A$203,O76)=1,P76&lt;&gt;"",R76&lt;&gt;""),"READY","INCOMPLETE / LINK")))</f>
        <v/>
      </c>
      <c r="O76" s="4"/>
      <c r="P76" s="4"/>
      <c r="Q76" s="4"/>
      <c r="R76" s="4"/>
      <c r="S76" s="4"/>
      <c r="T76" s="4"/>
      <c r="U76" s="4"/>
      <c r="V76" s="4"/>
    </row>
    <row r="77" customFormat="false" ht="15" hidden="false" customHeight="false" outlineLevel="0" collapsed="false">
      <c r="A77" s="4"/>
      <c r="B77" s="4"/>
      <c r="C77" s="4"/>
      <c r="D77" s="6"/>
      <c r="E77" s="4"/>
      <c r="F77" s="4"/>
      <c r="G77" s="4"/>
      <c r="H77" s="4"/>
      <c r="I77" s="4"/>
      <c r="J77" s="4"/>
      <c r="K77" s="4"/>
      <c r="L77" s="7" t="str">
        <f aca="false">IF(N77="READY",IF(V77="KAC",IFERROR(INDEX(06_КАЦ!$R$4:$R$203,MATCH(K77,06_КАЦ!$A$4:$A$203,0)),""),IFERROR(INDEX(06а_Оценки!$F$4:$F$203,MATCH(K77,06а_Оценки!$A$4:$A$203,0)),"")),"")</f>
        <v/>
      </c>
      <c r="M77" s="7" t="str">
        <f aca="false">IF(N77="READY",ROUND(I77*L77,2),"")</f>
        <v/>
      </c>
      <c r="N77" s="5" t="str">
        <f aca="false">IF(A77="","",IF(Q77="NOT_APPLICABLE",IF(AND(COUNTIF(A$4:A$203,A77)=1,H77="OUTSIDE",R77&lt;&gt;"",O77&lt;&gt;"",COUNTIF(13_Источники!$A$4:$A$203,O77)=1),"NOT_APPLICABLE","INCOMPLETE / EXCLUSION"),IF(AND(COUNTIF(A$4:A$203,A77)=1,COUNTIF(02_WBS!$A$4:$A$200,B77)=1,C77&lt;&gt;"",COUNTIF(03_Пакеты!$A$4:$A$203,C77)=1,IFERROR(INDEX(03_Пакеты!$B$4:$B$203,MATCH(C77,03_Пакеты!$A$4:$A$203,0)),"")=B77,E77&lt;&gt;"",F77&lt;&gt;"",F77&lt;&gt;"UNKNOWN",G77&lt;&gt;"",G77&lt;&gt;"UNKNOWN",OR(H77="REMAINING",H77="SUNK",H77="OUTSIDE"),ISNUMBER(I77),I77&gt;=0,OR(AND(I77&gt;0,Q77="KNOWN"),AND(I77=0,Q77="ZERO_CONFIRMED")),J77&lt;&gt;"",K77&lt;&gt;"",OR(AND(V77="KAC",COUNTIF(06_КАЦ!$A$4:$A$203,K77)=1,IFERROR(INDEX(06_КАЦ!$V$4:$V$203,MATCH(K77,06_КАЦ!$A$4:$A$203,0)),"")="SELECTED_READY",IFERROR(INDEX(06_КАЦ!$D$4:$D$203,MATCH(K77,06_КАЦ!$A$4:$A$203,0)),"")=C77,IFERROR(INDEX(06_КАЦ!$F$4:$F$203,MATCH(K77,06_КАЦ!$A$4:$A$203,0)),"")=J77),AND(V77="DIRECT",COUNTIF(06а_Оценки!$A$4:$A$203,K77)=1,IFERROR(INDEX(06а_Оценки!$N$4:$N$203,MATCH(K77,06а_Оценки!$A$4:$A$203,0)),"")="READY",IFERROR(INDEX(06а_Оценки!$B$4:$B$203,MATCH(K77,06а_Оценки!$A$4:$A$203,0)),"")=C77,IFERROR(INDEX(06а_Оценки!$E$4:$E$203,MATCH(K77,06а_Оценки!$A$4:$A$203,0)),"")=J77)),O77&lt;&gt;"",COUNTIF(13_Источники!$A$4:$A$203,O77)=1,P77&lt;&gt;"",R77&lt;&gt;""),"READY","INCOMPLETE / LINK")))</f>
        <v/>
      </c>
      <c r="O77" s="4"/>
      <c r="P77" s="4"/>
      <c r="Q77" s="4"/>
      <c r="R77" s="4"/>
      <c r="S77" s="4"/>
      <c r="T77" s="4"/>
      <c r="U77" s="4"/>
      <c r="V77" s="4"/>
    </row>
    <row r="78" customFormat="false" ht="15" hidden="false" customHeight="false" outlineLevel="0" collapsed="false">
      <c r="A78" s="4"/>
      <c r="B78" s="4"/>
      <c r="C78" s="4"/>
      <c r="D78" s="6"/>
      <c r="E78" s="4"/>
      <c r="F78" s="4"/>
      <c r="G78" s="4"/>
      <c r="H78" s="4"/>
      <c r="I78" s="4"/>
      <c r="J78" s="4"/>
      <c r="K78" s="4"/>
      <c r="L78" s="7" t="str">
        <f aca="false">IF(N78="READY",IF(V78="KAC",IFERROR(INDEX(06_КАЦ!$R$4:$R$203,MATCH(K78,06_КАЦ!$A$4:$A$203,0)),""),IFERROR(INDEX(06а_Оценки!$F$4:$F$203,MATCH(K78,06а_Оценки!$A$4:$A$203,0)),"")),"")</f>
        <v/>
      </c>
      <c r="M78" s="7" t="str">
        <f aca="false">IF(N78="READY",ROUND(I78*L78,2),"")</f>
        <v/>
      </c>
      <c r="N78" s="5" t="str">
        <f aca="false">IF(A78="","",IF(Q78="NOT_APPLICABLE",IF(AND(COUNTIF(A$4:A$203,A78)=1,H78="OUTSIDE",R78&lt;&gt;"",O78&lt;&gt;"",COUNTIF(13_Источники!$A$4:$A$203,O78)=1),"NOT_APPLICABLE","INCOMPLETE / EXCLUSION"),IF(AND(COUNTIF(A$4:A$203,A78)=1,COUNTIF(02_WBS!$A$4:$A$200,B78)=1,C78&lt;&gt;"",COUNTIF(03_Пакеты!$A$4:$A$203,C78)=1,IFERROR(INDEX(03_Пакеты!$B$4:$B$203,MATCH(C78,03_Пакеты!$A$4:$A$203,0)),"")=B78,E78&lt;&gt;"",F78&lt;&gt;"",F78&lt;&gt;"UNKNOWN",G78&lt;&gt;"",G78&lt;&gt;"UNKNOWN",OR(H78="REMAINING",H78="SUNK",H78="OUTSIDE"),ISNUMBER(I78),I78&gt;=0,OR(AND(I78&gt;0,Q78="KNOWN"),AND(I78=0,Q78="ZERO_CONFIRMED")),J78&lt;&gt;"",K78&lt;&gt;"",OR(AND(V78="KAC",COUNTIF(06_КАЦ!$A$4:$A$203,K78)=1,IFERROR(INDEX(06_КАЦ!$V$4:$V$203,MATCH(K78,06_КАЦ!$A$4:$A$203,0)),"")="SELECTED_READY",IFERROR(INDEX(06_КАЦ!$D$4:$D$203,MATCH(K78,06_КАЦ!$A$4:$A$203,0)),"")=C78,IFERROR(INDEX(06_КАЦ!$F$4:$F$203,MATCH(K78,06_КАЦ!$A$4:$A$203,0)),"")=J78),AND(V78="DIRECT",COUNTIF(06а_Оценки!$A$4:$A$203,K78)=1,IFERROR(INDEX(06а_Оценки!$N$4:$N$203,MATCH(K78,06а_Оценки!$A$4:$A$203,0)),"")="READY",IFERROR(INDEX(06а_Оценки!$B$4:$B$203,MATCH(K78,06а_Оценки!$A$4:$A$203,0)),"")=C78,IFERROR(INDEX(06а_Оценки!$E$4:$E$203,MATCH(K78,06а_Оценки!$A$4:$A$203,0)),"")=J78)),O78&lt;&gt;"",COUNTIF(13_Источники!$A$4:$A$203,O78)=1,P78&lt;&gt;"",R78&lt;&gt;""),"READY","INCOMPLETE / LINK")))</f>
        <v/>
      </c>
      <c r="O78" s="4"/>
      <c r="P78" s="4"/>
      <c r="Q78" s="4"/>
      <c r="R78" s="4"/>
      <c r="S78" s="4"/>
      <c r="T78" s="4"/>
      <c r="U78" s="4"/>
      <c r="V78" s="4"/>
    </row>
    <row r="79" customFormat="false" ht="15" hidden="false" customHeight="false" outlineLevel="0" collapsed="false">
      <c r="A79" s="4"/>
      <c r="B79" s="4"/>
      <c r="C79" s="4"/>
      <c r="D79" s="6"/>
      <c r="E79" s="4"/>
      <c r="F79" s="4"/>
      <c r="G79" s="4"/>
      <c r="H79" s="4"/>
      <c r="I79" s="4"/>
      <c r="J79" s="4"/>
      <c r="K79" s="4"/>
      <c r="L79" s="7" t="str">
        <f aca="false">IF(N79="READY",IF(V79="KAC",IFERROR(INDEX(06_КАЦ!$R$4:$R$203,MATCH(K79,06_КАЦ!$A$4:$A$203,0)),""),IFERROR(INDEX(06а_Оценки!$F$4:$F$203,MATCH(K79,06а_Оценки!$A$4:$A$203,0)),"")),"")</f>
        <v/>
      </c>
      <c r="M79" s="7" t="str">
        <f aca="false">IF(N79="READY",ROUND(I79*L79,2),"")</f>
        <v/>
      </c>
      <c r="N79" s="5" t="str">
        <f aca="false">IF(A79="","",IF(Q79="NOT_APPLICABLE",IF(AND(COUNTIF(A$4:A$203,A79)=1,H79="OUTSIDE",R79&lt;&gt;"",O79&lt;&gt;"",COUNTIF(13_Источники!$A$4:$A$203,O79)=1),"NOT_APPLICABLE","INCOMPLETE / EXCLUSION"),IF(AND(COUNTIF(A$4:A$203,A79)=1,COUNTIF(02_WBS!$A$4:$A$200,B79)=1,C79&lt;&gt;"",COUNTIF(03_Пакеты!$A$4:$A$203,C79)=1,IFERROR(INDEX(03_Пакеты!$B$4:$B$203,MATCH(C79,03_Пакеты!$A$4:$A$203,0)),"")=B79,E79&lt;&gt;"",F79&lt;&gt;"",F79&lt;&gt;"UNKNOWN",G79&lt;&gt;"",G79&lt;&gt;"UNKNOWN",OR(H79="REMAINING",H79="SUNK",H79="OUTSIDE"),ISNUMBER(I79),I79&gt;=0,OR(AND(I79&gt;0,Q79="KNOWN"),AND(I79=0,Q79="ZERO_CONFIRMED")),J79&lt;&gt;"",K79&lt;&gt;"",OR(AND(V79="KAC",COUNTIF(06_КАЦ!$A$4:$A$203,K79)=1,IFERROR(INDEX(06_КАЦ!$V$4:$V$203,MATCH(K79,06_КАЦ!$A$4:$A$203,0)),"")="SELECTED_READY",IFERROR(INDEX(06_КАЦ!$D$4:$D$203,MATCH(K79,06_КАЦ!$A$4:$A$203,0)),"")=C79,IFERROR(INDEX(06_КАЦ!$F$4:$F$203,MATCH(K79,06_КАЦ!$A$4:$A$203,0)),"")=J79),AND(V79="DIRECT",COUNTIF(06а_Оценки!$A$4:$A$203,K79)=1,IFERROR(INDEX(06а_Оценки!$N$4:$N$203,MATCH(K79,06а_Оценки!$A$4:$A$203,0)),"")="READY",IFERROR(INDEX(06а_Оценки!$B$4:$B$203,MATCH(K79,06а_Оценки!$A$4:$A$203,0)),"")=C79,IFERROR(INDEX(06а_Оценки!$E$4:$E$203,MATCH(K79,06а_Оценки!$A$4:$A$203,0)),"")=J79)),O79&lt;&gt;"",COUNTIF(13_Источники!$A$4:$A$203,O79)=1,P79&lt;&gt;"",R79&lt;&gt;""),"READY","INCOMPLETE / LINK")))</f>
        <v/>
      </c>
      <c r="O79" s="4"/>
      <c r="P79" s="4"/>
      <c r="Q79" s="4"/>
      <c r="R79" s="4"/>
      <c r="S79" s="4"/>
      <c r="T79" s="4"/>
      <c r="U79" s="4"/>
      <c r="V79" s="4"/>
    </row>
    <row r="80" customFormat="false" ht="15" hidden="false" customHeight="false" outlineLevel="0" collapsed="false">
      <c r="A80" s="4"/>
      <c r="B80" s="4"/>
      <c r="C80" s="4"/>
      <c r="D80" s="6"/>
      <c r="E80" s="4"/>
      <c r="F80" s="4"/>
      <c r="G80" s="4"/>
      <c r="H80" s="4"/>
      <c r="I80" s="4"/>
      <c r="J80" s="4"/>
      <c r="K80" s="4"/>
      <c r="L80" s="7" t="str">
        <f aca="false">IF(N80="READY",IF(V80="KAC",IFERROR(INDEX(06_КАЦ!$R$4:$R$203,MATCH(K80,06_КАЦ!$A$4:$A$203,0)),""),IFERROR(INDEX(06а_Оценки!$F$4:$F$203,MATCH(K80,06а_Оценки!$A$4:$A$203,0)),"")),"")</f>
        <v/>
      </c>
      <c r="M80" s="7" t="str">
        <f aca="false">IF(N80="READY",ROUND(I80*L80,2),"")</f>
        <v/>
      </c>
      <c r="N80" s="5" t="str">
        <f aca="false">IF(A80="","",IF(Q80="NOT_APPLICABLE",IF(AND(COUNTIF(A$4:A$203,A80)=1,H80="OUTSIDE",R80&lt;&gt;"",O80&lt;&gt;"",COUNTIF(13_Источники!$A$4:$A$203,O80)=1),"NOT_APPLICABLE","INCOMPLETE / EXCLUSION"),IF(AND(COUNTIF(A$4:A$203,A80)=1,COUNTIF(02_WBS!$A$4:$A$200,B80)=1,C80&lt;&gt;"",COUNTIF(03_Пакеты!$A$4:$A$203,C80)=1,IFERROR(INDEX(03_Пакеты!$B$4:$B$203,MATCH(C80,03_Пакеты!$A$4:$A$203,0)),"")=B80,E80&lt;&gt;"",F80&lt;&gt;"",F80&lt;&gt;"UNKNOWN",G80&lt;&gt;"",G80&lt;&gt;"UNKNOWN",OR(H80="REMAINING",H80="SUNK",H80="OUTSIDE"),ISNUMBER(I80),I80&gt;=0,OR(AND(I80&gt;0,Q80="KNOWN"),AND(I80=0,Q80="ZERO_CONFIRMED")),J80&lt;&gt;"",K80&lt;&gt;"",OR(AND(V80="KAC",COUNTIF(06_КАЦ!$A$4:$A$203,K80)=1,IFERROR(INDEX(06_КАЦ!$V$4:$V$203,MATCH(K80,06_КАЦ!$A$4:$A$203,0)),"")="SELECTED_READY",IFERROR(INDEX(06_КАЦ!$D$4:$D$203,MATCH(K80,06_КАЦ!$A$4:$A$203,0)),"")=C80,IFERROR(INDEX(06_КАЦ!$F$4:$F$203,MATCH(K80,06_КАЦ!$A$4:$A$203,0)),"")=J80),AND(V80="DIRECT",COUNTIF(06а_Оценки!$A$4:$A$203,K80)=1,IFERROR(INDEX(06а_Оценки!$N$4:$N$203,MATCH(K80,06а_Оценки!$A$4:$A$203,0)),"")="READY",IFERROR(INDEX(06а_Оценки!$B$4:$B$203,MATCH(K80,06а_Оценки!$A$4:$A$203,0)),"")=C80,IFERROR(INDEX(06а_Оценки!$E$4:$E$203,MATCH(K80,06а_Оценки!$A$4:$A$203,0)),"")=J80)),O80&lt;&gt;"",COUNTIF(13_Источники!$A$4:$A$203,O80)=1,P80&lt;&gt;"",R80&lt;&gt;""),"READY","INCOMPLETE / LINK")))</f>
        <v/>
      </c>
      <c r="O80" s="4"/>
      <c r="P80" s="4"/>
      <c r="Q80" s="4"/>
      <c r="R80" s="4"/>
      <c r="S80" s="4"/>
      <c r="T80" s="4"/>
      <c r="U80" s="4"/>
      <c r="V80" s="4"/>
    </row>
    <row r="81" customFormat="false" ht="15" hidden="false" customHeight="false" outlineLevel="0" collapsed="false">
      <c r="A81" s="4"/>
      <c r="B81" s="4"/>
      <c r="C81" s="4"/>
      <c r="D81" s="6"/>
      <c r="E81" s="4"/>
      <c r="F81" s="4"/>
      <c r="G81" s="4"/>
      <c r="H81" s="4"/>
      <c r="I81" s="4"/>
      <c r="J81" s="4"/>
      <c r="K81" s="4"/>
      <c r="L81" s="7" t="str">
        <f aca="false">IF(N81="READY",IF(V81="KAC",IFERROR(INDEX(06_КАЦ!$R$4:$R$203,MATCH(K81,06_КАЦ!$A$4:$A$203,0)),""),IFERROR(INDEX(06а_Оценки!$F$4:$F$203,MATCH(K81,06а_Оценки!$A$4:$A$203,0)),"")),"")</f>
        <v/>
      </c>
      <c r="M81" s="7" t="str">
        <f aca="false">IF(N81="READY",ROUND(I81*L81,2),"")</f>
        <v/>
      </c>
      <c r="N81" s="5" t="str">
        <f aca="false">IF(A81="","",IF(Q81="NOT_APPLICABLE",IF(AND(COUNTIF(A$4:A$203,A81)=1,H81="OUTSIDE",R81&lt;&gt;"",O81&lt;&gt;"",COUNTIF(13_Источники!$A$4:$A$203,O81)=1),"NOT_APPLICABLE","INCOMPLETE / EXCLUSION"),IF(AND(COUNTIF(A$4:A$203,A81)=1,COUNTIF(02_WBS!$A$4:$A$200,B81)=1,C81&lt;&gt;"",COUNTIF(03_Пакеты!$A$4:$A$203,C81)=1,IFERROR(INDEX(03_Пакеты!$B$4:$B$203,MATCH(C81,03_Пакеты!$A$4:$A$203,0)),"")=B81,E81&lt;&gt;"",F81&lt;&gt;"",F81&lt;&gt;"UNKNOWN",G81&lt;&gt;"",G81&lt;&gt;"UNKNOWN",OR(H81="REMAINING",H81="SUNK",H81="OUTSIDE"),ISNUMBER(I81),I81&gt;=0,OR(AND(I81&gt;0,Q81="KNOWN"),AND(I81=0,Q81="ZERO_CONFIRMED")),J81&lt;&gt;"",K81&lt;&gt;"",OR(AND(V81="KAC",COUNTIF(06_КАЦ!$A$4:$A$203,K81)=1,IFERROR(INDEX(06_КАЦ!$V$4:$V$203,MATCH(K81,06_КАЦ!$A$4:$A$203,0)),"")="SELECTED_READY",IFERROR(INDEX(06_КАЦ!$D$4:$D$203,MATCH(K81,06_КАЦ!$A$4:$A$203,0)),"")=C81,IFERROR(INDEX(06_КАЦ!$F$4:$F$203,MATCH(K81,06_КАЦ!$A$4:$A$203,0)),"")=J81),AND(V81="DIRECT",COUNTIF(06а_Оценки!$A$4:$A$203,K81)=1,IFERROR(INDEX(06а_Оценки!$N$4:$N$203,MATCH(K81,06а_Оценки!$A$4:$A$203,0)),"")="READY",IFERROR(INDEX(06а_Оценки!$B$4:$B$203,MATCH(K81,06а_Оценки!$A$4:$A$203,0)),"")=C81,IFERROR(INDEX(06а_Оценки!$E$4:$E$203,MATCH(K81,06а_Оценки!$A$4:$A$203,0)),"")=J81)),O81&lt;&gt;"",COUNTIF(13_Источники!$A$4:$A$203,O81)=1,P81&lt;&gt;"",R81&lt;&gt;""),"READY","INCOMPLETE / LINK")))</f>
        <v/>
      </c>
      <c r="O81" s="4"/>
      <c r="P81" s="4"/>
      <c r="Q81" s="4"/>
      <c r="R81" s="4"/>
      <c r="S81" s="4"/>
      <c r="T81" s="4"/>
      <c r="U81" s="4"/>
      <c r="V81" s="4"/>
    </row>
    <row r="82" customFormat="false" ht="15" hidden="false" customHeight="false" outlineLevel="0" collapsed="false">
      <c r="A82" s="4"/>
      <c r="B82" s="4"/>
      <c r="C82" s="4"/>
      <c r="D82" s="6"/>
      <c r="E82" s="4"/>
      <c r="F82" s="4"/>
      <c r="G82" s="4"/>
      <c r="H82" s="4"/>
      <c r="I82" s="4"/>
      <c r="J82" s="4"/>
      <c r="K82" s="4"/>
      <c r="L82" s="7" t="str">
        <f aca="false">IF(N82="READY",IF(V82="KAC",IFERROR(INDEX(06_КАЦ!$R$4:$R$203,MATCH(K82,06_КАЦ!$A$4:$A$203,0)),""),IFERROR(INDEX(06а_Оценки!$F$4:$F$203,MATCH(K82,06а_Оценки!$A$4:$A$203,0)),"")),"")</f>
        <v/>
      </c>
      <c r="M82" s="7" t="str">
        <f aca="false">IF(N82="READY",ROUND(I82*L82,2),"")</f>
        <v/>
      </c>
      <c r="N82" s="5" t="str">
        <f aca="false">IF(A82="","",IF(Q82="NOT_APPLICABLE",IF(AND(COUNTIF(A$4:A$203,A82)=1,H82="OUTSIDE",R82&lt;&gt;"",O82&lt;&gt;"",COUNTIF(13_Источники!$A$4:$A$203,O82)=1),"NOT_APPLICABLE","INCOMPLETE / EXCLUSION"),IF(AND(COUNTIF(A$4:A$203,A82)=1,COUNTIF(02_WBS!$A$4:$A$200,B82)=1,C82&lt;&gt;"",COUNTIF(03_Пакеты!$A$4:$A$203,C82)=1,IFERROR(INDEX(03_Пакеты!$B$4:$B$203,MATCH(C82,03_Пакеты!$A$4:$A$203,0)),"")=B82,E82&lt;&gt;"",F82&lt;&gt;"",F82&lt;&gt;"UNKNOWN",G82&lt;&gt;"",G82&lt;&gt;"UNKNOWN",OR(H82="REMAINING",H82="SUNK",H82="OUTSIDE"),ISNUMBER(I82),I82&gt;=0,OR(AND(I82&gt;0,Q82="KNOWN"),AND(I82=0,Q82="ZERO_CONFIRMED")),J82&lt;&gt;"",K82&lt;&gt;"",OR(AND(V82="KAC",COUNTIF(06_КАЦ!$A$4:$A$203,K82)=1,IFERROR(INDEX(06_КАЦ!$V$4:$V$203,MATCH(K82,06_КАЦ!$A$4:$A$203,0)),"")="SELECTED_READY",IFERROR(INDEX(06_КАЦ!$D$4:$D$203,MATCH(K82,06_КАЦ!$A$4:$A$203,0)),"")=C82,IFERROR(INDEX(06_КАЦ!$F$4:$F$203,MATCH(K82,06_КАЦ!$A$4:$A$203,0)),"")=J82),AND(V82="DIRECT",COUNTIF(06а_Оценки!$A$4:$A$203,K82)=1,IFERROR(INDEX(06а_Оценки!$N$4:$N$203,MATCH(K82,06а_Оценки!$A$4:$A$203,0)),"")="READY",IFERROR(INDEX(06а_Оценки!$B$4:$B$203,MATCH(K82,06а_Оценки!$A$4:$A$203,0)),"")=C82,IFERROR(INDEX(06а_Оценки!$E$4:$E$203,MATCH(K82,06а_Оценки!$A$4:$A$203,0)),"")=J82)),O82&lt;&gt;"",COUNTIF(13_Источники!$A$4:$A$203,O82)=1,P82&lt;&gt;"",R82&lt;&gt;""),"READY","INCOMPLETE / LINK")))</f>
        <v/>
      </c>
      <c r="O82" s="4"/>
      <c r="P82" s="4"/>
      <c r="Q82" s="4"/>
      <c r="R82" s="4"/>
      <c r="S82" s="4"/>
      <c r="T82" s="4"/>
      <c r="U82" s="4"/>
      <c r="V82" s="4"/>
    </row>
    <row r="83" customFormat="false" ht="15" hidden="false" customHeight="false" outlineLevel="0" collapsed="false">
      <c r="A83" s="4"/>
      <c r="B83" s="4"/>
      <c r="C83" s="4"/>
      <c r="D83" s="6"/>
      <c r="E83" s="4"/>
      <c r="F83" s="4"/>
      <c r="G83" s="4"/>
      <c r="H83" s="4"/>
      <c r="I83" s="4"/>
      <c r="J83" s="4"/>
      <c r="K83" s="4"/>
      <c r="L83" s="7" t="str">
        <f aca="false">IF(N83="READY",IF(V83="KAC",IFERROR(INDEX(06_КАЦ!$R$4:$R$203,MATCH(K83,06_КАЦ!$A$4:$A$203,0)),""),IFERROR(INDEX(06а_Оценки!$F$4:$F$203,MATCH(K83,06а_Оценки!$A$4:$A$203,0)),"")),"")</f>
        <v/>
      </c>
      <c r="M83" s="7" t="str">
        <f aca="false">IF(N83="READY",ROUND(I83*L83,2),"")</f>
        <v/>
      </c>
      <c r="N83" s="5" t="str">
        <f aca="false">IF(A83="","",IF(Q83="NOT_APPLICABLE",IF(AND(COUNTIF(A$4:A$203,A83)=1,H83="OUTSIDE",R83&lt;&gt;"",O83&lt;&gt;"",COUNTIF(13_Источники!$A$4:$A$203,O83)=1),"NOT_APPLICABLE","INCOMPLETE / EXCLUSION"),IF(AND(COUNTIF(A$4:A$203,A83)=1,COUNTIF(02_WBS!$A$4:$A$200,B83)=1,C83&lt;&gt;"",COUNTIF(03_Пакеты!$A$4:$A$203,C83)=1,IFERROR(INDEX(03_Пакеты!$B$4:$B$203,MATCH(C83,03_Пакеты!$A$4:$A$203,0)),"")=B83,E83&lt;&gt;"",F83&lt;&gt;"",F83&lt;&gt;"UNKNOWN",G83&lt;&gt;"",G83&lt;&gt;"UNKNOWN",OR(H83="REMAINING",H83="SUNK",H83="OUTSIDE"),ISNUMBER(I83),I83&gt;=0,OR(AND(I83&gt;0,Q83="KNOWN"),AND(I83=0,Q83="ZERO_CONFIRMED")),J83&lt;&gt;"",K83&lt;&gt;"",OR(AND(V83="KAC",COUNTIF(06_КАЦ!$A$4:$A$203,K83)=1,IFERROR(INDEX(06_КАЦ!$V$4:$V$203,MATCH(K83,06_КАЦ!$A$4:$A$203,0)),"")="SELECTED_READY",IFERROR(INDEX(06_КАЦ!$D$4:$D$203,MATCH(K83,06_КАЦ!$A$4:$A$203,0)),"")=C83,IFERROR(INDEX(06_КАЦ!$F$4:$F$203,MATCH(K83,06_КАЦ!$A$4:$A$203,0)),"")=J83),AND(V83="DIRECT",COUNTIF(06а_Оценки!$A$4:$A$203,K83)=1,IFERROR(INDEX(06а_Оценки!$N$4:$N$203,MATCH(K83,06а_Оценки!$A$4:$A$203,0)),"")="READY",IFERROR(INDEX(06а_Оценки!$B$4:$B$203,MATCH(K83,06а_Оценки!$A$4:$A$203,0)),"")=C83,IFERROR(INDEX(06а_Оценки!$E$4:$E$203,MATCH(K83,06а_Оценки!$A$4:$A$203,0)),"")=J83)),O83&lt;&gt;"",COUNTIF(13_Источники!$A$4:$A$203,O83)=1,P83&lt;&gt;"",R83&lt;&gt;""),"READY","INCOMPLETE / LINK")))</f>
        <v/>
      </c>
      <c r="O83" s="4"/>
      <c r="P83" s="4"/>
      <c r="Q83" s="4"/>
      <c r="R83" s="4"/>
      <c r="S83" s="4"/>
      <c r="T83" s="4"/>
      <c r="U83" s="4"/>
      <c r="V83" s="4"/>
    </row>
    <row r="84" customFormat="false" ht="15" hidden="false" customHeight="false" outlineLevel="0" collapsed="false">
      <c r="A84" s="4"/>
      <c r="B84" s="4"/>
      <c r="C84" s="4"/>
      <c r="D84" s="6"/>
      <c r="E84" s="4"/>
      <c r="F84" s="4"/>
      <c r="G84" s="4"/>
      <c r="H84" s="4"/>
      <c r="I84" s="4"/>
      <c r="J84" s="4"/>
      <c r="K84" s="4"/>
      <c r="L84" s="7" t="str">
        <f aca="false">IF(N84="READY",IF(V84="KAC",IFERROR(INDEX(06_КАЦ!$R$4:$R$203,MATCH(K84,06_КАЦ!$A$4:$A$203,0)),""),IFERROR(INDEX(06а_Оценки!$F$4:$F$203,MATCH(K84,06а_Оценки!$A$4:$A$203,0)),"")),"")</f>
        <v/>
      </c>
      <c r="M84" s="7" t="str">
        <f aca="false">IF(N84="READY",ROUND(I84*L84,2),"")</f>
        <v/>
      </c>
      <c r="N84" s="5" t="str">
        <f aca="false">IF(A84="","",IF(Q84="NOT_APPLICABLE",IF(AND(COUNTIF(A$4:A$203,A84)=1,H84="OUTSIDE",R84&lt;&gt;"",O84&lt;&gt;"",COUNTIF(13_Источники!$A$4:$A$203,O84)=1),"NOT_APPLICABLE","INCOMPLETE / EXCLUSION"),IF(AND(COUNTIF(A$4:A$203,A84)=1,COUNTIF(02_WBS!$A$4:$A$200,B84)=1,C84&lt;&gt;"",COUNTIF(03_Пакеты!$A$4:$A$203,C84)=1,IFERROR(INDEX(03_Пакеты!$B$4:$B$203,MATCH(C84,03_Пакеты!$A$4:$A$203,0)),"")=B84,E84&lt;&gt;"",F84&lt;&gt;"",F84&lt;&gt;"UNKNOWN",G84&lt;&gt;"",G84&lt;&gt;"UNKNOWN",OR(H84="REMAINING",H84="SUNK",H84="OUTSIDE"),ISNUMBER(I84),I84&gt;=0,OR(AND(I84&gt;0,Q84="KNOWN"),AND(I84=0,Q84="ZERO_CONFIRMED")),J84&lt;&gt;"",K84&lt;&gt;"",OR(AND(V84="KAC",COUNTIF(06_КАЦ!$A$4:$A$203,K84)=1,IFERROR(INDEX(06_КАЦ!$V$4:$V$203,MATCH(K84,06_КАЦ!$A$4:$A$203,0)),"")="SELECTED_READY",IFERROR(INDEX(06_КАЦ!$D$4:$D$203,MATCH(K84,06_КАЦ!$A$4:$A$203,0)),"")=C84,IFERROR(INDEX(06_КАЦ!$F$4:$F$203,MATCH(K84,06_КАЦ!$A$4:$A$203,0)),"")=J84),AND(V84="DIRECT",COUNTIF(06а_Оценки!$A$4:$A$203,K84)=1,IFERROR(INDEX(06а_Оценки!$N$4:$N$203,MATCH(K84,06а_Оценки!$A$4:$A$203,0)),"")="READY",IFERROR(INDEX(06а_Оценки!$B$4:$B$203,MATCH(K84,06а_Оценки!$A$4:$A$203,0)),"")=C84,IFERROR(INDEX(06а_Оценки!$E$4:$E$203,MATCH(K84,06а_Оценки!$A$4:$A$203,0)),"")=J84)),O84&lt;&gt;"",COUNTIF(13_Источники!$A$4:$A$203,O84)=1,P84&lt;&gt;"",R84&lt;&gt;""),"READY","INCOMPLETE / LINK")))</f>
        <v/>
      </c>
      <c r="O84" s="4"/>
      <c r="P84" s="4"/>
      <c r="Q84" s="4"/>
      <c r="R84" s="4"/>
      <c r="S84" s="4"/>
      <c r="T84" s="4"/>
      <c r="U84" s="4"/>
      <c r="V84" s="4"/>
    </row>
    <row r="85" customFormat="false" ht="15" hidden="false" customHeight="false" outlineLevel="0" collapsed="false">
      <c r="A85" s="4"/>
      <c r="B85" s="4"/>
      <c r="C85" s="4"/>
      <c r="D85" s="6"/>
      <c r="E85" s="4"/>
      <c r="F85" s="4"/>
      <c r="G85" s="4"/>
      <c r="H85" s="4"/>
      <c r="I85" s="4"/>
      <c r="J85" s="4"/>
      <c r="K85" s="4"/>
      <c r="L85" s="7" t="str">
        <f aca="false">IF(N85="READY",IF(V85="KAC",IFERROR(INDEX(06_КАЦ!$R$4:$R$203,MATCH(K85,06_КАЦ!$A$4:$A$203,0)),""),IFERROR(INDEX(06а_Оценки!$F$4:$F$203,MATCH(K85,06а_Оценки!$A$4:$A$203,0)),"")),"")</f>
        <v/>
      </c>
      <c r="M85" s="7" t="str">
        <f aca="false">IF(N85="READY",ROUND(I85*L85,2),"")</f>
        <v/>
      </c>
      <c r="N85" s="5" t="str">
        <f aca="false">IF(A85="","",IF(Q85="NOT_APPLICABLE",IF(AND(COUNTIF(A$4:A$203,A85)=1,H85="OUTSIDE",R85&lt;&gt;"",O85&lt;&gt;"",COUNTIF(13_Источники!$A$4:$A$203,O85)=1),"NOT_APPLICABLE","INCOMPLETE / EXCLUSION"),IF(AND(COUNTIF(A$4:A$203,A85)=1,COUNTIF(02_WBS!$A$4:$A$200,B85)=1,C85&lt;&gt;"",COUNTIF(03_Пакеты!$A$4:$A$203,C85)=1,IFERROR(INDEX(03_Пакеты!$B$4:$B$203,MATCH(C85,03_Пакеты!$A$4:$A$203,0)),"")=B85,E85&lt;&gt;"",F85&lt;&gt;"",F85&lt;&gt;"UNKNOWN",G85&lt;&gt;"",G85&lt;&gt;"UNKNOWN",OR(H85="REMAINING",H85="SUNK",H85="OUTSIDE"),ISNUMBER(I85),I85&gt;=0,OR(AND(I85&gt;0,Q85="KNOWN"),AND(I85=0,Q85="ZERO_CONFIRMED")),J85&lt;&gt;"",K85&lt;&gt;"",OR(AND(V85="KAC",COUNTIF(06_КАЦ!$A$4:$A$203,K85)=1,IFERROR(INDEX(06_КАЦ!$V$4:$V$203,MATCH(K85,06_КАЦ!$A$4:$A$203,0)),"")="SELECTED_READY",IFERROR(INDEX(06_КАЦ!$D$4:$D$203,MATCH(K85,06_КАЦ!$A$4:$A$203,0)),"")=C85,IFERROR(INDEX(06_КАЦ!$F$4:$F$203,MATCH(K85,06_КАЦ!$A$4:$A$203,0)),"")=J85),AND(V85="DIRECT",COUNTIF(06а_Оценки!$A$4:$A$203,K85)=1,IFERROR(INDEX(06а_Оценки!$N$4:$N$203,MATCH(K85,06а_Оценки!$A$4:$A$203,0)),"")="READY",IFERROR(INDEX(06а_Оценки!$B$4:$B$203,MATCH(K85,06а_Оценки!$A$4:$A$203,0)),"")=C85,IFERROR(INDEX(06а_Оценки!$E$4:$E$203,MATCH(K85,06а_Оценки!$A$4:$A$203,0)),"")=J85)),O85&lt;&gt;"",COUNTIF(13_Источники!$A$4:$A$203,O85)=1,P85&lt;&gt;"",R85&lt;&gt;""),"READY","INCOMPLETE / LINK")))</f>
        <v/>
      </c>
      <c r="O85" s="4"/>
      <c r="P85" s="4"/>
      <c r="Q85" s="4"/>
      <c r="R85" s="4"/>
      <c r="S85" s="4"/>
      <c r="T85" s="4"/>
      <c r="U85" s="4"/>
      <c r="V85" s="4"/>
    </row>
    <row r="86" customFormat="false" ht="15" hidden="false" customHeight="false" outlineLevel="0" collapsed="false">
      <c r="A86" s="4"/>
      <c r="B86" s="4"/>
      <c r="C86" s="4"/>
      <c r="D86" s="6"/>
      <c r="E86" s="4"/>
      <c r="F86" s="4"/>
      <c r="G86" s="4"/>
      <c r="H86" s="4"/>
      <c r="I86" s="4"/>
      <c r="J86" s="4"/>
      <c r="K86" s="4"/>
      <c r="L86" s="7" t="str">
        <f aca="false">IF(N86="READY",IF(V86="KAC",IFERROR(INDEX(06_КАЦ!$R$4:$R$203,MATCH(K86,06_КАЦ!$A$4:$A$203,0)),""),IFERROR(INDEX(06а_Оценки!$F$4:$F$203,MATCH(K86,06а_Оценки!$A$4:$A$203,0)),"")),"")</f>
        <v/>
      </c>
      <c r="M86" s="7" t="str">
        <f aca="false">IF(N86="READY",ROUND(I86*L86,2),"")</f>
        <v/>
      </c>
      <c r="N86" s="5" t="str">
        <f aca="false">IF(A86="","",IF(Q86="NOT_APPLICABLE",IF(AND(COUNTIF(A$4:A$203,A86)=1,H86="OUTSIDE",R86&lt;&gt;"",O86&lt;&gt;"",COUNTIF(13_Источники!$A$4:$A$203,O86)=1),"NOT_APPLICABLE","INCOMPLETE / EXCLUSION"),IF(AND(COUNTIF(A$4:A$203,A86)=1,COUNTIF(02_WBS!$A$4:$A$200,B86)=1,C86&lt;&gt;"",COUNTIF(03_Пакеты!$A$4:$A$203,C86)=1,IFERROR(INDEX(03_Пакеты!$B$4:$B$203,MATCH(C86,03_Пакеты!$A$4:$A$203,0)),"")=B86,E86&lt;&gt;"",F86&lt;&gt;"",F86&lt;&gt;"UNKNOWN",G86&lt;&gt;"",G86&lt;&gt;"UNKNOWN",OR(H86="REMAINING",H86="SUNK",H86="OUTSIDE"),ISNUMBER(I86),I86&gt;=0,OR(AND(I86&gt;0,Q86="KNOWN"),AND(I86=0,Q86="ZERO_CONFIRMED")),J86&lt;&gt;"",K86&lt;&gt;"",OR(AND(V86="KAC",COUNTIF(06_КАЦ!$A$4:$A$203,K86)=1,IFERROR(INDEX(06_КАЦ!$V$4:$V$203,MATCH(K86,06_КАЦ!$A$4:$A$203,0)),"")="SELECTED_READY",IFERROR(INDEX(06_КАЦ!$D$4:$D$203,MATCH(K86,06_КАЦ!$A$4:$A$203,0)),"")=C86,IFERROR(INDEX(06_КАЦ!$F$4:$F$203,MATCH(K86,06_КАЦ!$A$4:$A$203,0)),"")=J86),AND(V86="DIRECT",COUNTIF(06а_Оценки!$A$4:$A$203,K86)=1,IFERROR(INDEX(06а_Оценки!$N$4:$N$203,MATCH(K86,06а_Оценки!$A$4:$A$203,0)),"")="READY",IFERROR(INDEX(06а_Оценки!$B$4:$B$203,MATCH(K86,06а_Оценки!$A$4:$A$203,0)),"")=C86,IFERROR(INDEX(06а_Оценки!$E$4:$E$203,MATCH(K86,06а_Оценки!$A$4:$A$203,0)),"")=J86)),O86&lt;&gt;"",COUNTIF(13_Источники!$A$4:$A$203,O86)=1,P86&lt;&gt;"",R86&lt;&gt;""),"READY","INCOMPLETE / LINK")))</f>
        <v/>
      </c>
      <c r="O86" s="4"/>
      <c r="P86" s="4"/>
      <c r="Q86" s="4"/>
      <c r="R86" s="4"/>
      <c r="S86" s="4"/>
      <c r="T86" s="4"/>
      <c r="U86" s="4"/>
      <c r="V86" s="4"/>
    </row>
    <row r="87" customFormat="false" ht="15" hidden="false" customHeight="false" outlineLevel="0" collapsed="false">
      <c r="A87" s="4"/>
      <c r="B87" s="4"/>
      <c r="C87" s="4"/>
      <c r="D87" s="6"/>
      <c r="E87" s="4"/>
      <c r="F87" s="4"/>
      <c r="G87" s="4"/>
      <c r="H87" s="4"/>
      <c r="I87" s="4"/>
      <c r="J87" s="4"/>
      <c r="K87" s="4"/>
      <c r="L87" s="7" t="str">
        <f aca="false">IF(N87="READY",IF(V87="KAC",IFERROR(INDEX(06_КАЦ!$R$4:$R$203,MATCH(K87,06_КАЦ!$A$4:$A$203,0)),""),IFERROR(INDEX(06а_Оценки!$F$4:$F$203,MATCH(K87,06а_Оценки!$A$4:$A$203,0)),"")),"")</f>
        <v/>
      </c>
      <c r="M87" s="7" t="str">
        <f aca="false">IF(N87="READY",ROUND(I87*L87,2),"")</f>
        <v/>
      </c>
      <c r="N87" s="5" t="str">
        <f aca="false">IF(A87="","",IF(Q87="NOT_APPLICABLE",IF(AND(COUNTIF(A$4:A$203,A87)=1,H87="OUTSIDE",R87&lt;&gt;"",O87&lt;&gt;"",COUNTIF(13_Источники!$A$4:$A$203,O87)=1),"NOT_APPLICABLE","INCOMPLETE / EXCLUSION"),IF(AND(COUNTIF(A$4:A$203,A87)=1,COUNTIF(02_WBS!$A$4:$A$200,B87)=1,C87&lt;&gt;"",COUNTIF(03_Пакеты!$A$4:$A$203,C87)=1,IFERROR(INDEX(03_Пакеты!$B$4:$B$203,MATCH(C87,03_Пакеты!$A$4:$A$203,0)),"")=B87,E87&lt;&gt;"",F87&lt;&gt;"",F87&lt;&gt;"UNKNOWN",G87&lt;&gt;"",G87&lt;&gt;"UNKNOWN",OR(H87="REMAINING",H87="SUNK",H87="OUTSIDE"),ISNUMBER(I87),I87&gt;=0,OR(AND(I87&gt;0,Q87="KNOWN"),AND(I87=0,Q87="ZERO_CONFIRMED")),J87&lt;&gt;"",K87&lt;&gt;"",OR(AND(V87="KAC",COUNTIF(06_КАЦ!$A$4:$A$203,K87)=1,IFERROR(INDEX(06_КАЦ!$V$4:$V$203,MATCH(K87,06_КАЦ!$A$4:$A$203,0)),"")="SELECTED_READY",IFERROR(INDEX(06_КАЦ!$D$4:$D$203,MATCH(K87,06_КАЦ!$A$4:$A$203,0)),"")=C87,IFERROR(INDEX(06_КАЦ!$F$4:$F$203,MATCH(K87,06_КАЦ!$A$4:$A$203,0)),"")=J87),AND(V87="DIRECT",COUNTIF(06а_Оценки!$A$4:$A$203,K87)=1,IFERROR(INDEX(06а_Оценки!$N$4:$N$203,MATCH(K87,06а_Оценки!$A$4:$A$203,0)),"")="READY",IFERROR(INDEX(06а_Оценки!$B$4:$B$203,MATCH(K87,06а_Оценки!$A$4:$A$203,0)),"")=C87,IFERROR(INDEX(06а_Оценки!$E$4:$E$203,MATCH(K87,06а_Оценки!$A$4:$A$203,0)),"")=J87)),O87&lt;&gt;"",COUNTIF(13_Источники!$A$4:$A$203,O87)=1,P87&lt;&gt;"",R87&lt;&gt;""),"READY","INCOMPLETE / LINK")))</f>
        <v/>
      </c>
      <c r="O87" s="4"/>
      <c r="P87" s="4"/>
      <c r="Q87" s="4"/>
      <c r="R87" s="4"/>
      <c r="S87" s="4"/>
      <c r="T87" s="4"/>
      <c r="U87" s="4"/>
      <c r="V87" s="4"/>
    </row>
    <row r="88" customFormat="false" ht="15" hidden="false" customHeight="false" outlineLevel="0" collapsed="false">
      <c r="A88" s="4"/>
      <c r="B88" s="4"/>
      <c r="C88" s="4"/>
      <c r="D88" s="6"/>
      <c r="E88" s="4"/>
      <c r="F88" s="4"/>
      <c r="G88" s="4"/>
      <c r="H88" s="4"/>
      <c r="I88" s="4"/>
      <c r="J88" s="4"/>
      <c r="K88" s="4"/>
      <c r="L88" s="7" t="str">
        <f aca="false">IF(N88="READY",IF(V88="KAC",IFERROR(INDEX(06_КАЦ!$R$4:$R$203,MATCH(K88,06_КАЦ!$A$4:$A$203,0)),""),IFERROR(INDEX(06а_Оценки!$F$4:$F$203,MATCH(K88,06а_Оценки!$A$4:$A$203,0)),"")),"")</f>
        <v/>
      </c>
      <c r="M88" s="7" t="str">
        <f aca="false">IF(N88="READY",ROUND(I88*L88,2),"")</f>
        <v/>
      </c>
      <c r="N88" s="5" t="str">
        <f aca="false">IF(A88="","",IF(Q88="NOT_APPLICABLE",IF(AND(COUNTIF(A$4:A$203,A88)=1,H88="OUTSIDE",R88&lt;&gt;"",O88&lt;&gt;"",COUNTIF(13_Источники!$A$4:$A$203,O88)=1),"NOT_APPLICABLE","INCOMPLETE / EXCLUSION"),IF(AND(COUNTIF(A$4:A$203,A88)=1,COUNTIF(02_WBS!$A$4:$A$200,B88)=1,C88&lt;&gt;"",COUNTIF(03_Пакеты!$A$4:$A$203,C88)=1,IFERROR(INDEX(03_Пакеты!$B$4:$B$203,MATCH(C88,03_Пакеты!$A$4:$A$203,0)),"")=B88,E88&lt;&gt;"",F88&lt;&gt;"",F88&lt;&gt;"UNKNOWN",G88&lt;&gt;"",G88&lt;&gt;"UNKNOWN",OR(H88="REMAINING",H88="SUNK",H88="OUTSIDE"),ISNUMBER(I88),I88&gt;=0,OR(AND(I88&gt;0,Q88="KNOWN"),AND(I88=0,Q88="ZERO_CONFIRMED")),J88&lt;&gt;"",K88&lt;&gt;"",OR(AND(V88="KAC",COUNTIF(06_КАЦ!$A$4:$A$203,K88)=1,IFERROR(INDEX(06_КАЦ!$V$4:$V$203,MATCH(K88,06_КАЦ!$A$4:$A$203,0)),"")="SELECTED_READY",IFERROR(INDEX(06_КАЦ!$D$4:$D$203,MATCH(K88,06_КАЦ!$A$4:$A$203,0)),"")=C88,IFERROR(INDEX(06_КАЦ!$F$4:$F$203,MATCH(K88,06_КАЦ!$A$4:$A$203,0)),"")=J88),AND(V88="DIRECT",COUNTIF(06а_Оценки!$A$4:$A$203,K88)=1,IFERROR(INDEX(06а_Оценки!$N$4:$N$203,MATCH(K88,06а_Оценки!$A$4:$A$203,0)),"")="READY",IFERROR(INDEX(06а_Оценки!$B$4:$B$203,MATCH(K88,06а_Оценки!$A$4:$A$203,0)),"")=C88,IFERROR(INDEX(06а_Оценки!$E$4:$E$203,MATCH(K88,06а_Оценки!$A$4:$A$203,0)),"")=J88)),O88&lt;&gt;"",COUNTIF(13_Источники!$A$4:$A$203,O88)=1,P88&lt;&gt;"",R88&lt;&gt;""),"READY","INCOMPLETE / LINK")))</f>
        <v/>
      </c>
      <c r="O88" s="4"/>
      <c r="P88" s="4"/>
      <c r="Q88" s="4"/>
      <c r="R88" s="4"/>
      <c r="S88" s="4"/>
      <c r="T88" s="4"/>
      <c r="U88" s="4"/>
      <c r="V88" s="4"/>
    </row>
    <row r="89" customFormat="false" ht="15" hidden="false" customHeight="false" outlineLevel="0" collapsed="false">
      <c r="A89" s="4"/>
      <c r="B89" s="4"/>
      <c r="C89" s="4"/>
      <c r="D89" s="6"/>
      <c r="E89" s="4"/>
      <c r="F89" s="4"/>
      <c r="G89" s="4"/>
      <c r="H89" s="4"/>
      <c r="I89" s="4"/>
      <c r="J89" s="4"/>
      <c r="K89" s="4"/>
      <c r="L89" s="7" t="str">
        <f aca="false">IF(N89="READY",IF(V89="KAC",IFERROR(INDEX(06_КАЦ!$R$4:$R$203,MATCH(K89,06_КАЦ!$A$4:$A$203,0)),""),IFERROR(INDEX(06а_Оценки!$F$4:$F$203,MATCH(K89,06а_Оценки!$A$4:$A$203,0)),"")),"")</f>
        <v/>
      </c>
      <c r="M89" s="7" t="str">
        <f aca="false">IF(N89="READY",ROUND(I89*L89,2),"")</f>
        <v/>
      </c>
      <c r="N89" s="5" t="str">
        <f aca="false">IF(A89="","",IF(Q89="NOT_APPLICABLE",IF(AND(COUNTIF(A$4:A$203,A89)=1,H89="OUTSIDE",R89&lt;&gt;"",O89&lt;&gt;"",COUNTIF(13_Источники!$A$4:$A$203,O89)=1),"NOT_APPLICABLE","INCOMPLETE / EXCLUSION"),IF(AND(COUNTIF(A$4:A$203,A89)=1,COUNTIF(02_WBS!$A$4:$A$200,B89)=1,C89&lt;&gt;"",COUNTIF(03_Пакеты!$A$4:$A$203,C89)=1,IFERROR(INDEX(03_Пакеты!$B$4:$B$203,MATCH(C89,03_Пакеты!$A$4:$A$203,0)),"")=B89,E89&lt;&gt;"",F89&lt;&gt;"",F89&lt;&gt;"UNKNOWN",G89&lt;&gt;"",G89&lt;&gt;"UNKNOWN",OR(H89="REMAINING",H89="SUNK",H89="OUTSIDE"),ISNUMBER(I89),I89&gt;=0,OR(AND(I89&gt;0,Q89="KNOWN"),AND(I89=0,Q89="ZERO_CONFIRMED")),J89&lt;&gt;"",K89&lt;&gt;"",OR(AND(V89="KAC",COUNTIF(06_КАЦ!$A$4:$A$203,K89)=1,IFERROR(INDEX(06_КАЦ!$V$4:$V$203,MATCH(K89,06_КАЦ!$A$4:$A$203,0)),"")="SELECTED_READY",IFERROR(INDEX(06_КАЦ!$D$4:$D$203,MATCH(K89,06_КАЦ!$A$4:$A$203,0)),"")=C89,IFERROR(INDEX(06_КАЦ!$F$4:$F$203,MATCH(K89,06_КАЦ!$A$4:$A$203,0)),"")=J89),AND(V89="DIRECT",COUNTIF(06а_Оценки!$A$4:$A$203,K89)=1,IFERROR(INDEX(06а_Оценки!$N$4:$N$203,MATCH(K89,06а_Оценки!$A$4:$A$203,0)),"")="READY",IFERROR(INDEX(06а_Оценки!$B$4:$B$203,MATCH(K89,06а_Оценки!$A$4:$A$203,0)),"")=C89,IFERROR(INDEX(06а_Оценки!$E$4:$E$203,MATCH(K89,06а_Оценки!$A$4:$A$203,0)),"")=J89)),O89&lt;&gt;"",COUNTIF(13_Источники!$A$4:$A$203,O89)=1,P89&lt;&gt;"",R89&lt;&gt;""),"READY","INCOMPLETE / LINK")))</f>
        <v/>
      </c>
      <c r="O89" s="4"/>
      <c r="P89" s="4"/>
      <c r="Q89" s="4"/>
      <c r="R89" s="4"/>
      <c r="S89" s="4"/>
      <c r="T89" s="4"/>
      <c r="U89" s="4"/>
      <c r="V89" s="4"/>
    </row>
    <row r="90" customFormat="false" ht="15" hidden="false" customHeight="false" outlineLevel="0" collapsed="false">
      <c r="A90" s="4"/>
      <c r="B90" s="4"/>
      <c r="C90" s="4"/>
      <c r="D90" s="6"/>
      <c r="E90" s="4"/>
      <c r="F90" s="4"/>
      <c r="G90" s="4"/>
      <c r="H90" s="4"/>
      <c r="I90" s="4"/>
      <c r="J90" s="4"/>
      <c r="K90" s="4"/>
      <c r="L90" s="7" t="str">
        <f aca="false">IF(N90="READY",IF(V90="KAC",IFERROR(INDEX(06_КАЦ!$R$4:$R$203,MATCH(K90,06_КАЦ!$A$4:$A$203,0)),""),IFERROR(INDEX(06а_Оценки!$F$4:$F$203,MATCH(K90,06а_Оценки!$A$4:$A$203,0)),"")),"")</f>
        <v/>
      </c>
      <c r="M90" s="7" t="str">
        <f aca="false">IF(N90="READY",ROUND(I90*L90,2),"")</f>
        <v/>
      </c>
      <c r="N90" s="5" t="str">
        <f aca="false">IF(A90="","",IF(Q90="NOT_APPLICABLE",IF(AND(COUNTIF(A$4:A$203,A90)=1,H90="OUTSIDE",R90&lt;&gt;"",O90&lt;&gt;"",COUNTIF(13_Источники!$A$4:$A$203,O90)=1),"NOT_APPLICABLE","INCOMPLETE / EXCLUSION"),IF(AND(COUNTIF(A$4:A$203,A90)=1,COUNTIF(02_WBS!$A$4:$A$200,B90)=1,C90&lt;&gt;"",COUNTIF(03_Пакеты!$A$4:$A$203,C90)=1,IFERROR(INDEX(03_Пакеты!$B$4:$B$203,MATCH(C90,03_Пакеты!$A$4:$A$203,0)),"")=B90,E90&lt;&gt;"",F90&lt;&gt;"",F90&lt;&gt;"UNKNOWN",G90&lt;&gt;"",G90&lt;&gt;"UNKNOWN",OR(H90="REMAINING",H90="SUNK",H90="OUTSIDE"),ISNUMBER(I90),I90&gt;=0,OR(AND(I90&gt;0,Q90="KNOWN"),AND(I90=0,Q90="ZERO_CONFIRMED")),J90&lt;&gt;"",K90&lt;&gt;"",OR(AND(V90="KAC",COUNTIF(06_КАЦ!$A$4:$A$203,K90)=1,IFERROR(INDEX(06_КАЦ!$V$4:$V$203,MATCH(K90,06_КАЦ!$A$4:$A$203,0)),"")="SELECTED_READY",IFERROR(INDEX(06_КАЦ!$D$4:$D$203,MATCH(K90,06_КАЦ!$A$4:$A$203,0)),"")=C90,IFERROR(INDEX(06_КАЦ!$F$4:$F$203,MATCH(K90,06_КАЦ!$A$4:$A$203,0)),"")=J90),AND(V90="DIRECT",COUNTIF(06а_Оценки!$A$4:$A$203,K90)=1,IFERROR(INDEX(06а_Оценки!$N$4:$N$203,MATCH(K90,06а_Оценки!$A$4:$A$203,0)),"")="READY",IFERROR(INDEX(06а_Оценки!$B$4:$B$203,MATCH(K90,06а_Оценки!$A$4:$A$203,0)),"")=C90,IFERROR(INDEX(06а_Оценки!$E$4:$E$203,MATCH(K90,06а_Оценки!$A$4:$A$203,0)),"")=J90)),O90&lt;&gt;"",COUNTIF(13_Источники!$A$4:$A$203,O90)=1,P90&lt;&gt;"",R90&lt;&gt;""),"READY","INCOMPLETE / LINK")))</f>
        <v/>
      </c>
      <c r="O90" s="4"/>
      <c r="P90" s="4"/>
      <c r="Q90" s="4"/>
      <c r="R90" s="4"/>
      <c r="S90" s="4"/>
      <c r="T90" s="4"/>
      <c r="U90" s="4"/>
      <c r="V90" s="4"/>
    </row>
    <row r="91" customFormat="false" ht="15" hidden="false" customHeight="false" outlineLevel="0" collapsed="false">
      <c r="A91" s="4"/>
      <c r="B91" s="4"/>
      <c r="C91" s="4"/>
      <c r="D91" s="6"/>
      <c r="E91" s="4"/>
      <c r="F91" s="4"/>
      <c r="G91" s="4"/>
      <c r="H91" s="4"/>
      <c r="I91" s="4"/>
      <c r="J91" s="4"/>
      <c r="K91" s="4"/>
      <c r="L91" s="7" t="str">
        <f aca="false">IF(N91="READY",IF(V91="KAC",IFERROR(INDEX(06_КАЦ!$R$4:$R$203,MATCH(K91,06_КАЦ!$A$4:$A$203,0)),""),IFERROR(INDEX(06а_Оценки!$F$4:$F$203,MATCH(K91,06а_Оценки!$A$4:$A$203,0)),"")),"")</f>
        <v/>
      </c>
      <c r="M91" s="7" t="str">
        <f aca="false">IF(N91="READY",ROUND(I91*L91,2),"")</f>
        <v/>
      </c>
      <c r="N91" s="5" t="str">
        <f aca="false">IF(A91="","",IF(Q91="NOT_APPLICABLE",IF(AND(COUNTIF(A$4:A$203,A91)=1,H91="OUTSIDE",R91&lt;&gt;"",O91&lt;&gt;"",COUNTIF(13_Источники!$A$4:$A$203,O91)=1),"NOT_APPLICABLE","INCOMPLETE / EXCLUSION"),IF(AND(COUNTIF(A$4:A$203,A91)=1,COUNTIF(02_WBS!$A$4:$A$200,B91)=1,C91&lt;&gt;"",COUNTIF(03_Пакеты!$A$4:$A$203,C91)=1,IFERROR(INDEX(03_Пакеты!$B$4:$B$203,MATCH(C91,03_Пакеты!$A$4:$A$203,0)),"")=B91,E91&lt;&gt;"",F91&lt;&gt;"",F91&lt;&gt;"UNKNOWN",G91&lt;&gt;"",G91&lt;&gt;"UNKNOWN",OR(H91="REMAINING",H91="SUNK",H91="OUTSIDE"),ISNUMBER(I91),I91&gt;=0,OR(AND(I91&gt;0,Q91="KNOWN"),AND(I91=0,Q91="ZERO_CONFIRMED")),J91&lt;&gt;"",K91&lt;&gt;"",OR(AND(V91="KAC",COUNTIF(06_КАЦ!$A$4:$A$203,K91)=1,IFERROR(INDEX(06_КАЦ!$V$4:$V$203,MATCH(K91,06_КАЦ!$A$4:$A$203,0)),"")="SELECTED_READY",IFERROR(INDEX(06_КАЦ!$D$4:$D$203,MATCH(K91,06_КАЦ!$A$4:$A$203,0)),"")=C91,IFERROR(INDEX(06_КАЦ!$F$4:$F$203,MATCH(K91,06_КАЦ!$A$4:$A$203,0)),"")=J91),AND(V91="DIRECT",COUNTIF(06а_Оценки!$A$4:$A$203,K91)=1,IFERROR(INDEX(06а_Оценки!$N$4:$N$203,MATCH(K91,06а_Оценки!$A$4:$A$203,0)),"")="READY",IFERROR(INDEX(06а_Оценки!$B$4:$B$203,MATCH(K91,06а_Оценки!$A$4:$A$203,0)),"")=C91,IFERROR(INDEX(06а_Оценки!$E$4:$E$203,MATCH(K91,06а_Оценки!$A$4:$A$203,0)),"")=J91)),O91&lt;&gt;"",COUNTIF(13_Источники!$A$4:$A$203,O91)=1,P91&lt;&gt;"",R91&lt;&gt;""),"READY","INCOMPLETE / LINK")))</f>
        <v/>
      </c>
      <c r="O91" s="4"/>
      <c r="P91" s="4"/>
      <c r="Q91" s="4"/>
      <c r="R91" s="4"/>
      <c r="S91" s="4"/>
      <c r="T91" s="4"/>
      <c r="U91" s="4"/>
      <c r="V91" s="4"/>
    </row>
    <row r="92" customFormat="false" ht="15" hidden="false" customHeight="false" outlineLevel="0" collapsed="false">
      <c r="A92" s="4"/>
      <c r="B92" s="4"/>
      <c r="C92" s="4"/>
      <c r="D92" s="6"/>
      <c r="E92" s="4"/>
      <c r="F92" s="4"/>
      <c r="G92" s="4"/>
      <c r="H92" s="4"/>
      <c r="I92" s="4"/>
      <c r="J92" s="4"/>
      <c r="K92" s="4"/>
      <c r="L92" s="7" t="str">
        <f aca="false">IF(N92="READY",IF(V92="KAC",IFERROR(INDEX(06_КАЦ!$R$4:$R$203,MATCH(K92,06_КАЦ!$A$4:$A$203,0)),""),IFERROR(INDEX(06а_Оценки!$F$4:$F$203,MATCH(K92,06а_Оценки!$A$4:$A$203,0)),"")),"")</f>
        <v/>
      </c>
      <c r="M92" s="7" t="str">
        <f aca="false">IF(N92="READY",ROUND(I92*L92,2),"")</f>
        <v/>
      </c>
      <c r="N92" s="5" t="str">
        <f aca="false">IF(A92="","",IF(Q92="NOT_APPLICABLE",IF(AND(COUNTIF(A$4:A$203,A92)=1,H92="OUTSIDE",R92&lt;&gt;"",O92&lt;&gt;"",COUNTIF(13_Источники!$A$4:$A$203,O92)=1),"NOT_APPLICABLE","INCOMPLETE / EXCLUSION"),IF(AND(COUNTIF(A$4:A$203,A92)=1,COUNTIF(02_WBS!$A$4:$A$200,B92)=1,C92&lt;&gt;"",COUNTIF(03_Пакеты!$A$4:$A$203,C92)=1,IFERROR(INDEX(03_Пакеты!$B$4:$B$203,MATCH(C92,03_Пакеты!$A$4:$A$203,0)),"")=B92,E92&lt;&gt;"",F92&lt;&gt;"",F92&lt;&gt;"UNKNOWN",G92&lt;&gt;"",G92&lt;&gt;"UNKNOWN",OR(H92="REMAINING",H92="SUNK",H92="OUTSIDE"),ISNUMBER(I92),I92&gt;=0,OR(AND(I92&gt;0,Q92="KNOWN"),AND(I92=0,Q92="ZERO_CONFIRMED")),J92&lt;&gt;"",K92&lt;&gt;"",OR(AND(V92="KAC",COUNTIF(06_КАЦ!$A$4:$A$203,K92)=1,IFERROR(INDEX(06_КАЦ!$V$4:$V$203,MATCH(K92,06_КАЦ!$A$4:$A$203,0)),"")="SELECTED_READY",IFERROR(INDEX(06_КАЦ!$D$4:$D$203,MATCH(K92,06_КАЦ!$A$4:$A$203,0)),"")=C92,IFERROR(INDEX(06_КАЦ!$F$4:$F$203,MATCH(K92,06_КАЦ!$A$4:$A$203,0)),"")=J92),AND(V92="DIRECT",COUNTIF(06а_Оценки!$A$4:$A$203,K92)=1,IFERROR(INDEX(06а_Оценки!$N$4:$N$203,MATCH(K92,06а_Оценки!$A$4:$A$203,0)),"")="READY",IFERROR(INDEX(06а_Оценки!$B$4:$B$203,MATCH(K92,06а_Оценки!$A$4:$A$203,0)),"")=C92,IFERROR(INDEX(06а_Оценки!$E$4:$E$203,MATCH(K92,06а_Оценки!$A$4:$A$203,0)),"")=J92)),O92&lt;&gt;"",COUNTIF(13_Источники!$A$4:$A$203,O92)=1,P92&lt;&gt;"",R92&lt;&gt;""),"READY","INCOMPLETE / LINK")))</f>
        <v/>
      </c>
      <c r="O92" s="4"/>
      <c r="P92" s="4"/>
      <c r="Q92" s="4"/>
      <c r="R92" s="4"/>
      <c r="S92" s="4"/>
      <c r="T92" s="4"/>
      <c r="U92" s="4"/>
      <c r="V92" s="4"/>
    </row>
    <row r="93" customFormat="false" ht="15" hidden="false" customHeight="false" outlineLevel="0" collapsed="false">
      <c r="A93" s="4"/>
      <c r="B93" s="4"/>
      <c r="C93" s="4"/>
      <c r="D93" s="6"/>
      <c r="E93" s="4"/>
      <c r="F93" s="4"/>
      <c r="G93" s="4"/>
      <c r="H93" s="4"/>
      <c r="I93" s="4"/>
      <c r="J93" s="4"/>
      <c r="K93" s="4"/>
      <c r="L93" s="7" t="str">
        <f aca="false">IF(N93="READY",IF(V93="KAC",IFERROR(INDEX(06_КАЦ!$R$4:$R$203,MATCH(K93,06_КАЦ!$A$4:$A$203,0)),""),IFERROR(INDEX(06а_Оценки!$F$4:$F$203,MATCH(K93,06а_Оценки!$A$4:$A$203,0)),"")),"")</f>
        <v/>
      </c>
      <c r="M93" s="7" t="str">
        <f aca="false">IF(N93="READY",ROUND(I93*L93,2),"")</f>
        <v/>
      </c>
      <c r="N93" s="5" t="str">
        <f aca="false">IF(A93="","",IF(Q93="NOT_APPLICABLE",IF(AND(COUNTIF(A$4:A$203,A93)=1,H93="OUTSIDE",R93&lt;&gt;"",O93&lt;&gt;"",COUNTIF(13_Источники!$A$4:$A$203,O93)=1),"NOT_APPLICABLE","INCOMPLETE / EXCLUSION"),IF(AND(COUNTIF(A$4:A$203,A93)=1,COUNTIF(02_WBS!$A$4:$A$200,B93)=1,C93&lt;&gt;"",COUNTIF(03_Пакеты!$A$4:$A$203,C93)=1,IFERROR(INDEX(03_Пакеты!$B$4:$B$203,MATCH(C93,03_Пакеты!$A$4:$A$203,0)),"")=B93,E93&lt;&gt;"",F93&lt;&gt;"",F93&lt;&gt;"UNKNOWN",G93&lt;&gt;"",G93&lt;&gt;"UNKNOWN",OR(H93="REMAINING",H93="SUNK",H93="OUTSIDE"),ISNUMBER(I93),I93&gt;=0,OR(AND(I93&gt;0,Q93="KNOWN"),AND(I93=0,Q93="ZERO_CONFIRMED")),J93&lt;&gt;"",K93&lt;&gt;"",OR(AND(V93="KAC",COUNTIF(06_КАЦ!$A$4:$A$203,K93)=1,IFERROR(INDEX(06_КАЦ!$V$4:$V$203,MATCH(K93,06_КАЦ!$A$4:$A$203,0)),"")="SELECTED_READY",IFERROR(INDEX(06_КАЦ!$D$4:$D$203,MATCH(K93,06_КАЦ!$A$4:$A$203,0)),"")=C93,IFERROR(INDEX(06_КАЦ!$F$4:$F$203,MATCH(K93,06_КАЦ!$A$4:$A$203,0)),"")=J93),AND(V93="DIRECT",COUNTIF(06а_Оценки!$A$4:$A$203,K93)=1,IFERROR(INDEX(06а_Оценки!$N$4:$N$203,MATCH(K93,06а_Оценки!$A$4:$A$203,0)),"")="READY",IFERROR(INDEX(06а_Оценки!$B$4:$B$203,MATCH(K93,06а_Оценки!$A$4:$A$203,0)),"")=C93,IFERROR(INDEX(06а_Оценки!$E$4:$E$203,MATCH(K93,06а_Оценки!$A$4:$A$203,0)),"")=J93)),O93&lt;&gt;"",COUNTIF(13_Источники!$A$4:$A$203,O93)=1,P93&lt;&gt;"",R93&lt;&gt;""),"READY","INCOMPLETE / LINK")))</f>
        <v/>
      </c>
      <c r="O93" s="4"/>
      <c r="P93" s="4"/>
      <c r="Q93" s="4"/>
      <c r="R93" s="4"/>
      <c r="S93" s="4"/>
      <c r="T93" s="4"/>
      <c r="U93" s="4"/>
      <c r="V93" s="4"/>
    </row>
    <row r="94" customFormat="false" ht="15" hidden="false" customHeight="false" outlineLevel="0" collapsed="false">
      <c r="A94" s="4"/>
      <c r="B94" s="4"/>
      <c r="C94" s="4"/>
      <c r="D94" s="6"/>
      <c r="E94" s="4"/>
      <c r="F94" s="4"/>
      <c r="G94" s="4"/>
      <c r="H94" s="4"/>
      <c r="I94" s="4"/>
      <c r="J94" s="4"/>
      <c r="K94" s="4"/>
      <c r="L94" s="7" t="str">
        <f aca="false">IF(N94="READY",IF(V94="KAC",IFERROR(INDEX(06_КАЦ!$R$4:$R$203,MATCH(K94,06_КАЦ!$A$4:$A$203,0)),""),IFERROR(INDEX(06а_Оценки!$F$4:$F$203,MATCH(K94,06а_Оценки!$A$4:$A$203,0)),"")),"")</f>
        <v/>
      </c>
      <c r="M94" s="7" t="str">
        <f aca="false">IF(N94="READY",ROUND(I94*L94,2),"")</f>
        <v/>
      </c>
      <c r="N94" s="5" t="str">
        <f aca="false">IF(A94="","",IF(Q94="NOT_APPLICABLE",IF(AND(COUNTIF(A$4:A$203,A94)=1,H94="OUTSIDE",R94&lt;&gt;"",O94&lt;&gt;"",COUNTIF(13_Источники!$A$4:$A$203,O94)=1),"NOT_APPLICABLE","INCOMPLETE / EXCLUSION"),IF(AND(COUNTIF(A$4:A$203,A94)=1,COUNTIF(02_WBS!$A$4:$A$200,B94)=1,C94&lt;&gt;"",COUNTIF(03_Пакеты!$A$4:$A$203,C94)=1,IFERROR(INDEX(03_Пакеты!$B$4:$B$203,MATCH(C94,03_Пакеты!$A$4:$A$203,0)),"")=B94,E94&lt;&gt;"",F94&lt;&gt;"",F94&lt;&gt;"UNKNOWN",G94&lt;&gt;"",G94&lt;&gt;"UNKNOWN",OR(H94="REMAINING",H94="SUNK",H94="OUTSIDE"),ISNUMBER(I94),I94&gt;=0,OR(AND(I94&gt;0,Q94="KNOWN"),AND(I94=0,Q94="ZERO_CONFIRMED")),J94&lt;&gt;"",K94&lt;&gt;"",OR(AND(V94="KAC",COUNTIF(06_КАЦ!$A$4:$A$203,K94)=1,IFERROR(INDEX(06_КАЦ!$V$4:$V$203,MATCH(K94,06_КАЦ!$A$4:$A$203,0)),"")="SELECTED_READY",IFERROR(INDEX(06_КАЦ!$D$4:$D$203,MATCH(K94,06_КАЦ!$A$4:$A$203,0)),"")=C94,IFERROR(INDEX(06_КАЦ!$F$4:$F$203,MATCH(K94,06_КАЦ!$A$4:$A$203,0)),"")=J94),AND(V94="DIRECT",COUNTIF(06а_Оценки!$A$4:$A$203,K94)=1,IFERROR(INDEX(06а_Оценки!$N$4:$N$203,MATCH(K94,06а_Оценки!$A$4:$A$203,0)),"")="READY",IFERROR(INDEX(06а_Оценки!$B$4:$B$203,MATCH(K94,06а_Оценки!$A$4:$A$203,0)),"")=C94,IFERROR(INDEX(06а_Оценки!$E$4:$E$203,MATCH(K94,06а_Оценки!$A$4:$A$203,0)),"")=J94)),O94&lt;&gt;"",COUNTIF(13_Источники!$A$4:$A$203,O94)=1,P94&lt;&gt;"",R94&lt;&gt;""),"READY","INCOMPLETE / LINK")))</f>
        <v/>
      </c>
      <c r="O94" s="4"/>
      <c r="P94" s="4"/>
      <c r="Q94" s="4"/>
      <c r="R94" s="4"/>
      <c r="S94" s="4"/>
      <c r="T94" s="4"/>
      <c r="U94" s="4"/>
      <c r="V94" s="4"/>
    </row>
    <row r="95" customFormat="false" ht="15" hidden="false" customHeight="false" outlineLevel="0" collapsed="false">
      <c r="A95" s="4"/>
      <c r="B95" s="4"/>
      <c r="C95" s="4"/>
      <c r="D95" s="6"/>
      <c r="E95" s="4"/>
      <c r="F95" s="4"/>
      <c r="G95" s="4"/>
      <c r="H95" s="4"/>
      <c r="I95" s="4"/>
      <c r="J95" s="4"/>
      <c r="K95" s="4"/>
      <c r="L95" s="7" t="str">
        <f aca="false">IF(N95="READY",IF(V95="KAC",IFERROR(INDEX(06_КАЦ!$R$4:$R$203,MATCH(K95,06_КАЦ!$A$4:$A$203,0)),""),IFERROR(INDEX(06а_Оценки!$F$4:$F$203,MATCH(K95,06а_Оценки!$A$4:$A$203,0)),"")),"")</f>
        <v/>
      </c>
      <c r="M95" s="7" t="str">
        <f aca="false">IF(N95="READY",ROUND(I95*L95,2),"")</f>
        <v/>
      </c>
      <c r="N95" s="5" t="str">
        <f aca="false">IF(A95="","",IF(Q95="NOT_APPLICABLE",IF(AND(COUNTIF(A$4:A$203,A95)=1,H95="OUTSIDE",R95&lt;&gt;"",O95&lt;&gt;"",COUNTIF(13_Источники!$A$4:$A$203,O95)=1),"NOT_APPLICABLE","INCOMPLETE / EXCLUSION"),IF(AND(COUNTIF(A$4:A$203,A95)=1,COUNTIF(02_WBS!$A$4:$A$200,B95)=1,C95&lt;&gt;"",COUNTIF(03_Пакеты!$A$4:$A$203,C95)=1,IFERROR(INDEX(03_Пакеты!$B$4:$B$203,MATCH(C95,03_Пакеты!$A$4:$A$203,0)),"")=B95,E95&lt;&gt;"",F95&lt;&gt;"",F95&lt;&gt;"UNKNOWN",G95&lt;&gt;"",G95&lt;&gt;"UNKNOWN",OR(H95="REMAINING",H95="SUNK",H95="OUTSIDE"),ISNUMBER(I95),I95&gt;=0,OR(AND(I95&gt;0,Q95="KNOWN"),AND(I95=0,Q95="ZERO_CONFIRMED")),J95&lt;&gt;"",K95&lt;&gt;"",OR(AND(V95="KAC",COUNTIF(06_КАЦ!$A$4:$A$203,K95)=1,IFERROR(INDEX(06_КАЦ!$V$4:$V$203,MATCH(K95,06_КАЦ!$A$4:$A$203,0)),"")="SELECTED_READY",IFERROR(INDEX(06_КАЦ!$D$4:$D$203,MATCH(K95,06_КАЦ!$A$4:$A$203,0)),"")=C95,IFERROR(INDEX(06_КАЦ!$F$4:$F$203,MATCH(K95,06_КАЦ!$A$4:$A$203,0)),"")=J95),AND(V95="DIRECT",COUNTIF(06а_Оценки!$A$4:$A$203,K95)=1,IFERROR(INDEX(06а_Оценки!$N$4:$N$203,MATCH(K95,06а_Оценки!$A$4:$A$203,0)),"")="READY",IFERROR(INDEX(06а_Оценки!$B$4:$B$203,MATCH(K95,06а_Оценки!$A$4:$A$203,0)),"")=C95,IFERROR(INDEX(06а_Оценки!$E$4:$E$203,MATCH(K95,06а_Оценки!$A$4:$A$203,0)),"")=J95)),O95&lt;&gt;"",COUNTIF(13_Источники!$A$4:$A$203,O95)=1,P95&lt;&gt;"",R95&lt;&gt;""),"READY","INCOMPLETE / LINK")))</f>
        <v/>
      </c>
      <c r="O95" s="4"/>
      <c r="P95" s="4"/>
      <c r="Q95" s="4"/>
      <c r="R95" s="4"/>
      <c r="S95" s="4"/>
      <c r="T95" s="4"/>
      <c r="U95" s="4"/>
      <c r="V95" s="4"/>
    </row>
    <row r="96" customFormat="false" ht="15" hidden="false" customHeight="false" outlineLevel="0" collapsed="false">
      <c r="A96" s="4"/>
      <c r="B96" s="4"/>
      <c r="C96" s="4"/>
      <c r="D96" s="6"/>
      <c r="E96" s="4"/>
      <c r="F96" s="4"/>
      <c r="G96" s="4"/>
      <c r="H96" s="4"/>
      <c r="I96" s="4"/>
      <c r="J96" s="4"/>
      <c r="K96" s="4"/>
      <c r="L96" s="7" t="str">
        <f aca="false">IF(N96="READY",IF(V96="KAC",IFERROR(INDEX(06_КАЦ!$R$4:$R$203,MATCH(K96,06_КАЦ!$A$4:$A$203,0)),""),IFERROR(INDEX(06а_Оценки!$F$4:$F$203,MATCH(K96,06а_Оценки!$A$4:$A$203,0)),"")),"")</f>
        <v/>
      </c>
      <c r="M96" s="7" t="str">
        <f aca="false">IF(N96="READY",ROUND(I96*L96,2),"")</f>
        <v/>
      </c>
      <c r="N96" s="5" t="str">
        <f aca="false">IF(A96="","",IF(Q96="NOT_APPLICABLE",IF(AND(COUNTIF(A$4:A$203,A96)=1,H96="OUTSIDE",R96&lt;&gt;"",O96&lt;&gt;"",COUNTIF(13_Источники!$A$4:$A$203,O96)=1),"NOT_APPLICABLE","INCOMPLETE / EXCLUSION"),IF(AND(COUNTIF(A$4:A$203,A96)=1,COUNTIF(02_WBS!$A$4:$A$200,B96)=1,C96&lt;&gt;"",COUNTIF(03_Пакеты!$A$4:$A$203,C96)=1,IFERROR(INDEX(03_Пакеты!$B$4:$B$203,MATCH(C96,03_Пакеты!$A$4:$A$203,0)),"")=B96,E96&lt;&gt;"",F96&lt;&gt;"",F96&lt;&gt;"UNKNOWN",G96&lt;&gt;"",G96&lt;&gt;"UNKNOWN",OR(H96="REMAINING",H96="SUNK",H96="OUTSIDE"),ISNUMBER(I96),I96&gt;=0,OR(AND(I96&gt;0,Q96="KNOWN"),AND(I96=0,Q96="ZERO_CONFIRMED")),J96&lt;&gt;"",K96&lt;&gt;"",OR(AND(V96="KAC",COUNTIF(06_КАЦ!$A$4:$A$203,K96)=1,IFERROR(INDEX(06_КАЦ!$V$4:$V$203,MATCH(K96,06_КАЦ!$A$4:$A$203,0)),"")="SELECTED_READY",IFERROR(INDEX(06_КАЦ!$D$4:$D$203,MATCH(K96,06_КАЦ!$A$4:$A$203,0)),"")=C96,IFERROR(INDEX(06_КАЦ!$F$4:$F$203,MATCH(K96,06_КАЦ!$A$4:$A$203,0)),"")=J96),AND(V96="DIRECT",COUNTIF(06а_Оценки!$A$4:$A$203,K96)=1,IFERROR(INDEX(06а_Оценки!$N$4:$N$203,MATCH(K96,06а_Оценки!$A$4:$A$203,0)),"")="READY",IFERROR(INDEX(06а_Оценки!$B$4:$B$203,MATCH(K96,06а_Оценки!$A$4:$A$203,0)),"")=C96,IFERROR(INDEX(06а_Оценки!$E$4:$E$203,MATCH(K96,06а_Оценки!$A$4:$A$203,0)),"")=J96)),O96&lt;&gt;"",COUNTIF(13_Источники!$A$4:$A$203,O96)=1,P96&lt;&gt;"",R96&lt;&gt;""),"READY","INCOMPLETE / LINK")))</f>
        <v/>
      </c>
      <c r="O96" s="4"/>
      <c r="P96" s="4"/>
      <c r="Q96" s="4"/>
      <c r="R96" s="4"/>
      <c r="S96" s="4"/>
      <c r="T96" s="4"/>
      <c r="U96" s="4"/>
      <c r="V96" s="4"/>
    </row>
    <row r="97" customFormat="false" ht="15" hidden="false" customHeight="false" outlineLevel="0" collapsed="false">
      <c r="A97" s="4"/>
      <c r="B97" s="4"/>
      <c r="C97" s="4"/>
      <c r="D97" s="6"/>
      <c r="E97" s="4"/>
      <c r="F97" s="4"/>
      <c r="G97" s="4"/>
      <c r="H97" s="4"/>
      <c r="I97" s="4"/>
      <c r="J97" s="4"/>
      <c r="K97" s="4"/>
      <c r="L97" s="7" t="str">
        <f aca="false">IF(N97="READY",IF(V97="KAC",IFERROR(INDEX(06_КАЦ!$R$4:$R$203,MATCH(K97,06_КАЦ!$A$4:$A$203,0)),""),IFERROR(INDEX(06а_Оценки!$F$4:$F$203,MATCH(K97,06а_Оценки!$A$4:$A$203,0)),"")),"")</f>
        <v/>
      </c>
      <c r="M97" s="7" t="str">
        <f aca="false">IF(N97="READY",ROUND(I97*L97,2),"")</f>
        <v/>
      </c>
      <c r="N97" s="5" t="str">
        <f aca="false">IF(A97="","",IF(Q97="NOT_APPLICABLE",IF(AND(COUNTIF(A$4:A$203,A97)=1,H97="OUTSIDE",R97&lt;&gt;"",O97&lt;&gt;"",COUNTIF(13_Источники!$A$4:$A$203,O97)=1),"NOT_APPLICABLE","INCOMPLETE / EXCLUSION"),IF(AND(COUNTIF(A$4:A$203,A97)=1,COUNTIF(02_WBS!$A$4:$A$200,B97)=1,C97&lt;&gt;"",COUNTIF(03_Пакеты!$A$4:$A$203,C97)=1,IFERROR(INDEX(03_Пакеты!$B$4:$B$203,MATCH(C97,03_Пакеты!$A$4:$A$203,0)),"")=B97,E97&lt;&gt;"",F97&lt;&gt;"",F97&lt;&gt;"UNKNOWN",G97&lt;&gt;"",G97&lt;&gt;"UNKNOWN",OR(H97="REMAINING",H97="SUNK",H97="OUTSIDE"),ISNUMBER(I97),I97&gt;=0,OR(AND(I97&gt;0,Q97="KNOWN"),AND(I97=0,Q97="ZERO_CONFIRMED")),J97&lt;&gt;"",K97&lt;&gt;"",OR(AND(V97="KAC",COUNTIF(06_КАЦ!$A$4:$A$203,K97)=1,IFERROR(INDEX(06_КАЦ!$V$4:$V$203,MATCH(K97,06_КАЦ!$A$4:$A$203,0)),"")="SELECTED_READY",IFERROR(INDEX(06_КАЦ!$D$4:$D$203,MATCH(K97,06_КАЦ!$A$4:$A$203,0)),"")=C97,IFERROR(INDEX(06_КАЦ!$F$4:$F$203,MATCH(K97,06_КАЦ!$A$4:$A$203,0)),"")=J97),AND(V97="DIRECT",COUNTIF(06а_Оценки!$A$4:$A$203,K97)=1,IFERROR(INDEX(06а_Оценки!$N$4:$N$203,MATCH(K97,06а_Оценки!$A$4:$A$203,0)),"")="READY",IFERROR(INDEX(06а_Оценки!$B$4:$B$203,MATCH(K97,06а_Оценки!$A$4:$A$203,0)),"")=C97,IFERROR(INDEX(06а_Оценки!$E$4:$E$203,MATCH(K97,06а_Оценки!$A$4:$A$203,0)),"")=J97)),O97&lt;&gt;"",COUNTIF(13_Источники!$A$4:$A$203,O97)=1,P97&lt;&gt;"",R97&lt;&gt;""),"READY","INCOMPLETE / LINK")))</f>
        <v/>
      </c>
      <c r="O97" s="4"/>
      <c r="P97" s="4"/>
      <c r="Q97" s="4"/>
      <c r="R97" s="4"/>
      <c r="S97" s="4"/>
      <c r="T97" s="4"/>
      <c r="U97" s="4"/>
      <c r="V97" s="4"/>
    </row>
    <row r="98" customFormat="false" ht="15" hidden="false" customHeight="false" outlineLevel="0" collapsed="false">
      <c r="A98" s="4"/>
      <c r="B98" s="4"/>
      <c r="C98" s="4"/>
      <c r="D98" s="6"/>
      <c r="E98" s="4"/>
      <c r="F98" s="4"/>
      <c r="G98" s="4"/>
      <c r="H98" s="4"/>
      <c r="I98" s="4"/>
      <c r="J98" s="4"/>
      <c r="K98" s="4"/>
      <c r="L98" s="7" t="str">
        <f aca="false">IF(N98="READY",IF(V98="KAC",IFERROR(INDEX(06_КАЦ!$R$4:$R$203,MATCH(K98,06_КАЦ!$A$4:$A$203,0)),""),IFERROR(INDEX(06а_Оценки!$F$4:$F$203,MATCH(K98,06а_Оценки!$A$4:$A$203,0)),"")),"")</f>
        <v/>
      </c>
      <c r="M98" s="7" t="str">
        <f aca="false">IF(N98="READY",ROUND(I98*L98,2),"")</f>
        <v/>
      </c>
      <c r="N98" s="5" t="str">
        <f aca="false">IF(A98="","",IF(Q98="NOT_APPLICABLE",IF(AND(COUNTIF(A$4:A$203,A98)=1,H98="OUTSIDE",R98&lt;&gt;"",O98&lt;&gt;"",COUNTIF(13_Источники!$A$4:$A$203,O98)=1),"NOT_APPLICABLE","INCOMPLETE / EXCLUSION"),IF(AND(COUNTIF(A$4:A$203,A98)=1,COUNTIF(02_WBS!$A$4:$A$200,B98)=1,C98&lt;&gt;"",COUNTIF(03_Пакеты!$A$4:$A$203,C98)=1,IFERROR(INDEX(03_Пакеты!$B$4:$B$203,MATCH(C98,03_Пакеты!$A$4:$A$203,0)),"")=B98,E98&lt;&gt;"",F98&lt;&gt;"",F98&lt;&gt;"UNKNOWN",G98&lt;&gt;"",G98&lt;&gt;"UNKNOWN",OR(H98="REMAINING",H98="SUNK",H98="OUTSIDE"),ISNUMBER(I98),I98&gt;=0,OR(AND(I98&gt;0,Q98="KNOWN"),AND(I98=0,Q98="ZERO_CONFIRMED")),J98&lt;&gt;"",K98&lt;&gt;"",OR(AND(V98="KAC",COUNTIF(06_КАЦ!$A$4:$A$203,K98)=1,IFERROR(INDEX(06_КАЦ!$V$4:$V$203,MATCH(K98,06_КАЦ!$A$4:$A$203,0)),"")="SELECTED_READY",IFERROR(INDEX(06_КАЦ!$D$4:$D$203,MATCH(K98,06_КАЦ!$A$4:$A$203,0)),"")=C98,IFERROR(INDEX(06_КАЦ!$F$4:$F$203,MATCH(K98,06_КАЦ!$A$4:$A$203,0)),"")=J98),AND(V98="DIRECT",COUNTIF(06а_Оценки!$A$4:$A$203,K98)=1,IFERROR(INDEX(06а_Оценки!$N$4:$N$203,MATCH(K98,06а_Оценки!$A$4:$A$203,0)),"")="READY",IFERROR(INDEX(06а_Оценки!$B$4:$B$203,MATCH(K98,06а_Оценки!$A$4:$A$203,0)),"")=C98,IFERROR(INDEX(06а_Оценки!$E$4:$E$203,MATCH(K98,06а_Оценки!$A$4:$A$203,0)),"")=J98)),O98&lt;&gt;"",COUNTIF(13_Источники!$A$4:$A$203,O98)=1,P98&lt;&gt;"",R98&lt;&gt;""),"READY","INCOMPLETE / LINK")))</f>
        <v/>
      </c>
      <c r="O98" s="4"/>
      <c r="P98" s="4"/>
      <c r="Q98" s="4"/>
      <c r="R98" s="4"/>
      <c r="S98" s="4"/>
      <c r="T98" s="4"/>
      <c r="U98" s="4"/>
      <c r="V98" s="4"/>
    </row>
    <row r="99" customFormat="false" ht="15" hidden="false" customHeight="false" outlineLevel="0" collapsed="false">
      <c r="A99" s="4"/>
      <c r="B99" s="4"/>
      <c r="C99" s="4"/>
      <c r="D99" s="6"/>
      <c r="E99" s="4"/>
      <c r="F99" s="4"/>
      <c r="G99" s="4"/>
      <c r="H99" s="4"/>
      <c r="I99" s="4"/>
      <c r="J99" s="4"/>
      <c r="K99" s="4"/>
      <c r="L99" s="7" t="str">
        <f aca="false">IF(N99="READY",IF(V99="KAC",IFERROR(INDEX(06_КАЦ!$R$4:$R$203,MATCH(K99,06_КАЦ!$A$4:$A$203,0)),""),IFERROR(INDEX(06а_Оценки!$F$4:$F$203,MATCH(K99,06а_Оценки!$A$4:$A$203,0)),"")),"")</f>
        <v/>
      </c>
      <c r="M99" s="7" t="str">
        <f aca="false">IF(N99="READY",ROUND(I99*L99,2),"")</f>
        <v/>
      </c>
      <c r="N99" s="5" t="str">
        <f aca="false">IF(A99="","",IF(Q99="NOT_APPLICABLE",IF(AND(COUNTIF(A$4:A$203,A99)=1,H99="OUTSIDE",R99&lt;&gt;"",O99&lt;&gt;"",COUNTIF(13_Источники!$A$4:$A$203,O99)=1),"NOT_APPLICABLE","INCOMPLETE / EXCLUSION"),IF(AND(COUNTIF(A$4:A$203,A99)=1,COUNTIF(02_WBS!$A$4:$A$200,B99)=1,C99&lt;&gt;"",COUNTIF(03_Пакеты!$A$4:$A$203,C99)=1,IFERROR(INDEX(03_Пакеты!$B$4:$B$203,MATCH(C99,03_Пакеты!$A$4:$A$203,0)),"")=B99,E99&lt;&gt;"",F99&lt;&gt;"",F99&lt;&gt;"UNKNOWN",G99&lt;&gt;"",G99&lt;&gt;"UNKNOWN",OR(H99="REMAINING",H99="SUNK",H99="OUTSIDE"),ISNUMBER(I99),I99&gt;=0,OR(AND(I99&gt;0,Q99="KNOWN"),AND(I99=0,Q99="ZERO_CONFIRMED")),J99&lt;&gt;"",K99&lt;&gt;"",OR(AND(V99="KAC",COUNTIF(06_КАЦ!$A$4:$A$203,K99)=1,IFERROR(INDEX(06_КАЦ!$V$4:$V$203,MATCH(K99,06_КАЦ!$A$4:$A$203,0)),"")="SELECTED_READY",IFERROR(INDEX(06_КАЦ!$D$4:$D$203,MATCH(K99,06_КАЦ!$A$4:$A$203,0)),"")=C99,IFERROR(INDEX(06_КАЦ!$F$4:$F$203,MATCH(K99,06_КАЦ!$A$4:$A$203,0)),"")=J99),AND(V99="DIRECT",COUNTIF(06а_Оценки!$A$4:$A$203,K99)=1,IFERROR(INDEX(06а_Оценки!$N$4:$N$203,MATCH(K99,06а_Оценки!$A$4:$A$203,0)),"")="READY",IFERROR(INDEX(06а_Оценки!$B$4:$B$203,MATCH(K99,06а_Оценки!$A$4:$A$203,0)),"")=C99,IFERROR(INDEX(06а_Оценки!$E$4:$E$203,MATCH(K99,06а_Оценки!$A$4:$A$203,0)),"")=J99)),O99&lt;&gt;"",COUNTIF(13_Источники!$A$4:$A$203,O99)=1,P99&lt;&gt;"",R99&lt;&gt;""),"READY","INCOMPLETE / LINK")))</f>
        <v/>
      </c>
      <c r="O99" s="4"/>
      <c r="P99" s="4"/>
      <c r="Q99" s="4"/>
      <c r="R99" s="4"/>
      <c r="S99" s="4"/>
      <c r="T99" s="4"/>
      <c r="U99" s="4"/>
      <c r="V99" s="4"/>
    </row>
    <row r="100" customFormat="false" ht="15" hidden="false" customHeight="false" outlineLevel="0" collapsed="false">
      <c r="A100" s="4"/>
      <c r="B100" s="4"/>
      <c r="C100" s="4"/>
      <c r="D100" s="6"/>
      <c r="E100" s="4"/>
      <c r="F100" s="4"/>
      <c r="G100" s="4"/>
      <c r="H100" s="4"/>
      <c r="I100" s="4"/>
      <c r="J100" s="4"/>
      <c r="K100" s="4"/>
      <c r="L100" s="7" t="str">
        <f aca="false">IF(N100="READY",IF(V100="KAC",IFERROR(INDEX(06_КАЦ!$R$4:$R$203,MATCH(K100,06_КАЦ!$A$4:$A$203,0)),""),IFERROR(INDEX(06а_Оценки!$F$4:$F$203,MATCH(K100,06а_Оценки!$A$4:$A$203,0)),"")),"")</f>
        <v/>
      </c>
      <c r="M100" s="7" t="str">
        <f aca="false">IF(N100="READY",ROUND(I100*L100,2),"")</f>
        <v/>
      </c>
      <c r="N100" s="5" t="str">
        <f aca="false">IF(A100="","",IF(Q100="NOT_APPLICABLE",IF(AND(COUNTIF(A$4:A$203,A100)=1,H100="OUTSIDE",R100&lt;&gt;"",O100&lt;&gt;"",COUNTIF(13_Источники!$A$4:$A$203,O100)=1),"NOT_APPLICABLE","INCOMPLETE / EXCLUSION"),IF(AND(COUNTIF(A$4:A$203,A100)=1,COUNTIF(02_WBS!$A$4:$A$200,B100)=1,C100&lt;&gt;"",COUNTIF(03_Пакеты!$A$4:$A$203,C100)=1,IFERROR(INDEX(03_Пакеты!$B$4:$B$203,MATCH(C100,03_Пакеты!$A$4:$A$203,0)),"")=B100,E100&lt;&gt;"",F100&lt;&gt;"",F100&lt;&gt;"UNKNOWN",G100&lt;&gt;"",G100&lt;&gt;"UNKNOWN",OR(H100="REMAINING",H100="SUNK",H100="OUTSIDE"),ISNUMBER(I100),I100&gt;=0,OR(AND(I100&gt;0,Q100="KNOWN"),AND(I100=0,Q100="ZERO_CONFIRMED")),J100&lt;&gt;"",K100&lt;&gt;"",OR(AND(V100="KAC",COUNTIF(06_КАЦ!$A$4:$A$203,K100)=1,IFERROR(INDEX(06_КАЦ!$V$4:$V$203,MATCH(K100,06_КАЦ!$A$4:$A$203,0)),"")="SELECTED_READY",IFERROR(INDEX(06_КАЦ!$D$4:$D$203,MATCH(K100,06_КАЦ!$A$4:$A$203,0)),"")=C100,IFERROR(INDEX(06_КАЦ!$F$4:$F$203,MATCH(K100,06_КАЦ!$A$4:$A$203,0)),"")=J100),AND(V100="DIRECT",COUNTIF(06а_Оценки!$A$4:$A$203,K100)=1,IFERROR(INDEX(06а_Оценки!$N$4:$N$203,MATCH(K100,06а_Оценки!$A$4:$A$203,0)),"")="READY",IFERROR(INDEX(06а_Оценки!$B$4:$B$203,MATCH(K100,06а_Оценки!$A$4:$A$203,0)),"")=C100,IFERROR(INDEX(06а_Оценки!$E$4:$E$203,MATCH(K100,06а_Оценки!$A$4:$A$203,0)),"")=J100)),O100&lt;&gt;"",COUNTIF(13_Источники!$A$4:$A$203,O100)=1,P100&lt;&gt;"",R100&lt;&gt;""),"READY","INCOMPLETE / LINK")))</f>
        <v/>
      </c>
      <c r="O100" s="4"/>
      <c r="P100" s="4"/>
      <c r="Q100" s="4"/>
      <c r="R100" s="4"/>
      <c r="S100" s="4"/>
      <c r="T100" s="4"/>
      <c r="U100" s="4"/>
      <c r="V100" s="4"/>
    </row>
    <row r="101" customFormat="false" ht="15" hidden="false" customHeight="false" outlineLevel="0" collapsed="false">
      <c r="A101" s="4"/>
      <c r="B101" s="4"/>
      <c r="C101" s="4"/>
      <c r="D101" s="6"/>
      <c r="E101" s="4"/>
      <c r="F101" s="4"/>
      <c r="G101" s="4"/>
      <c r="H101" s="4"/>
      <c r="I101" s="4"/>
      <c r="J101" s="4"/>
      <c r="K101" s="4"/>
      <c r="L101" s="7" t="str">
        <f aca="false">IF(N101="READY",IF(V101="KAC",IFERROR(INDEX(06_КАЦ!$R$4:$R$203,MATCH(K101,06_КАЦ!$A$4:$A$203,0)),""),IFERROR(INDEX(06а_Оценки!$F$4:$F$203,MATCH(K101,06а_Оценки!$A$4:$A$203,0)),"")),"")</f>
        <v/>
      </c>
      <c r="M101" s="7" t="str">
        <f aca="false">IF(N101="READY",ROUND(I101*L101,2),"")</f>
        <v/>
      </c>
      <c r="N101" s="5" t="str">
        <f aca="false">IF(A101="","",IF(Q101="NOT_APPLICABLE",IF(AND(COUNTIF(A$4:A$203,A101)=1,H101="OUTSIDE",R101&lt;&gt;"",O101&lt;&gt;"",COUNTIF(13_Источники!$A$4:$A$203,O101)=1),"NOT_APPLICABLE","INCOMPLETE / EXCLUSION"),IF(AND(COUNTIF(A$4:A$203,A101)=1,COUNTIF(02_WBS!$A$4:$A$200,B101)=1,C101&lt;&gt;"",COUNTIF(03_Пакеты!$A$4:$A$203,C101)=1,IFERROR(INDEX(03_Пакеты!$B$4:$B$203,MATCH(C101,03_Пакеты!$A$4:$A$203,0)),"")=B101,E101&lt;&gt;"",F101&lt;&gt;"",F101&lt;&gt;"UNKNOWN",G101&lt;&gt;"",G101&lt;&gt;"UNKNOWN",OR(H101="REMAINING",H101="SUNK",H101="OUTSIDE"),ISNUMBER(I101),I101&gt;=0,OR(AND(I101&gt;0,Q101="KNOWN"),AND(I101=0,Q101="ZERO_CONFIRMED")),J101&lt;&gt;"",K101&lt;&gt;"",OR(AND(V101="KAC",COUNTIF(06_КАЦ!$A$4:$A$203,K101)=1,IFERROR(INDEX(06_КАЦ!$V$4:$V$203,MATCH(K101,06_КАЦ!$A$4:$A$203,0)),"")="SELECTED_READY",IFERROR(INDEX(06_КАЦ!$D$4:$D$203,MATCH(K101,06_КАЦ!$A$4:$A$203,0)),"")=C101,IFERROR(INDEX(06_КАЦ!$F$4:$F$203,MATCH(K101,06_КАЦ!$A$4:$A$203,0)),"")=J101),AND(V101="DIRECT",COUNTIF(06а_Оценки!$A$4:$A$203,K101)=1,IFERROR(INDEX(06а_Оценки!$N$4:$N$203,MATCH(K101,06а_Оценки!$A$4:$A$203,0)),"")="READY",IFERROR(INDEX(06а_Оценки!$B$4:$B$203,MATCH(K101,06а_Оценки!$A$4:$A$203,0)),"")=C101,IFERROR(INDEX(06а_Оценки!$E$4:$E$203,MATCH(K101,06а_Оценки!$A$4:$A$203,0)),"")=J101)),O101&lt;&gt;"",COUNTIF(13_Источники!$A$4:$A$203,O101)=1,P101&lt;&gt;"",R101&lt;&gt;""),"READY","INCOMPLETE / LINK")))</f>
        <v/>
      </c>
      <c r="O101" s="4"/>
      <c r="P101" s="4"/>
      <c r="Q101" s="4"/>
      <c r="R101" s="4"/>
      <c r="S101" s="4"/>
      <c r="T101" s="4"/>
      <c r="U101" s="4"/>
      <c r="V101" s="4"/>
    </row>
    <row r="102" customFormat="false" ht="15" hidden="false" customHeight="false" outlineLevel="0" collapsed="false">
      <c r="A102" s="4"/>
      <c r="B102" s="4"/>
      <c r="C102" s="4"/>
      <c r="D102" s="6"/>
      <c r="E102" s="4"/>
      <c r="F102" s="4"/>
      <c r="G102" s="4"/>
      <c r="H102" s="4"/>
      <c r="I102" s="4"/>
      <c r="J102" s="4"/>
      <c r="K102" s="4"/>
      <c r="L102" s="7" t="str">
        <f aca="false">IF(N102="READY",IF(V102="KAC",IFERROR(INDEX(06_КАЦ!$R$4:$R$203,MATCH(K102,06_КАЦ!$A$4:$A$203,0)),""),IFERROR(INDEX(06а_Оценки!$F$4:$F$203,MATCH(K102,06а_Оценки!$A$4:$A$203,0)),"")),"")</f>
        <v/>
      </c>
      <c r="M102" s="7" t="str">
        <f aca="false">IF(N102="READY",ROUND(I102*L102,2),"")</f>
        <v/>
      </c>
      <c r="N102" s="5" t="str">
        <f aca="false">IF(A102="","",IF(Q102="NOT_APPLICABLE",IF(AND(COUNTIF(A$4:A$203,A102)=1,H102="OUTSIDE",R102&lt;&gt;"",O102&lt;&gt;"",COUNTIF(13_Источники!$A$4:$A$203,O102)=1),"NOT_APPLICABLE","INCOMPLETE / EXCLUSION"),IF(AND(COUNTIF(A$4:A$203,A102)=1,COUNTIF(02_WBS!$A$4:$A$200,B102)=1,C102&lt;&gt;"",COUNTIF(03_Пакеты!$A$4:$A$203,C102)=1,IFERROR(INDEX(03_Пакеты!$B$4:$B$203,MATCH(C102,03_Пакеты!$A$4:$A$203,0)),"")=B102,E102&lt;&gt;"",F102&lt;&gt;"",F102&lt;&gt;"UNKNOWN",G102&lt;&gt;"",G102&lt;&gt;"UNKNOWN",OR(H102="REMAINING",H102="SUNK",H102="OUTSIDE"),ISNUMBER(I102),I102&gt;=0,OR(AND(I102&gt;0,Q102="KNOWN"),AND(I102=0,Q102="ZERO_CONFIRMED")),J102&lt;&gt;"",K102&lt;&gt;"",OR(AND(V102="KAC",COUNTIF(06_КАЦ!$A$4:$A$203,K102)=1,IFERROR(INDEX(06_КАЦ!$V$4:$V$203,MATCH(K102,06_КАЦ!$A$4:$A$203,0)),"")="SELECTED_READY",IFERROR(INDEX(06_КАЦ!$D$4:$D$203,MATCH(K102,06_КАЦ!$A$4:$A$203,0)),"")=C102,IFERROR(INDEX(06_КАЦ!$F$4:$F$203,MATCH(K102,06_КАЦ!$A$4:$A$203,0)),"")=J102),AND(V102="DIRECT",COUNTIF(06а_Оценки!$A$4:$A$203,K102)=1,IFERROR(INDEX(06а_Оценки!$N$4:$N$203,MATCH(K102,06а_Оценки!$A$4:$A$203,0)),"")="READY",IFERROR(INDEX(06а_Оценки!$B$4:$B$203,MATCH(K102,06а_Оценки!$A$4:$A$203,0)),"")=C102,IFERROR(INDEX(06а_Оценки!$E$4:$E$203,MATCH(K102,06а_Оценки!$A$4:$A$203,0)),"")=J102)),O102&lt;&gt;"",COUNTIF(13_Источники!$A$4:$A$203,O102)=1,P102&lt;&gt;"",R102&lt;&gt;""),"READY","INCOMPLETE / LINK")))</f>
        <v/>
      </c>
      <c r="O102" s="4"/>
      <c r="P102" s="4"/>
      <c r="Q102" s="4"/>
      <c r="R102" s="4"/>
      <c r="S102" s="4"/>
      <c r="T102" s="4"/>
      <c r="U102" s="4"/>
      <c r="V102" s="4"/>
    </row>
    <row r="103" customFormat="false" ht="15" hidden="false" customHeight="false" outlineLevel="0" collapsed="false">
      <c r="A103" s="4"/>
      <c r="B103" s="4"/>
      <c r="C103" s="4"/>
      <c r="D103" s="6"/>
      <c r="E103" s="4"/>
      <c r="F103" s="4"/>
      <c r="G103" s="4"/>
      <c r="H103" s="4"/>
      <c r="I103" s="4"/>
      <c r="J103" s="4"/>
      <c r="K103" s="4"/>
      <c r="L103" s="7" t="str">
        <f aca="false">IF(N103="READY",IF(V103="KAC",IFERROR(INDEX(06_КАЦ!$R$4:$R$203,MATCH(K103,06_КАЦ!$A$4:$A$203,0)),""),IFERROR(INDEX(06а_Оценки!$F$4:$F$203,MATCH(K103,06а_Оценки!$A$4:$A$203,0)),"")),"")</f>
        <v/>
      </c>
      <c r="M103" s="7" t="str">
        <f aca="false">IF(N103="READY",ROUND(I103*L103,2),"")</f>
        <v/>
      </c>
      <c r="N103" s="5" t="str">
        <f aca="false">IF(A103="","",IF(Q103="NOT_APPLICABLE",IF(AND(COUNTIF(A$4:A$203,A103)=1,H103="OUTSIDE",R103&lt;&gt;"",O103&lt;&gt;"",COUNTIF(13_Источники!$A$4:$A$203,O103)=1),"NOT_APPLICABLE","INCOMPLETE / EXCLUSION"),IF(AND(COUNTIF(A$4:A$203,A103)=1,COUNTIF(02_WBS!$A$4:$A$200,B103)=1,C103&lt;&gt;"",COUNTIF(03_Пакеты!$A$4:$A$203,C103)=1,IFERROR(INDEX(03_Пакеты!$B$4:$B$203,MATCH(C103,03_Пакеты!$A$4:$A$203,0)),"")=B103,E103&lt;&gt;"",F103&lt;&gt;"",F103&lt;&gt;"UNKNOWN",G103&lt;&gt;"",G103&lt;&gt;"UNKNOWN",OR(H103="REMAINING",H103="SUNK",H103="OUTSIDE"),ISNUMBER(I103),I103&gt;=0,OR(AND(I103&gt;0,Q103="KNOWN"),AND(I103=0,Q103="ZERO_CONFIRMED")),J103&lt;&gt;"",K103&lt;&gt;"",OR(AND(V103="KAC",COUNTIF(06_КАЦ!$A$4:$A$203,K103)=1,IFERROR(INDEX(06_КАЦ!$V$4:$V$203,MATCH(K103,06_КАЦ!$A$4:$A$203,0)),"")="SELECTED_READY",IFERROR(INDEX(06_КАЦ!$D$4:$D$203,MATCH(K103,06_КАЦ!$A$4:$A$203,0)),"")=C103,IFERROR(INDEX(06_КАЦ!$F$4:$F$203,MATCH(K103,06_КАЦ!$A$4:$A$203,0)),"")=J103),AND(V103="DIRECT",COUNTIF(06а_Оценки!$A$4:$A$203,K103)=1,IFERROR(INDEX(06а_Оценки!$N$4:$N$203,MATCH(K103,06а_Оценки!$A$4:$A$203,0)),"")="READY",IFERROR(INDEX(06а_Оценки!$B$4:$B$203,MATCH(K103,06а_Оценки!$A$4:$A$203,0)),"")=C103,IFERROR(INDEX(06а_Оценки!$E$4:$E$203,MATCH(K103,06а_Оценки!$A$4:$A$203,0)),"")=J103)),O103&lt;&gt;"",COUNTIF(13_Источники!$A$4:$A$203,O103)=1,P103&lt;&gt;"",R103&lt;&gt;""),"READY","INCOMPLETE / LINK")))</f>
        <v/>
      </c>
      <c r="O103" s="4"/>
      <c r="P103" s="4"/>
      <c r="Q103" s="4"/>
      <c r="R103" s="4"/>
      <c r="S103" s="4"/>
      <c r="T103" s="4"/>
      <c r="U103" s="4"/>
      <c r="V103" s="4"/>
    </row>
    <row r="104" customFormat="false" ht="15" hidden="false" customHeight="false" outlineLevel="0" collapsed="false">
      <c r="A104" s="4"/>
      <c r="B104" s="4"/>
      <c r="C104" s="4"/>
      <c r="D104" s="6"/>
      <c r="E104" s="4"/>
      <c r="F104" s="4"/>
      <c r="G104" s="4"/>
      <c r="H104" s="4"/>
      <c r="I104" s="4"/>
      <c r="J104" s="4"/>
      <c r="K104" s="4"/>
      <c r="L104" s="7" t="str">
        <f aca="false">IF(N104="READY",IF(V104="KAC",IFERROR(INDEX(06_КАЦ!$R$4:$R$203,MATCH(K104,06_КАЦ!$A$4:$A$203,0)),""),IFERROR(INDEX(06а_Оценки!$F$4:$F$203,MATCH(K104,06а_Оценки!$A$4:$A$203,0)),"")),"")</f>
        <v/>
      </c>
      <c r="M104" s="7" t="str">
        <f aca="false">IF(N104="READY",ROUND(I104*L104,2),"")</f>
        <v/>
      </c>
      <c r="N104" s="5" t="str">
        <f aca="false">IF(A104="","",IF(Q104="NOT_APPLICABLE",IF(AND(COUNTIF(A$4:A$203,A104)=1,H104="OUTSIDE",R104&lt;&gt;"",O104&lt;&gt;"",COUNTIF(13_Источники!$A$4:$A$203,O104)=1),"NOT_APPLICABLE","INCOMPLETE / EXCLUSION"),IF(AND(COUNTIF(A$4:A$203,A104)=1,COUNTIF(02_WBS!$A$4:$A$200,B104)=1,C104&lt;&gt;"",COUNTIF(03_Пакеты!$A$4:$A$203,C104)=1,IFERROR(INDEX(03_Пакеты!$B$4:$B$203,MATCH(C104,03_Пакеты!$A$4:$A$203,0)),"")=B104,E104&lt;&gt;"",F104&lt;&gt;"",F104&lt;&gt;"UNKNOWN",G104&lt;&gt;"",G104&lt;&gt;"UNKNOWN",OR(H104="REMAINING",H104="SUNK",H104="OUTSIDE"),ISNUMBER(I104),I104&gt;=0,OR(AND(I104&gt;0,Q104="KNOWN"),AND(I104=0,Q104="ZERO_CONFIRMED")),J104&lt;&gt;"",K104&lt;&gt;"",OR(AND(V104="KAC",COUNTIF(06_КАЦ!$A$4:$A$203,K104)=1,IFERROR(INDEX(06_КАЦ!$V$4:$V$203,MATCH(K104,06_КАЦ!$A$4:$A$203,0)),"")="SELECTED_READY",IFERROR(INDEX(06_КАЦ!$D$4:$D$203,MATCH(K104,06_КАЦ!$A$4:$A$203,0)),"")=C104,IFERROR(INDEX(06_КАЦ!$F$4:$F$203,MATCH(K104,06_КАЦ!$A$4:$A$203,0)),"")=J104),AND(V104="DIRECT",COUNTIF(06а_Оценки!$A$4:$A$203,K104)=1,IFERROR(INDEX(06а_Оценки!$N$4:$N$203,MATCH(K104,06а_Оценки!$A$4:$A$203,0)),"")="READY",IFERROR(INDEX(06а_Оценки!$B$4:$B$203,MATCH(K104,06а_Оценки!$A$4:$A$203,0)),"")=C104,IFERROR(INDEX(06а_Оценки!$E$4:$E$203,MATCH(K104,06а_Оценки!$A$4:$A$203,0)),"")=J104)),O104&lt;&gt;"",COUNTIF(13_Источники!$A$4:$A$203,O104)=1,P104&lt;&gt;"",R104&lt;&gt;""),"READY","INCOMPLETE / LINK")))</f>
        <v/>
      </c>
      <c r="O104" s="4"/>
      <c r="P104" s="4"/>
      <c r="Q104" s="4"/>
      <c r="R104" s="4"/>
      <c r="S104" s="4"/>
      <c r="T104" s="4"/>
      <c r="U104" s="4"/>
      <c r="V104" s="4"/>
    </row>
    <row r="105" customFormat="false" ht="15" hidden="false" customHeight="false" outlineLevel="0" collapsed="false">
      <c r="A105" s="4"/>
      <c r="B105" s="4"/>
      <c r="C105" s="4"/>
      <c r="D105" s="6"/>
      <c r="E105" s="4"/>
      <c r="F105" s="4"/>
      <c r="G105" s="4"/>
      <c r="H105" s="4"/>
      <c r="I105" s="4"/>
      <c r="J105" s="4"/>
      <c r="K105" s="4"/>
      <c r="L105" s="7" t="str">
        <f aca="false">IF(N105="READY",IF(V105="KAC",IFERROR(INDEX(06_КАЦ!$R$4:$R$203,MATCH(K105,06_КАЦ!$A$4:$A$203,0)),""),IFERROR(INDEX(06а_Оценки!$F$4:$F$203,MATCH(K105,06а_Оценки!$A$4:$A$203,0)),"")),"")</f>
        <v/>
      </c>
      <c r="M105" s="7" t="str">
        <f aca="false">IF(N105="READY",ROUND(I105*L105,2),"")</f>
        <v/>
      </c>
      <c r="N105" s="5" t="str">
        <f aca="false">IF(A105="","",IF(Q105="NOT_APPLICABLE",IF(AND(COUNTIF(A$4:A$203,A105)=1,H105="OUTSIDE",R105&lt;&gt;"",O105&lt;&gt;"",COUNTIF(13_Источники!$A$4:$A$203,O105)=1),"NOT_APPLICABLE","INCOMPLETE / EXCLUSION"),IF(AND(COUNTIF(A$4:A$203,A105)=1,COUNTIF(02_WBS!$A$4:$A$200,B105)=1,C105&lt;&gt;"",COUNTIF(03_Пакеты!$A$4:$A$203,C105)=1,IFERROR(INDEX(03_Пакеты!$B$4:$B$203,MATCH(C105,03_Пакеты!$A$4:$A$203,0)),"")=B105,E105&lt;&gt;"",F105&lt;&gt;"",F105&lt;&gt;"UNKNOWN",G105&lt;&gt;"",G105&lt;&gt;"UNKNOWN",OR(H105="REMAINING",H105="SUNK",H105="OUTSIDE"),ISNUMBER(I105),I105&gt;=0,OR(AND(I105&gt;0,Q105="KNOWN"),AND(I105=0,Q105="ZERO_CONFIRMED")),J105&lt;&gt;"",K105&lt;&gt;"",OR(AND(V105="KAC",COUNTIF(06_КАЦ!$A$4:$A$203,K105)=1,IFERROR(INDEX(06_КАЦ!$V$4:$V$203,MATCH(K105,06_КАЦ!$A$4:$A$203,0)),"")="SELECTED_READY",IFERROR(INDEX(06_КАЦ!$D$4:$D$203,MATCH(K105,06_КАЦ!$A$4:$A$203,0)),"")=C105,IFERROR(INDEX(06_КАЦ!$F$4:$F$203,MATCH(K105,06_КАЦ!$A$4:$A$203,0)),"")=J105),AND(V105="DIRECT",COUNTIF(06а_Оценки!$A$4:$A$203,K105)=1,IFERROR(INDEX(06а_Оценки!$N$4:$N$203,MATCH(K105,06а_Оценки!$A$4:$A$203,0)),"")="READY",IFERROR(INDEX(06а_Оценки!$B$4:$B$203,MATCH(K105,06а_Оценки!$A$4:$A$203,0)),"")=C105,IFERROR(INDEX(06а_Оценки!$E$4:$E$203,MATCH(K105,06а_Оценки!$A$4:$A$203,0)),"")=J105)),O105&lt;&gt;"",COUNTIF(13_Источники!$A$4:$A$203,O105)=1,P105&lt;&gt;"",R105&lt;&gt;""),"READY","INCOMPLETE / LINK")))</f>
        <v/>
      </c>
      <c r="O105" s="4"/>
      <c r="P105" s="4"/>
      <c r="Q105" s="4"/>
      <c r="R105" s="4"/>
      <c r="S105" s="4"/>
      <c r="T105" s="4"/>
      <c r="U105" s="4"/>
      <c r="V105" s="4"/>
    </row>
    <row r="106" customFormat="false" ht="15" hidden="false" customHeight="false" outlineLevel="0" collapsed="false">
      <c r="A106" s="4"/>
      <c r="B106" s="4"/>
      <c r="C106" s="4"/>
      <c r="D106" s="6"/>
      <c r="E106" s="4"/>
      <c r="F106" s="4"/>
      <c r="G106" s="4"/>
      <c r="H106" s="4"/>
      <c r="I106" s="4"/>
      <c r="J106" s="4"/>
      <c r="K106" s="4"/>
      <c r="L106" s="7" t="str">
        <f aca="false">IF(N106="READY",IF(V106="KAC",IFERROR(INDEX(06_КАЦ!$R$4:$R$203,MATCH(K106,06_КАЦ!$A$4:$A$203,0)),""),IFERROR(INDEX(06а_Оценки!$F$4:$F$203,MATCH(K106,06а_Оценки!$A$4:$A$203,0)),"")),"")</f>
        <v/>
      </c>
      <c r="M106" s="7" t="str">
        <f aca="false">IF(N106="READY",ROUND(I106*L106,2),"")</f>
        <v/>
      </c>
      <c r="N106" s="5" t="str">
        <f aca="false">IF(A106="","",IF(Q106="NOT_APPLICABLE",IF(AND(COUNTIF(A$4:A$203,A106)=1,H106="OUTSIDE",R106&lt;&gt;"",O106&lt;&gt;"",COUNTIF(13_Источники!$A$4:$A$203,O106)=1),"NOT_APPLICABLE","INCOMPLETE / EXCLUSION"),IF(AND(COUNTIF(A$4:A$203,A106)=1,COUNTIF(02_WBS!$A$4:$A$200,B106)=1,C106&lt;&gt;"",COUNTIF(03_Пакеты!$A$4:$A$203,C106)=1,IFERROR(INDEX(03_Пакеты!$B$4:$B$203,MATCH(C106,03_Пакеты!$A$4:$A$203,0)),"")=B106,E106&lt;&gt;"",F106&lt;&gt;"",F106&lt;&gt;"UNKNOWN",G106&lt;&gt;"",G106&lt;&gt;"UNKNOWN",OR(H106="REMAINING",H106="SUNK",H106="OUTSIDE"),ISNUMBER(I106),I106&gt;=0,OR(AND(I106&gt;0,Q106="KNOWN"),AND(I106=0,Q106="ZERO_CONFIRMED")),J106&lt;&gt;"",K106&lt;&gt;"",OR(AND(V106="KAC",COUNTIF(06_КАЦ!$A$4:$A$203,K106)=1,IFERROR(INDEX(06_КАЦ!$V$4:$V$203,MATCH(K106,06_КАЦ!$A$4:$A$203,0)),"")="SELECTED_READY",IFERROR(INDEX(06_КАЦ!$D$4:$D$203,MATCH(K106,06_КАЦ!$A$4:$A$203,0)),"")=C106,IFERROR(INDEX(06_КАЦ!$F$4:$F$203,MATCH(K106,06_КАЦ!$A$4:$A$203,0)),"")=J106),AND(V106="DIRECT",COUNTIF(06а_Оценки!$A$4:$A$203,K106)=1,IFERROR(INDEX(06а_Оценки!$N$4:$N$203,MATCH(K106,06а_Оценки!$A$4:$A$203,0)),"")="READY",IFERROR(INDEX(06а_Оценки!$B$4:$B$203,MATCH(K106,06а_Оценки!$A$4:$A$203,0)),"")=C106,IFERROR(INDEX(06а_Оценки!$E$4:$E$203,MATCH(K106,06а_Оценки!$A$4:$A$203,0)),"")=J106)),O106&lt;&gt;"",COUNTIF(13_Источники!$A$4:$A$203,O106)=1,P106&lt;&gt;"",R106&lt;&gt;""),"READY","INCOMPLETE / LINK")))</f>
        <v/>
      </c>
      <c r="O106" s="4"/>
      <c r="P106" s="4"/>
      <c r="Q106" s="4"/>
      <c r="R106" s="4"/>
      <c r="S106" s="4"/>
      <c r="T106" s="4"/>
      <c r="U106" s="4"/>
      <c r="V106" s="4"/>
    </row>
    <row r="107" customFormat="false" ht="15" hidden="false" customHeight="false" outlineLevel="0" collapsed="false">
      <c r="A107" s="4"/>
      <c r="B107" s="4"/>
      <c r="C107" s="4"/>
      <c r="D107" s="6"/>
      <c r="E107" s="4"/>
      <c r="F107" s="4"/>
      <c r="G107" s="4"/>
      <c r="H107" s="4"/>
      <c r="I107" s="4"/>
      <c r="J107" s="4"/>
      <c r="K107" s="4"/>
      <c r="L107" s="7" t="str">
        <f aca="false">IF(N107="READY",IF(V107="KAC",IFERROR(INDEX(06_КАЦ!$R$4:$R$203,MATCH(K107,06_КАЦ!$A$4:$A$203,0)),""),IFERROR(INDEX(06а_Оценки!$F$4:$F$203,MATCH(K107,06а_Оценки!$A$4:$A$203,0)),"")),"")</f>
        <v/>
      </c>
      <c r="M107" s="7" t="str">
        <f aca="false">IF(N107="READY",ROUND(I107*L107,2),"")</f>
        <v/>
      </c>
      <c r="N107" s="5" t="str">
        <f aca="false">IF(A107="","",IF(Q107="NOT_APPLICABLE",IF(AND(COUNTIF(A$4:A$203,A107)=1,H107="OUTSIDE",R107&lt;&gt;"",O107&lt;&gt;"",COUNTIF(13_Источники!$A$4:$A$203,O107)=1),"NOT_APPLICABLE","INCOMPLETE / EXCLUSION"),IF(AND(COUNTIF(A$4:A$203,A107)=1,COUNTIF(02_WBS!$A$4:$A$200,B107)=1,C107&lt;&gt;"",COUNTIF(03_Пакеты!$A$4:$A$203,C107)=1,IFERROR(INDEX(03_Пакеты!$B$4:$B$203,MATCH(C107,03_Пакеты!$A$4:$A$203,0)),"")=B107,E107&lt;&gt;"",F107&lt;&gt;"",F107&lt;&gt;"UNKNOWN",G107&lt;&gt;"",G107&lt;&gt;"UNKNOWN",OR(H107="REMAINING",H107="SUNK",H107="OUTSIDE"),ISNUMBER(I107),I107&gt;=0,OR(AND(I107&gt;0,Q107="KNOWN"),AND(I107=0,Q107="ZERO_CONFIRMED")),J107&lt;&gt;"",K107&lt;&gt;"",OR(AND(V107="KAC",COUNTIF(06_КАЦ!$A$4:$A$203,K107)=1,IFERROR(INDEX(06_КАЦ!$V$4:$V$203,MATCH(K107,06_КАЦ!$A$4:$A$203,0)),"")="SELECTED_READY",IFERROR(INDEX(06_КАЦ!$D$4:$D$203,MATCH(K107,06_КАЦ!$A$4:$A$203,0)),"")=C107,IFERROR(INDEX(06_КАЦ!$F$4:$F$203,MATCH(K107,06_КАЦ!$A$4:$A$203,0)),"")=J107),AND(V107="DIRECT",COUNTIF(06а_Оценки!$A$4:$A$203,K107)=1,IFERROR(INDEX(06а_Оценки!$N$4:$N$203,MATCH(K107,06а_Оценки!$A$4:$A$203,0)),"")="READY",IFERROR(INDEX(06а_Оценки!$B$4:$B$203,MATCH(K107,06а_Оценки!$A$4:$A$203,0)),"")=C107,IFERROR(INDEX(06а_Оценки!$E$4:$E$203,MATCH(K107,06а_Оценки!$A$4:$A$203,0)),"")=J107)),O107&lt;&gt;"",COUNTIF(13_Источники!$A$4:$A$203,O107)=1,P107&lt;&gt;"",R107&lt;&gt;""),"READY","INCOMPLETE / LINK")))</f>
        <v/>
      </c>
      <c r="O107" s="4"/>
      <c r="P107" s="4"/>
      <c r="Q107" s="4"/>
      <c r="R107" s="4"/>
      <c r="S107" s="4"/>
      <c r="T107" s="4"/>
      <c r="U107" s="4"/>
      <c r="V107" s="4"/>
    </row>
    <row r="108" customFormat="false" ht="15" hidden="false" customHeight="false" outlineLevel="0" collapsed="false">
      <c r="A108" s="4"/>
      <c r="B108" s="4"/>
      <c r="C108" s="4"/>
      <c r="D108" s="6"/>
      <c r="E108" s="4"/>
      <c r="F108" s="4"/>
      <c r="G108" s="4"/>
      <c r="H108" s="4"/>
      <c r="I108" s="4"/>
      <c r="J108" s="4"/>
      <c r="K108" s="4"/>
      <c r="L108" s="7" t="str">
        <f aca="false">IF(N108="READY",IF(V108="KAC",IFERROR(INDEX(06_КАЦ!$R$4:$R$203,MATCH(K108,06_КАЦ!$A$4:$A$203,0)),""),IFERROR(INDEX(06а_Оценки!$F$4:$F$203,MATCH(K108,06а_Оценки!$A$4:$A$203,0)),"")),"")</f>
        <v/>
      </c>
      <c r="M108" s="7" t="str">
        <f aca="false">IF(N108="READY",ROUND(I108*L108,2),"")</f>
        <v/>
      </c>
      <c r="N108" s="5" t="str">
        <f aca="false">IF(A108="","",IF(Q108="NOT_APPLICABLE",IF(AND(COUNTIF(A$4:A$203,A108)=1,H108="OUTSIDE",R108&lt;&gt;"",O108&lt;&gt;"",COUNTIF(13_Источники!$A$4:$A$203,O108)=1),"NOT_APPLICABLE","INCOMPLETE / EXCLUSION"),IF(AND(COUNTIF(A$4:A$203,A108)=1,COUNTIF(02_WBS!$A$4:$A$200,B108)=1,C108&lt;&gt;"",COUNTIF(03_Пакеты!$A$4:$A$203,C108)=1,IFERROR(INDEX(03_Пакеты!$B$4:$B$203,MATCH(C108,03_Пакеты!$A$4:$A$203,0)),"")=B108,E108&lt;&gt;"",F108&lt;&gt;"",F108&lt;&gt;"UNKNOWN",G108&lt;&gt;"",G108&lt;&gt;"UNKNOWN",OR(H108="REMAINING",H108="SUNK",H108="OUTSIDE"),ISNUMBER(I108),I108&gt;=0,OR(AND(I108&gt;0,Q108="KNOWN"),AND(I108=0,Q108="ZERO_CONFIRMED")),J108&lt;&gt;"",K108&lt;&gt;"",OR(AND(V108="KAC",COUNTIF(06_КАЦ!$A$4:$A$203,K108)=1,IFERROR(INDEX(06_КАЦ!$V$4:$V$203,MATCH(K108,06_КАЦ!$A$4:$A$203,0)),"")="SELECTED_READY",IFERROR(INDEX(06_КАЦ!$D$4:$D$203,MATCH(K108,06_КАЦ!$A$4:$A$203,0)),"")=C108,IFERROR(INDEX(06_КАЦ!$F$4:$F$203,MATCH(K108,06_КАЦ!$A$4:$A$203,0)),"")=J108),AND(V108="DIRECT",COUNTIF(06а_Оценки!$A$4:$A$203,K108)=1,IFERROR(INDEX(06а_Оценки!$N$4:$N$203,MATCH(K108,06а_Оценки!$A$4:$A$203,0)),"")="READY",IFERROR(INDEX(06а_Оценки!$B$4:$B$203,MATCH(K108,06а_Оценки!$A$4:$A$203,0)),"")=C108,IFERROR(INDEX(06а_Оценки!$E$4:$E$203,MATCH(K108,06а_Оценки!$A$4:$A$203,0)),"")=J108)),O108&lt;&gt;"",COUNTIF(13_Источники!$A$4:$A$203,O108)=1,P108&lt;&gt;"",R108&lt;&gt;""),"READY","INCOMPLETE / LINK")))</f>
        <v/>
      </c>
      <c r="O108" s="4"/>
      <c r="P108" s="4"/>
      <c r="Q108" s="4"/>
      <c r="R108" s="4"/>
      <c r="S108" s="4"/>
      <c r="T108" s="4"/>
      <c r="U108" s="4"/>
      <c r="V108" s="4"/>
    </row>
    <row r="109" customFormat="false" ht="15" hidden="false" customHeight="false" outlineLevel="0" collapsed="false">
      <c r="A109" s="4"/>
      <c r="B109" s="4"/>
      <c r="C109" s="4"/>
      <c r="D109" s="6"/>
      <c r="E109" s="4"/>
      <c r="F109" s="4"/>
      <c r="G109" s="4"/>
      <c r="H109" s="4"/>
      <c r="I109" s="4"/>
      <c r="J109" s="4"/>
      <c r="K109" s="4"/>
      <c r="L109" s="7" t="str">
        <f aca="false">IF(N109="READY",IF(V109="KAC",IFERROR(INDEX(06_КАЦ!$R$4:$R$203,MATCH(K109,06_КАЦ!$A$4:$A$203,0)),""),IFERROR(INDEX(06а_Оценки!$F$4:$F$203,MATCH(K109,06а_Оценки!$A$4:$A$203,0)),"")),"")</f>
        <v/>
      </c>
      <c r="M109" s="7" t="str">
        <f aca="false">IF(N109="READY",ROUND(I109*L109,2),"")</f>
        <v/>
      </c>
      <c r="N109" s="5" t="str">
        <f aca="false">IF(A109="","",IF(Q109="NOT_APPLICABLE",IF(AND(COUNTIF(A$4:A$203,A109)=1,H109="OUTSIDE",R109&lt;&gt;"",O109&lt;&gt;"",COUNTIF(13_Источники!$A$4:$A$203,O109)=1),"NOT_APPLICABLE","INCOMPLETE / EXCLUSION"),IF(AND(COUNTIF(A$4:A$203,A109)=1,COUNTIF(02_WBS!$A$4:$A$200,B109)=1,C109&lt;&gt;"",COUNTIF(03_Пакеты!$A$4:$A$203,C109)=1,IFERROR(INDEX(03_Пакеты!$B$4:$B$203,MATCH(C109,03_Пакеты!$A$4:$A$203,0)),"")=B109,E109&lt;&gt;"",F109&lt;&gt;"",F109&lt;&gt;"UNKNOWN",G109&lt;&gt;"",G109&lt;&gt;"UNKNOWN",OR(H109="REMAINING",H109="SUNK",H109="OUTSIDE"),ISNUMBER(I109),I109&gt;=0,OR(AND(I109&gt;0,Q109="KNOWN"),AND(I109=0,Q109="ZERO_CONFIRMED")),J109&lt;&gt;"",K109&lt;&gt;"",OR(AND(V109="KAC",COUNTIF(06_КАЦ!$A$4:$A$203,K109)=1,IFERROR(INDEX(06_КАЦ!$V$4:$V$203,MATCH(K109,06_КАЦ!$A$4:$A$203,0)),"")="SELECTED_READY",IFERROR(INDEX(06_КАЦ!$D$4:$D$203,MATCH(K109,06_КАЦ!$A$4:$A$203,0)),"")=C109,IFERROR(INDEX(06_КАЦ!$F$4:$F$203,MATCH(K109,06_КАЦ!$A$4:$A$203,0)),"")=J109),AND(V109="DIRECT",COUNTIF(06а_Оценки!$A$4:$A$203,K109)=1,IFERROR(INDEX(06а_Оценки!$N$4:$N$203,MATCH(K109,06а_Оценки!$A$4:$A$203,0)),"")="READY",IFERROR(INDEX(06а_Оценки!$B$4:$B$203,MATCH(K109,06а_Оценки!$A$4:$A$203,0)),"")=C109,IFERROR(INDEX(06а_Оценки!$E$4:$E$203,MATCH(K109,06а_Оценки!$A$4:$A$203,0)),"")=J109)),O109&lt;&gt;"",COUNTIF(13_Источники!$A$4:$A$203,O109)=1,P109&lt;&gt;"",R109&lt;&gt;""),"READY","INCOMPLETE / LINK")))</f>
        <v/>
      </c>
      <c r="O109" s="4"/>
      <c r="P109" s="4"/>
      <c r="Q109" s="4"/>
      <c r="R109" s="4"/>
      <c r="S109" s="4"/>
      <c r="T109" s="4"/>
      <c r="U109" s="4"/>
      <c r="V109" s="4"/>
    </row>
    <row r="110" customFormat="false" ht="15" hidden="false" customHeight="false" outlineLevel="0" collapsed="false">
      <c r="A110" s="4"/>
      <c r="B110" s="4"/>
      <c r="C110" s="4"/>
      <c r="D110" s="6"/>
      <c r="E110" s="4"/>
      <c r="F110" s="4"/>
      <c r="G110" s="4"/>
      <c r="H110" s="4"/>
      <c r="I110" s="4"/>
      <c r="J110" s="4"/>
      <c r="K110" s="4"/>
      <c r="L110" s="7" t="str">
        <f aca="false">IF(N110="READY",IF(V110="KAC",IFERROR(INDEX(06_КАЦ!$R$4:$R$203,MATCH(K110,06_КАЦ!$A$4:$A$203,0)),""),IFERROR(INDEX(06а_Оценки!$F$4:$F$203,MATCH(K110,06а_Оценки!$A$4:$A$203,0)),"")),"")</f>
        <v/>
      </c>
      <c r="M110" s="7" t="str">
        <f aca="false">IF(N110="READY",ROUND(I110*L110,2),"")</f>
        <v/>
      </c>
      <c r="N110" s="5" t="str">
        <f aca="false">IF(A110="","",IF(Q110="NOT_APPLICABLE",IF(AND(COUNTIF(A$4:A$203,A110)=1,H110="OUTSIDE",R110&lt;&gt;"",O110&lt;&gt;"",COUNTIF(13_Источники!$A$4:$A$203,O110)=1),"NOT_APPLICABLE","INCOMPLETE / EXCLUSION"),IF(AND(COUNTIF(A$4:A$203,A110)=1,COUNTIF(02_WBS!$A$4:$A$200,B110)=1,C110&lt;&gt;"",COUNTIF(03_Пакеты!$A$4:$A$203,C110)=1,IFERROR(INDEX(03_Пакеты!$B$4:$B$203,MATCH(C110,03_Пакеты!$A$4:$A$203,0)),"")=B110,E110&lt;&gt;"",F110&lt;&gt;"",F110&lt;&gt;"UNKNOWN",G110&lt;&gt;"",G110&lt;&gt;"UNKNOWN",OR(H110="REMAINING",H110="SUNK",H110="OUTSIDE"),ISNUMBER(I110),I110&gt;=0,OR(AND(I110&gt;0,Q110="KNOWN"),AND(I110=0,Q110="ZERO_CONFIRMED")),J110&lt;&gt;"",K110&lt;&gt;"",OR(AND(V110="KAC",COUNTIF(06_КАЦ!$A$4:$A$203,K110)=1,IFERROR(INDEX(06_КАЦ!$V$4:$V$203,MATCH(K110,06_КАЦ!$A$4:$A$203,0)),"")="SELECTED_READY",IFERROR(INDEX(06_КАЦ!$D$4:$D$203,MATCH(K110,06_КАЦ!$A$4:$A$203,0)),"")=C110,IFERROR(INDEX(06_КАЦ!$F$4:$F$203,MATCH(K110,06_КАЦ!$A$4:$A$203,0)),"")=J110),AND(V110="DIRECT",COUNTIF(06а_Оценки!$A$4:$A$203,K110)=1,IFERROR(INDEX(06а_Оценки!$N$4:$N$203,MATCH(K110,06а_Оценки!$A$4:$A$203,0)),"")="READY",IFERROR(INDEX(06а_Оценки!$B$4:$B$203,MATCH(K110,06а_Оценки!$A$4:$A$203,0)),"")=C110,IFERROR(INDEX(06а_Оценки!$E$4:$E$203,MATCH(K110,06а_Оценки!$A$4:$A$203,0)),"")=J110)),O110&lt;&gt;"",COUNTIF(13_Источники!$A$4:$A$203,O110)=1,P110&lt;&gt;"",R110&lt;&gt;""),"READY","INCOMPLETE / LINK")))</f>
        <v/>
      </c>
      <c r="O110" s="4"/>
      <c r="P110" s="4"/>
      <c r="Q110" s="4"/>
      <c r="R110" s="4"/>
      <c r="S110" s="4"/>
      <c r="T110" s="4"/>
      <c r="U110" s="4"/>
      <c r="V110" s="4"/>
    </row>
    <row r="111" customFormat="false" ht="15" hidden="false" customHeight="false" outlineLevel="0" collapsed="false">
      <c r="A111" s="4"/>
      <c r="B111" s="4"/>
      <c r="C111" s="4"/>
      <c r="D111" s="6"/>
      <c r="E111" s="4"/>
      <c r="F111" s="4"/>
      <c r="G111" s="4"/>
      <c r="H111" s="4"/>
      <c r="I111" s="4"/>
      <c r="J111" s="4"/>
      <c r="K111" s="4"/>
      <c r="L111" s="7" t="str">
        <f aca="false">IF(N111="READY",IF(V111="KAC",IFERROR(INDEX(06_КАЦ!$R$4:$R$203,MATCH(K111,06_КАЦ!$A$4:$A$203,0)),""),IFERROR(INDEX(06а_Оценки!$F$4:$F$203,MATCH(K111,06а_Оценки!$A$4:$A$203,0)),"")),"")</f>
        <v/>
      </c>
      <c r="M111" s="7" t="str">
        <f aca="false">IF(N111="READY",ROUND(I111*L111,2),"")</f>
        <v/>
      </c>
      <c r="N111" s="5" t="str">
        <f aca="false">IF(A111="","",IF(Q111="NOT_APPLICABLE",IF(AND(COUNTIF(A$4:A$203,A111)=1,H111="OUTSIDE",R111&lt;&gt;"",O111&lt;&gt;"",COUNTIF(13_Источники!$A$4:$A$203,O111)=1),"NOT_APPLICABLE","INCOMPLETE / EXCLUSION"),IF(AND(COUNTIF(A$4:A$203,A111)=1,COUNTIF(02_WBS!$A$4:$A$200,B111)=1,C111&lt;&gt;"",COUNTIF(03_Пакеты!$A$4:$A$203,C111)=1,IFERROR(INDEX(03_Пакеты!$B$4:$B$203,MATCH(C111,03_Пакеты!$A$4:$A$203,0)),"")=B111,E111&lt;&gt;"",F111&lt;&gt;"",F111&lt;&gt;"UNKNOWN",G111&lt;&gt;"",G111&lt;&gt;"UNKNOWN",OR(H111="REMAINING",H111="SUNK",H111="OUTSIDE"),ISNUMBER(I111),I111&gt;=0,OR(AND(I111&gt;0,Q111="KNOWN"),AND(I111=0,Q111="ZERO_CONFIRMED")),J111&lt;&gt;"",K111&lt;&gt;"",OR(AND(V111="KAC",COUNTIF(06_КАЦ!$A$4:$A$203,K111)=1,IFERROR(INDEX(06_КАЦ!$V$4:$V$203,MATCH(K111,06_КАЦ!$A$4:$A$203,0)),"")="SELECTED_READY",IFERROR(INDEX(06_КАЦ!$D$4:$D$203,MATCH(K111,06_КАЦ!$A$4:$A$203,0)),"")=C111,IFERROR(INDEX(06_КАЦ!$F$4:$F$203,MATCH(K111,06_КАЦ!$A$4:$A$203,0)),"")=J111),AND(V111="DIRECT",COUNTIF(06а_Оценки!$A$4:$A$203,K111)=1,IFERROR(INDEX(06а_Оценки!$N$4:$N$203,MATCH(K111,06а_Оценки!$A$4:$A$203,0)),"")="READY",IFERROR(INDEX(06а_Оценки!$B$4:$B$203,MATCH(K111,06а_Оценки!$A$4:$A$203,0)),"")=C111,IFERROR(INDEX(06а_Оценки!$E$4:$E$203,MATCH(K111,06а_Оценки!$A$4:$A$203,0)),"")=J111)),O111&lt;&gt;"",COUNTIF(13_Источники!$A$4:$A$203,O111)=1,P111&lt;&gt;"",R111&lt;&gt;""),"READY","INCOMPLETE / LINK")))</f>
        <v/>
      </c>
      <c r="O111" s="4"/>
      <c r="P111" s="4"/>
      <c r="Q111" s="4"/>
      <c r="R111" s="4"/>
      <c r="S111" s="4"/>
      <c r="T111" s="4"/>
      <c r="U111" s="4"/>
      <c r="V111" s="4"/>
    </row>
    <row r="112" customFormat="false" ht="15" hidden="false" customHeight="false" outlineLevel="0" collapsed="false">
      <c r="A112" s="4"/>
      <c r="B112" s="4"/>
      <c r="C112" s="4"/>
      <c r="D112" s="6"/>
      <c r="E112" s="4"/>
      <c r="F112" s="4"/>
      <c r="G112" s="4"/>
      <c r="H112" s="4"/>
      <c r="I112" s="4"/>
      <c r="J112" s="4"/>
      <c r="K112" s="4"/>
      <c r="L112" s="7" t="str">
        <f aca="false">IF(N112="READY",IF(V112="KAC",IFERROR(INDEX(06_КАЦ!$R$4:$R$203,MATCH(K112,06_КАЦ!$A$4:$A$203,0)),""),IFERROR(INDEX(06а_Оценки!$F$4:$F$203,MATCH(K112,06а_Оценки!$A$4:$A$203,0)),"")),"")</f>
        <v/>
      </c>
      <c r="M112" s="7" t="str">
        <f aca="false">IF(N112="READY",ROUND(I112*L112,2),"")</f>
        <v/>
      </c>
      <c r="N112" s="5" t="str">
        <f aca="false">IF(A112="","",IF(Q112="NOT_APPLICABLE",IF(AND(COUNTIF(A$4:A$203,A112)=1,H112="OUTSIDE",R112&lt;&gt;"",O112&lt;&gt;"",COUNTIF(13_Источники!$A$4:$A$203,O112)=1),"NOT_APPLICABLE","INCOMPLETE / EXCLUSION"),IF(AND(COUNTIF(A$4:A$203,A112)=1,COUNTIF(02_WBS!$A$4:$A$200,B112)=1,C112&lt;&gt;"",COUNTIF(03_Пакеты!$A$4:$A$203,C112)=1,IFERROR(INDEX(03_Пакеты!$B$4:$B$203,MATCH(C112,03_Пакеты!$A$4:$A$203,0)),"")=B112,E112&lt;&gt;"",F112&lt;&gt;"",F112&lt;&gt;"UNKNOWN",G112&lt;&gt;"",G112&lt;&gt;"UNKNOWN",OR(H112="REMAINING",H112="SUNK",H112="OUTSIDE"),ISNUMBER(I112),I112&gt;=0,OR(AND(I112&gt;0,Q112="KNOWN"),AND(I112=0,Q112="ZERO_CONFIRMED")),J112&lt;&gt;"",K112&lt;&gt;"",OR(AND(V112="KAC",COUNTIF(06_КАЦ!$A$4:$A$203,K112)=1,IFERROR(INDEX(06_КАЦ!$V$4:$V$203,MATCH(K112,06_КАЦ!$A$4:$A$203,0)),"")="SELECTED_READY",IFERROR(INDEX(06_КАЦ!$D$4:$D$203,MATCH(K112,06_КАЦ!$A$4:$A$203,0)),"")=C112,IFERROR(INDEX(06_КАЦ!$F$4:$F$203,MATCH(K112,06_КАЦ!$A$4:$A$203,0)),"")=J112),AND(V112="DIRECT",COUNTIF(06а_Оценки!$A$4:$A$203,K112)=1,IFERROR(INDEX(06а_Оценки!$N$4:$N$203,MATCH(K112,06а_Оценки!$A$4:$A$203,0)),"")="READY",IFERROR(INDEX(06а_Оценки!$B$4:$B$203,MATCH(K112,06а_Оценки!$A$4:$A$203,0)),"")=C112,IFERROR(INDEX(06а_Оценки!$E$4:$E$203,MATCH(K112,06а_Оценки!$A$4:$A$203,0)),"")=J112)),O112&lt;&gt;"",COUNTIF(13_Источники!$A$4:$A$203,O112)=1,P112&lt;&gt;"",R112&lt;&gt;""),"READY","INCOMPLETE / LINK")))</f>
        <v/>
      </c>
      <c r="O112" s="4"/>
      <c r="P112" s="4"/>
      <c r="Q112" s="4"/>
      <c r="R112" s="4"/>
      <c r="S112" s="4"/>
      <c r="T112" s="4"/>
      <c r="U112" s="4"/>
      <c r="V112" s="4"/>
    </row>
    <row r="113" customFormat="false" ht="15" hidden="false" customHeight="false" outlineLevel="0" collapsed="false">
      <c r="A113" s="4"/>
      <c r="B113" s="4"/>
      <c r="C113" s="4"/>
      <c r="D113" s="6"/>
      <c r="E113" s="4"/>
      <c r="F113" s="4"/>
      <c r="G113" s="4"/>
      <c r="H113" s="4"/>
      <c r="I113" s="4"/>
      <c r="J113" s="4"/>
      <c r="K113" s="4"/>
      <c r="L113" s="7" t="str">
        <f aca="false">IF(N113="READY",IF(V113="KAC",IFERROR(INDEX(06_КАЦ!$R$4:$R$203,MATCH(K113,06_КАЦ!$A$4:$A$203,0)),""),IFERROR(INDEX(06а_Оценки!$F$4:$F$203,MATCH(K113,06а_Оценки!$A$4:$A$203,0)),"")),"")</f>
        <v/>
      </c>
      <c r="M113" s="7" t="str">
        <f aca="false">IF(N113="READY",ROUND(I113*L113,2),"")</f>
        <v/>
      </c>
      <c r="N113" s="5" t="str">
        <f aca="false">IF(A113="","",IF(Q113="NOT_APPLICABLE",IF(AND(COUNTIF(A$4:A$203,A113)=1,H113="OUTSIDE",R113&lt;&gt;"",O113&lt;&gt;"",COUNTIF(13_Источники!$A$4:$A$203,O113)=1),"NOT_APPLICABLE","INCOMPLETE / EXCLUSION"),IF(AND(COUNTIF(A$4:A$203,A113)=1,COUNTIF(02_WBS!$A$4:$A$200,B113)=1,C113&lt;&gt;"",COUNTIF(03_Пакеты!$A$4:$A$203,C113)=1,IFERROR(INDEX(03_Пакеты!$B$4:$B$203,MATCH(C113,03_Пакеты!$A$4:$A$203,0)),"")=B113,E113&lt;&gt;"",F113&lt;&gt;"",F113&lt;&gt;"UNKNOWN",G113&lt;&gt;"",G113&lt;&gt;"UNKNOWN",OR(H113="REMAINING",H113="SUNK",H113="OUTSIDE"),ISNUMBER(I113),I113&gt;=0,OR(AND(I113&gt;0,Q113="KNOWN"),AND(I113=0,Q113="ZERO_CONFIRMED")),J113&lt;&gt;"",K113&lt;&gt;"",OR(AND(V113="KAC",COUNTIF(06_КАЦ!$A$4:$A$203,K113)=1,IFERROR(INDEX(06_КАЦ!$V$4:$V$203,MATCH(K113,06_КАЦ!$A$4:$A$203,0)),"")="SELECTED_READY",IFERROR(INDEX(06_КАЦ!$D$4:$D$203,MATCH(K113,06_КАЦ!$A$4:$A$203,0)),"")=C113,IFERROR(INDEX(06_КАЦ!$F$4:$F$203,MATCH(K113,06_КАЦ!$A$4:$A$203,0)),"")=J113),AND(V113="DIRECT",COUNTIF(06а_Оценки!$A$4:$A$203,K113)=1,IFERROR(INDEX(06а_Оценки!$N$4:$N$203,MATCH(K113,06а_Оценки!$A$4:$A$203,0)),"")="READY",IFERROR(INDEX(06а_Оценки!$B$4:$B$203,MATCH(K113,06а_Оценки!$A$4:$A$203,0)),"")=C113,IFERROR(INDEX(06а_Оценки!$E$4:$E$203,MATCH(K113,06а_Оценки!$A$4:$A$203,0)),"")=J113)),O113&lt;&gt;"",COUNTIF(13_Источники!$A$4:$A$203,O113)=1,P113&lt;&gt;"",R113&lt;&gt;""),"READY","INCOMPLETE / LINK")))</f>
        <v/>
      </c>
      <c r="O113" s="4"/>
      <c r="P113" s="4"/>
      <c r="Q113" s="4"/>
      <c r="R113" s="4"/>
      <c r="S113" s="4"/>
      <c r="T113" s="4"/>
      <c r="U113" s="4"/>
      <c r="V113" s="4"/>
    </row>
    <row r="114" customFormat="false" ht="15" hidden="false" customHeight="false" outlineLevel="0" collapsed="false">
      <c r="A114" s="4"/>
      <c r="B114" s="4"/>
      <c r="C114" s="4"/>
      <c r="D114" s="6"/>
      <c r="E114" s="4"/>
      <c r="F114" s="4"/>
      <c r="G114" s="4"/>
      <c r="H114" s="4"/>
      <c r="I114" s="4"/>
      <c r="J114" s="4"/>
      <c r="K114" s="4"/>
      <c r="L114" s="7" t="str">
        <f aca="false">IF(N114="READY",IF(V114="KAC",IFERROR(INDEX(06_КАЦ!$R$4:$R$203,MATCH(K114,06_КАЦ!$A$4:$A$203,0)),""),IFERROR(INDEX(06а_Оценки!$F$4:$F$203,MATCH(K114,06а_Оценки!$A$4:$A$203,0)),"")),"")</f>
        <v/>
      </c>
      <c r="M114" s="7" t="str">
        <f aca="false">IF(N114="READY",ROUND(I114*L114,2),"")</f>
        <v/>
      </c>
      <c r="N114" s="5" t="str">
        <f aca="false">IF(A114="","",IF(Q114="NOT_APPLICABLE",IF(AND(COUNTIF(A$4:A$203,A114)=1,H114="OUTSIDE",R114&lt;&gt;"",O114&lt;&gt;"",COUNTIF(13_Источники!$A$4:$A$203,O114)=1),"NOT_APPLICABLE","INCOMPLETE / EXCLUSION"),IF(AND(COUNTIF(A$4:A$203,A114)=1,COUNTIF(02_WBS!$A$4:$A$200,B114)=1,C114&lt;&gt;"",COUNTIF(03_Пакеты!$A$4:$A$203,C114)=1,IFERROR(INDEX(03_Пакеты!$B$4:$B$203,MATCH(C114,03_Пакеты!$A$4:$A$203,0)),"")=B114,E114&lt;&gt;"",F114&lt;&gt;"",F114&lt;&gt;"UNKNOWN",G114&lt;&gt;"",G114&lt;&gt;"UNKNOWN",OR(H114="REMAINING",H114="SUNK",H114="OUTSIDE"),ISNUMBER(I114),I114&gt;=0,OR(AND(I114&gt;0,Q114="KNOWN"),AND(I114=0,Q114="ZERO_CONFIRMED")),J114&lt;&gt;"",K114&lt;&gt;"",OR(AND(V114="KAC",COUNTIF(06_КАЦ!$A$4:$A$203,K114)=1,IFERROR(INDEX(06_КАЦ!$V$4:$V$203,MATCH(K114,06_КАЦ!$A$4:$A$203,0)),"")="SELECTED_READY",IFERROR(INDEX(06_КАЦ!$D$4:$D$203,MATCH(K114,06_КАЦ!$A$4:$A$203,0)),"")=C114,IFERROR(INDEX(06_КАЦ!$F$4:$F$203,MATCH(K114,06_КАЦ!$A$4:$A$203,0)),"")=J114),AND(V114="DIRECT",COUNTIF(06а_Оценки!$A$4:$A$203,K114)=1,IFERROR(INDEX(06а_Оценки!$N$4:$N$203,MATCH(K114,06а_Оценки!$A$4:$A$203,0)),"")="READY",IFERROR(INDEX(06а_Оценки!$B$4:$B$203,MATCH(K114,06а_Оценки!$A$4:$A$203,0)),"")=C114,IFERROR(INDEX(06а_Оценки!$E$4:$E$203,MATCH(K114,06а_Оценки!$A$4:$A$203,0)),"")=J114)),O114&lt;&gt;"",COUNTIF(13_Источники!$A$4:$A$203,O114)=1,P114&lt;&gt;"",R114&lt;&gt;""),"READY","INCOMPLETE / LINK")))</f>
        <v/>
      </c>
      <c r="O114" s="4"/>
      <c r="P114" s="4"/>
      <c r="Q114" s="4"/>
      <c r="R114" s="4"/>
      <c r="S114" s="4"/>
      <c r="T114" s="4"/>
      <c r="U114" s="4"/>
      <c r="V114" s="4"/>
    </row>
    <row r="115" customFormat="false" ht="15" hidden="false" customHeight="false" outlineLevel="0" collapsed="false">
      <c r="A115" s="4"/>
      <c r="B115" s="4"/>
      <c r="C115" s="4"/>
      <c r="D115" s="6"/>
      <c r="E115" s="4"/>
      <c r="F115" s="4"/>
      <c r="G115" s="4"/>
      <c r="H115" s="4"/>
      <c r="I115" s="4"/>
      <c r="J115" s="4"/>
      <c r="K115" s="4"/>
      <c r="L115" s="7" t="str">
        <f aca="false">IF(N115="READY",IF(V115="KAC",IFERROR(INDEX(06_КАЦ!$R$4:$R$203,MATCH(K115,06_КАЦ!$A$4:$A$203,0)),""),IFERROR(INDEX(06а_Оценки!$F$4:$F$203,MATCH(K115,06а_Оценки!$A$4:$A$203,0)),"")),"")</f>
        <v/>
      </c>
      <c r="M115" s="7" t="str">
        <f aca="false">IF(N115="READY",ROUND(I115*L115,2),"")</f>
        <v/>
      </c>
      <c r="N115" s="5" t="str">
        <f aca="false">IF(A115="","",IF(Q115="NOT_APPLICABLE",IF(AND(COUNTIF(A$4:A$203,A115)=1,H115="OUTSIDE",R115&lt;&gt;"",O115&lt;&gt;"",COUNTIF(13_Источники!$A$4:$A$203,O115)=1),"NOT_APPLICABLE","INCOMPLETE / EXCLUSION"),IF(AND(COUNTIF(A$4:A$203,A115)=1,COUNTIF(02_WBS!$A$4:$A$200,B115)=1,C115&lt;&gt;"",COUNTIF(03_Пакеты!$A$4:$A$203,C115)=1,IFERROR(INDEX(03_Пакеты!$B$4:$B$203,MATCH(C115,03_Пакеты!$A$4:$A$203,0)),"")=B115,E115&lt;&gt;"",F115&lt;&gt;"",F115&lt;&gt;"UNKNOWN",G115&lt;&gt;"",G115&lt;&gt;"UNKNOWN",OR(H115="REMAINING",H115="SUNK",H115="OUTSIDE"),ISNUMBER(I115),I115&gt;=0,OR(AND(I115&gt;0,Q115="KNOWN"),AND(I115=0,Q115="ZERO_CONFIRMED")),J115&lt;&gt;"",K115&lt;&gt;"",OR(AND(V115="KAC",COUNTIF(06_КАЦ!$A$4:$A$203,K115)=1,IFERROR(INDEX(06_КАЦ!$V$4:$V$203,MATCH(K115,06_КАЦ!$A$4:$A$203,0)),"")="SELECTED_READY",IFERROR(INDEX(06_КАЦ!$D$4:$D$203,MATCH(K115,06_КАЦ!$A$4:$A$203,0)),"")=C115,IFERROR(INDEX(06_КАЦ!$F$4:$F$203,MATCH(K115,06_КАЦ!$A$4:$A$203,0)),"")=J115),AND(V115="DIRECT",COUNTIF(06а_Оценки!$A$4:$A$203,K115)=1,IFERROR(INDEX(06а_Оценки!$N$4:$N$203,MATCH(K115,06а_Оценки!$A$4:$A$203,0)),"")="READY",IFERROR(INDEX(06а_Оценки!$B$4:$B$203,MATCH(K115,06а_Оценки!$A$4:$A$203,0)),"")=C115,IFERROR(INDEX(06а_Оценки!$E$4:$E$203,MATCH(K115,06а_Оценки!$A$4:$A$203,0)),"")=J115)),O115&lt;&gt;"",COUNTIF(13_Источники!$A$4:$A$203,O115)=1,P115&lt;&gt;"",R115&lt;&gt;""),"READY","INCOMPLETE / LINK")))</f>
        <v/>
      </c>
      <c r="O115" s="4"/>
      <c r="P115" s="4"/>
      <c r="Q115" s="4"/>
      <c r="R115" s="4"/>
      <c r="S115" s="4"/>
      <c r="T115" s="4"/>
      <c r="U115" s="4"/>
      <c r="V115" s="4"/>
    </row>
    <row r="116" customFormat="false" ht="15" hidden="false" customHeight="false" outlineLevel="0" collapsed="false">
      <c r="A116" s="4"/>
      <c r="B116" s="4"/>
      <c r="C116" s="4"/>
      <c r="D116" s="6"/>
      <c r="E116" s="4"/>
      <c r="F116" s="4"/>
      <c r="G116" s="4"/>
      <c r="H116" s="4"/>
      <c r="I116" s="4"/>
      <c r="J116" s="4"/>
      <c r="K116" s="4"/>
      <c r="L116" s="7" t="str">
        <f aca="false">IF(N116="READY",IF(V116="KAC",IFERROR(INDEX(06_КАЦ!$R$4:$R$203,MATCH(K116,06_КАЦ!$A$4:$A$203,0)),""),IFERROR(INDEX(06а_Оценки!$F$4:$F$203,MATCH(K116,06а_Оценки!$A$4:$A$203,0)),"")),"")</f>
        <v/>
      </c>
      <c r="M116" s="7" t="str">
        <f aca="false">IF(N116="READY",ROUND(I116*L116,2),"")</f>
        <v/>
      </c>
      <c r="N116" s="5" t="str">
        <f aca="false">IF(A116="","",IF(Q116="NOT_APPLICABLE",IF(AND(COUNTIF(A$4:A$203,A116)=1,H116="OUTSIDE",R116&lt;&gt;"",O116&lt;&gt;"",COUNTIF(13_Источники!$A$4:$A$203,O116)=1),"NOT_APPLICABLE","INCOMPLETE / EXCLUSION"),IF(AND(COUNTIF(A$4:A$203,A116)=1,COUNTIF(02_WBS!$A$4:$A$200,B116)=1,C116&lt;&gt;"",COUNTIF(03_Пакеты!$A$4:$A$203,C116)=1,IFERROR(INDEX(03_Пакеты!$B$4:$B$203,MATCH(C116,03_Пакеты!$A$4:$A$203,0)),"")=B116,E116&lt;&gt;"",F116&lt;&gt;"",F116&lt;&gt;"UNKNOWN",G116&lt;&gt;"",G116&lt;&gt;"UNKNOWN",OR(H116="REMAINING",H116="SUNK",H116="OUTSIDE"),ISNUMBER(I116),I116&gt;=0,OR(AND(I116&gt;0,Q116="KNOWN"),AND(I116=0,Q116="ZERO_CONFIRMED")),J116&lt;&gt;"",K116&lt;&gt;"",OR(AND(V116="KAC",COUNTIF(06_КАЦ!$A$4:$A$203,K116)=1,IFERROR(INDEX(06_КАЦ!$V$4:$V$203,MATCH(K116,06_КАЦ!$A$4:$A$203,0)),"")="SELECTED_READY",IFERROR(INDEX(06_КАЦ!$D$4:$D$203,MATCH(K116,06_КАЦ!$A$4:$A$203,0)),"")=C116,IFERROR(INDEX(06_КАЦ!$F$4:$F$203,MATCH(K116,06_КАЦ!$A$4:$A$203,0)),"")=J116),AND(V116="DIRECT",COUNTIF(06а_Оценки!$A$4:$A$203,K116)=1,IFERROR(INDEX(06а_Оценки!$N$4:$N$203,MATCH(K116,06а_Оценки!$A$4:$A$203,0)),"")="READY",IFERROR(INDEX(06а_Оценки!$B$4:$B$203,MATCH(K116,06а_Оценки!$A$4:$A$203,0)),"")=C116,IFERROR(INDEX(06а_Оценки!$E$4:$E$203,MATCH(K116,06а_Оценки!$A$4:$A$203,0)),"")=J116)),O116&lt;&gt;"",COUNTIF(13_Источники!$A$4:$A$203,O116)=1,P116&lt;&gt;"",R116&lt;&gt;""),"READY","INCOMPLETE / LINK")))</f>
        <v/>
      </c>
      <c r="O116" s="4"/>
      <c r="P116" s="4"/>
      <c r="Q116" s="4"/>
      <c r="R116" s="4"/>
      <c r="S116" s="4"/>
      <c r="T116" s="4"/>
      <c r="U116" s="4"/>
      <c r="V116" s="4"/>
    </row>
    <row r="117" customFormat="false" ht="15" hidden="false" customHeight="false" outlineLevel="0" collapsed="false">
      <c r="A117" s="4"/>
      <c r="B117" s="4"/>
      <c r="C117" s="4"/>
      <c r="D117" s="6"/>
      <c r="E117" s="4"/>
      <c r="F117" s="4"/>
      <c r="G117" s="4"/>
      <c r="H117" s="4"/>
      <c r="I117" s="4"/>
      <c r="J117" s="4"/>
      <c r="K117" s="4"/>
      <c r="L117" s="7" t="str">
        <f aca="false">IF(N117="READY",IF(V117="KAC",IFERROR(INDEX(06_КАЦ!$R$4:$R$203,MATCH(K117,06_КАЦ!$A$4:$A$203,0)),""),IFERROR(INDEX(06а_Оценки!$F$4:$F$203,MATCH(K117,06а_Оценки!$A$4:$A$203,0)),"")),"")</f>
        <v/>
      </c>
      <c r="M117" s="7" t="str">
        <f aca="false">IF(N117="READY",ROUND(I117*L117,2),"")</f>
        <v/>
      </c>
      <c r="N117" s="5" t="str">
        <f aca="false">IF(A117="","",IF(Q117="NOT_APPLICABLE",IF(AND(COUNTIF(A$4:A$203,A117)=1,H117="OUTSIDE",R117&lt;&gt;"",O117&lt;&gt;"",COUNTIF(13_Источники!$A$4:$A$203,O117)=1),"NOT_APPLICABLE","INCOMPLETE / EXCLUSION"),IF(AND(COUNTIF(A$4:A$203,A117)=1,COUNTIF(02_WBS!$A$4:$A$200,B117)=1,C117&lt;&gt;"",COUNTIF(03_Пакеты!$A$4:$A$203,C117)=1,IFERROR(INDEX(03_Пакеты!$B$4:$B$203,MATCH(C117,03_Пакеты!$A$4:$A$203,0)),"")=B117,E117&lt;&gt;"",F117&lt;&gt;"",F117&lt;&gt;"UNKNOWN",G117&lt;&gt;"",G117&lt;&gt;"UNKNOWN",OR(H117="REMAINING",H117="SUNK",H117="OUTSIDE"),ISNUMBER(I117),I117&gt;=0,OR(AND(I117&gt;0,Q117="KNOWN"),AND(I117=0,Q117="ZERO_CONFIRMED")),J117&lt;&gt;"",K117&lt;&gt;"",OR(AND(V117="KAC",COUNTIF(06_КАЦ!$A$4:$A$203,K117)=1,IFERROR(INDEX(06_КАЦ!$V$4:$V$203,MATCH(K117,06_КАЦ!$A$4:$A$203,0)),"")="SELECTED_READY",IFERROR(INDEX(06_КАЦ!$D$4:$D$203,MATCH(K117,06_КАЦ!$A$4:$A$203,0)),"")=C117,IFERROR(INDEX(06_КАЦ!$F$4:$F$203,MATCH(K117,06_КАЦ!$A$4:$A$203,0)),"")=J117),AND(V117="DIRECT",COUNTIF(06а_Оценки!$A$4:$A$203,K117)=1,IFERROR(INDEX(06а_Оценки!$N$4:$N$203,MATCH(K117,06а_Оценки!$A$4:$A$203,0)),"")="READY",IFERROR(INDEX(06а_Оценки!$B$4:$B$203,MATCH(K117,06а_Оценки!$A$4:$A$203,0)),"")=C117,IFERROR(INDEX(06а_Оценки!$E$4:$E$203,MATCH(K117,06а_Оценки!$A$4:$A$203,0)),"")=J117)),O117&lt;&gt;"",COUNTIF(13_Источники!$A$4:$A$203,O117)=1,P117&lt;&gt;"",R117&lt;&gt;""),"READY","INCOMPLETE / LINK")))</f>
        <v/>
      </c>
      <c r="O117" s="4"/>
      <c r="P117" s="4"/>
      <c r="Q117" s="4"/>
      <c r="R117" s="4"/>
      <c r="S117" s="4"/>
      <c r="T117" s="4"/>
      <c r="U117" s="4"/>
      <c r="V117" s="4"/>
    </row>
    <row r="118" customFormat="false" ht="15" hidden="false" customHeight="false" outlineLevel="0" collapsed="false">
      <c r="A118" s="4"/>
      <c r="B118" s="4"/>
      <c r="C118" s="4"/>
      <c r="D118" s="6"/>
      <c r="E118" s="4"/>
      <c r="F118" s="4"/>
      <c r="G118" s="4"/>
      <c r="H118" s="4"/>
      <c r="I118" s="4"/>
      <c r="J118" s="4"/>
      <c r="K118" s="4"/>
      <c r="L118" s="7" t="str">
        <f aca="false">IF(N118="READY",IF(V118="KAC",IFERROR(INDEX(06_КАЦ!$R$4:$R$203,MATCH(K118,06_КАЦ!$A$4:$A$203,0)),""),IFERROR(INDEX(06а_Оценки!$F$4:$F$203,MATCH(K118,06а_Оценки!$A$4:$A$203,0)),"")),"")</f>
        <v/>
      </c>
      <c r="M118" s="7" t="str">
        <f aca="false">IF(N118="READY",ROUND(I118*L118,2),"")</f>
        <v/>
      </c>
      <c r="N118" s="5" t="str">
        <f aca="false">IF(A118="","",IF(Q118="NOT_APPLICABLE",IF(AND(COUNTIF(A$4:A$203,A118)=1,H118="OUTSIDE",R118&lt;&gt;"",O118&lt;&gt;"",COUNTIF(13_Источники!$A$4:$A$203,O118)=1),"NOT_APPLICABLE","INCOMPLETE / EXCLUSION"),IF(AND(COUNTIF(A$4:A$203,A118)=1,COUNTIF(02_WBS!$A$4:$A$200,B118)=1,C118&lt;&gt;"",COUNTIF(03_Пакеты!$A$4:$A$203,C118)=1,IFERROR(INDEX(03_Пакеты!$B$4:$B$203,MATCH(C118,03_Пакеты!$A$4:$A$203,0)),"")=B118,E118&lt;&gt;"",F118&lt;&gt;"",F118&lt;&gt;"UNKNOWN",G118&lt;&gt;"",G118&lt;&gt;"UNKNOWN",OR(H118="REMAINING",H118="SUNK",H118="OUTSIDE"),ISNUMBER(I118),I118&gt;=0,OR(AND(I118&gt;0,Q118="KNOWN"),AND(I118=0,Q118="ZERO_CONFIRMED")),J118&lt;&gt;"",K118&lt;&gt;"",OR(AND(V118="KAC",COUNTIF(06_КАЦ!$A$4:$A$203,K118)=1,IFERROR(INDEX(06_КАЦ!$V$4:$V$203,MATCH(K118,06_КАЦ!$A$4:$A$203,0)),"")="SELECTED_READY",IFERROR(INDEX(06_КАЦ!$D$4:$D$203,MATCH(K118,06_КАЦ!$A$4:$A$203,0)),"")=C118,IFERROR(INDEX(06_КАЦ!$F$4:$F$203,MATCH(K118,06_КАЦ!$A$4:$A$203,0)),"")=J118),AND(V118="DIRECT",COUNTIF(06а_Оценки!$A$4:$A$203,K118)=1,IFERROR(INDEX(06а_Оценки!$N$4:$N$203,MATCH(K118,06а_Оценки!$A$4:$A$203,0)),"")="READY",IFERROR(INDEX(06а_Оценки!$B$4:$B$203,MATCH(K118,06а_Оценки!$A$4:$A$203,0)),"")=C118,IFERROR(INDEX(06а_Оценки!$E$4:$E$203,MATCH(K118,06а_Оценки!$A$4:$A$203,0)),"")=J118)),O118&lt;&gt;"",COUNTIF(13_Источники!$A$4:$A$203,O118)=1,P118&lt;&gt;"",R118&lt;&gt;""),"READY","INCOMPLETE / LINK")))</f>
        <v/>
      </c>
      <c r="O118" s="4"/>
      <c r="P118" s="4"/>
      <c r="Q118" s="4"/>
      <c r="R118" s="4"/>
      <c r="S118" s="4"/>
      <c r="T118" s="4"/>
      <c r="U118" s="4"/>
      <c r="V118" s="4"/>
    </row>
    <row r="119" customFormat="false" ht="15" hidden="false" customHeight="false" outlineLevel="0" collapsed="false">
      <c r="A119" s="4"/>
      <c r="B119" s="4"/>
      <c r="C119" s="4"/>
      <c r="D119" s="6"/>
      <c r="E119" s="4"/>
      <c r="F119" s="4"/>
      <c r="G119" s="4"/>
      <c r="H119" s="4"/>
      <c r="I119" s="4"/>
      <c r="J119" s="4"/>
      <c r="K119" s="4"/>
      <c r="L119" s="7" t="str">
        <f aca="false">IF(N119="READY",IF(V119="KAC",IFERROR(INDEX(06_КАЦ!$R$4:$R$203,MATCH(K119,06_КАЦ!$A$4:$A$203,0)),""),IFERROR(INDEX(06а_Оценки!$F$4:$F$203,MATCH(K119,06а_Оценки!$A$4:$A$203,0)),"")),"")</f>
        <v/>
      </c>
      <c r="M119" s="7" t="str">
        <f aca="false">IF(N119="READY",ROUND(I119*L119,2),"")</f>
        <v/>
      </c>
      <c r="N119" s="5" t="str">
        <f aca="false">IF(A119="","",IF(Q119="NOT_APPLICABLE",IF(AND(COUNTIF(A$4:A$203,A119)=1,H119="OUTSIDE",R119&lt;&gt;"",O119&lt;&gt;"",COUNTIF(13_Источники!$A$4:$A$203,O119)=1),"NOT_APPLICABLE","INCOMPLETE / EXCLUSION"),IF(AND(COUNTIF(A$4:A$203,A119)=1,COUNTIF(02_WBS!$A$4:$A$200,B119)=1,C119&lt;&gt;"",COUNTIF(03_Пакеты!$A$4:$A$203,C119)=1,IFERROR(INDEX(03_Пакеты!$B$4:$B$203,MATCH(C119,03_Пакеты!$A$4:$A$203,0)),"")=B119,E119&lt;&gt;"",F119&lt;&gt;"",F119&lt;&gt;"UNKNOWN",G119&lt;&gt;"",G119&lt;&gt;"UNKNOWN",OR(H119="REMAINING",H119="SUNK",H119="OUTSIDE"),ISNUMBER(I119),I119&gt;=0,OR(AND(I119&gt;0,Q119="KNOWN"),AND(I119=0,Q119="ZERO_CONFIRMED")),J119&lt;&gt;"",K119&lt;&gt;"",OR(AND(V119="KAC",COUNTIF(06_КАЦ!$A$4:$A$203,K119)=1,IFERROR(INDEX(06_КАЦ!$V$4:$V$203,MATCH(K119,06_КАЦ!$A$4:$A$203,0)),"")="SELECTED_READY",IFERROR(INDEX(06_КАЦ!$D$4:$D$203,MATCH(K119,06_КАЦ!$A$4:$A$203,0)),"")=C119,IFERROR(INDEX(06_КАЦ!$F$4:$F$203,MATCH(K119,06_КАЦ!$A$4:$A$203,0)),"")=J119),AND(V119="DIRECT",COUNTIF(06а_Оценки!$A$4:$A$203,K119)=1,IFERROR(INDEX(06а_Оценки!$N$4:$N$203,MATCH(K119,06а_Оценки!$A$4:$A$203,0)),"")="READY",IFERROR(INDEX(06а_Оценки!$B$4:$B$203,MATCH(K119,06а_Оценки!$A$4:$A$203,0)),"")=C119,IFERROR(INDEX(06а_Оценки!$E$4:$E$203,MATCH(K119,06а_Оценки!$A$4:$A$203,0)),"")=J119)),O119&lt;&gt;"",COUNTIF(13_Источники!$A$4:$A$203,O119)=1,P119&lt;&gt;"",R119&lt;&gt;""),"READY","INCOMPLETE / LINK")))</f>
        <v/>
      </c>
      <c r="O119" s="4"/>
      <c r="P119" s="4"/>
      <c r="Q119" s="4"/>
      <c r="R119" s="4"/>
      <c r="S119" s="4"/>
      <c r="T119" s="4"/>
      <c r="U119" s="4"/>
      <c r="V119" s="4"/>
    </row>
    <row r="120" customFormat="false" ht="15" hidden="false" customHeight="false" outlineLevel="0" collapsed="false">
      <c r="A120" s="4"/>
      <c r="B120" s="4"/>
      <c r="C120" s="4"/>
      <c r="D120" s="6"/>
      <c r="E120" s="4"/>
      <c r="F120" s="4"/>
      <c r="G120" s="4"/>
      <c r="H120" s="4"/>
      <c r="I120" s="4"/>
      <c r="J120" s="4"/>
      <c r="K120" s="4"/>
      <c r="L120" s="7" t="str">
        <f aca="false">IF(N120="READY",IF(V120="KAC",IFERROR(INDEX(06_КАЦ!$R$4:$R$203,MATCH(K120,06_КАЦ!$A$4:$A$203,0)),""),IFERROR(INDEX(06а_Оценки!$F$4:$F$203,MATCH(K120,06а_Оценки!$A$4:$A$203,0)),"")),"")</f>
        <v/>
      </c>
      <c r="M120" s="7" t="str">
        <f aca="false">IF(N120="READY",ROUND(I120*L120,2),"")</f>
        <v/>
      </c>
      <c r="N120" s="5" t="str">
        <f aca="false">IF(A120="","",IF(Q120="NOT_APPLICABLE",IF(AND(COUNTIF(A$4:A$203,A120)=1,H120="OUTSIDE",R120&lt;&gt;"",O120&lt;&gt;"",COUNTIF(13_Источники!$A$4:$A$203,O120)=1),"NOT_APPLICABLE","INCOMPLETE / EXCLUSION"),IF(AND(COUNTIF(A$4:A$203,A120)=1,COUNTIF(02_WBS!$A$4:$A$200,B120)=1,C120&lt;&gt;"",COUNTIF(03_Пакеты!$A$4:$A$203,C120)=1,IFERROR(INDEX(03_Пакеты!$B$4:$B$203,MATCH(C120,03_Пакеты!$A$4:$A$203,0)),"")=B120,E120&lt;&gt;"",F120&lt;&gt;"",F120&lt;&gt;"UNKNOWN",G120&lt;&gt;"",G120&lt;&gt;"UNKNOWN",OR(H120="REMAINING",H120="SUNK",H120="OUTSIDE"),ISNUMBER(I120),I120&gt;=0,OR(AND(I120&gt;0,Q120="KNOWN"),AND(I120=0,Q120="ZERO_CONFIRMED")),J120&lt;&gt;"",K120&lt;&gt;"",OR(AND(V120="KAC",COUNTIF(06_КАЦ!$A$4:$A$203,K120)=1,IFERROR(INDEX(06_КАЦ!$V$4:$V$203,MATCH(K120,06_КАЦ!$A$4:$A$203,0)),"")="SELECTED_READY",IFERROR(INDEX(06_КАЦ!$D$4:$D$203,MATCH(K120,06_КАЦ!$A$4:$A$203,0)),"")=C120,IFERROR(INDEX(06_КАЦ!$F$4:$F$203,MATCH(K120,06_КАЦ!$A$4:$A$203,0)),"")=J120),AND(V120="DIRECT",COUNTIF(06а_Оценки!$A$4:$A$203,K120)=1,IFERROR(INDEX(06а_Оценки!$N$4:$N$203,MATCH(K120,06а_Оценки!$A$4:$A$203,0)),"")="READY",IFERROR(INDEX(06а_Оценки!$B$4:$B$203,MATCH(K120,06а_Оценки!$A$4:$A$203,0)),"")=C120,IFERROR(INDEX(06а_Оценки!$E$4:$E$203,MATCH(K120,06а_Оценки!$A$4:$A$203,0)),"")=J120)),O120&lt;&gt;"",COUNTIF(13_Источники!$A$4:$A$203,O120)=1,P120&lt;&gt;"",R120&lt;&gt;""),"READY","INCOMPLETE / LINK")))</f>
        <v/>
      </c>
      <c r="O120" s="4"/>
      <c r="P120" s="4"/>
      <c r="Q120" s="4"/>
      <c r="R120" s="4"/>
      <c r="S120" s="4"/>
      <c r="T120" s="4"/>
      <c r="U120" s="4"/>
      <c r="V120" s="4"/>
    </row>
    <row r="121" customFormat="false" ht="15" hidden="false" customHeight="false" outlineLevel="0" collapsed="false">
      <c r="A121" s="4"/>
      <c r="B121" s="4"/>
      <c r="C121" s="4"/>
      <c r="D121" s="6"/>
      <c r="E121" s="4"/>
      <c r="F121" s="4"/>
      <c r="G121" s="4"/>
      <c r="H121" s="4"/>
      <c r="I121" s="4"/>
      <c r="J121" s="4"/>
      <c r="K121" s="4"/>
      <c r="L121" s="7" t="str">
        <f aca="false">IF(N121="READY",IF(V121="KAC",IFERROR(INDEX(06_КАЦ!$R$4:$R$203,MATCH(K121,06_КАЦ!$A$4:$A$203,0)),""),IFERROR(INDEX(06а_Оценки!$F$4:$F$203,MATCH(K121,06а_Оценки!$A$4:$A$203,0)),"")),"")</f>
        <v/>
      </c>
      <c r="M121" s="7" t="str">
        <f aca="false">IF(N121="READY",ROUND(I121*L121,2),"")</f>
        <v/>
      </c>
      <c r="N121" s="5" t="str">
        <f aca="false">IF(A121="","",IF(Q121="NOT_APPLICABLE",IF(AND(COUNTIF(A$4:A$203,A121)=1,H121="OUTSIDE",R121&lt;&gt;"",O121&lt;&gt;"",COUNTIF(13_Источники!$A$4:$A$203,O121)=1),"NOT_APPLICABLE","INCOMPLETE / EXCLUSION"),IF(AND(COUNTIF(A$4:A$203,A121)=1,COUNTIF(02_WBS!$A$4:$A$200,B121)=1,C121&lt;&gt;"",COUNTIF(03_Пакеты!$A$4:$A$203,C121)=1,IFERROR(INDEX(03_Пакеты!$B$4:$B$203,MATCH(C121,03_Пакеты!$A$4:$A$203,0)),"")=B121,E121&lt;&gt;"",F121&lt;&gt;"",F121&lt;&gt;"UNKNOWN",G121&lt;&gt;"",G121&lt;&gt;"UNKNOWN",OR(H121="REMAINING",H121="SUNK",H121="OUTSIDE"),ISNUMBER(I121),I121&gt;=0,OR(AND(I121&gt;0,Q121="KNOWN"),AND(I121=0,Q121="ZERO_CONFIRMED")),J121&lt;&gt;"",K121&lt;&gt;"",OR(AND(V121="KAC",COUNTIF(06_КАЦ!$A$4:$A$203,K121)=1,IFERROR(INDEX(06_КАЦ!$V$4:$V$203,MATCH(K121,06_КАЦ!$A$4:$A$203,0)),"")="SELECTED_READY",IFERROR(INDEX(06_КАЦ!$D$4:$D$203,MATCH(K121,06_КАЦ!$A$4:$A$203,0)),"")=C121,IFERROR(INDEX(06_КАЦ!$F$4:$F$203,MATCH(K121,06_КАЦ!$A$4:$A$203,0)),"")=J121),AND(V121="DIRECT",COUNTIF(06а_Оценки!$A$4:$A$203,K121)=1,IFERROR(INDEX(06а_Оценки!$N$4:$N$203,MATCH(K121,06а_Оценки!$A$4:$A$203,0)),"")="READY",IFERROR(INDEX(06а_Оценки!$B$4:$B$203,MATCH(K121,06а_Оценки!$A$4:$A$203,0)),"")=C121,IFERROR(INDEX(06а_Оценки!$E$4:$E$203,MATCH(K121,06а_Оценки!$A$4:$A$203,0)),"")=J121)),O121&lt;&gt;"",COUNTIF(13_Источники!$A$4:$A$203,O121)=1,P121&lt;&gt;"",R121&lt;&gt;""),"READY","INCOMPLETE / LINK")))</f>
        <v/>
      </c>
      <c r="O121" s="4"/>
      <c r="P121" s="4"/>
      <c r="Q121" s="4"/>
      <c r="R121" s="4"/>
      <c r="S121" s="4"/>
      <c r="T121" s="4"/>
      <c r="U121" s="4"/>
      <c r="V121" s="4"/>
    </row>
    <row r="122" customFormat="false" ht="15" hidden="false" customHeight="false" outlineLevel="0" collapsed="false">
      <c r="A122" s="4"/>
      <c r="B122" s="4"/>
      <c r="C122" s="4"/>
      <c r="D122" s="6"/>
      <c r="E122" s="4"/>
      <c r="F122" s="4"/>
      <c r="G122" s="4"/>
      <c r="H122" s="4"/>
      <c r="I122" s="4"/>
      <c r="J122" s="4"/>
      <c r="K122" s="4"/>
      <c r="L122" s="7" t="str">
        <f aca="false">IF(N122="READY",IF(V122="KAC",IFERROR(INDEX(06_КАЦ!$R$4:$R$203,MATCH(K122,06_КАЦ!$A$4:$A$203,0)),""),IFERROR(INDEX(06а_Оценки!$F$4:$F$203,MATCH(K122,06а_Оценки!$A$4:$A$203,0)),"")),"")</f>
        <v/>
      </c>
      <c r="M122" s="7" t="str">
        <f aca="false">IF(N122="READY",ROUND(I122*L122,2),"")</f>
        <v/>
      </c>
      <c r="N122" s="5" t="str">
        <f aca="false">IF(A122="","",IF(Q122="NOT_APPLICABLE",IF(AND(COUNTIF(A$4:A$203,A122)=1,H122="OUTSIDE",R122&lt;&gt;"",O122&lt;&gt;"",COUNTIF(13_Источники!$A$4:$A$203,O122)=1),"NOT_APPLICABLE","INCOMPLETE / EXCLUSION"),IF(AND(COUNTIF(A$4:A$203,A122)=1,COUNTIF(02_WBS!$A$4:$A$200,B122)=1,C122&lt;&gt;"",COUNTIF(03_Пакеты!$A$4:$A$203,C122)=1,IFERROR(INDEX(03_Пакеты!$B$4:$B$203,MATCH(C122,03_Пакеты!$A$4:$A$203,0)),"")=B122,E122&lt;&gt;"",F122&lt;&gt;"",F122&lt;&gt;"UNKNOWN",G122&lt;&gt;"",G122&lt;&gt;"UNKNOWN",OR(H122="REMAINING",H122="SUNK",H122="OUTSIDE"),ISNUMBER(I122),I122&gt;=0,OR(AND(I122&gt;0,Q122="KNOWN"),AND(I122=0,Q122="ZERO_CONFIRMED")),J122&lt;&gt;"",K122&lt;&gt;"",OR(AND(V122="KAC",COUNTIF(06_КАЦ!$A$4:$A$203,K122)=1,IFERROR(INDEX(06_КАЦ!$V$4:$V$203,MATCH(K122,06_КАЦ!$A$4:$A$203,0)),"")="SELECTED_READY",IFERROR(INDEX(06_КАЦ!$D$4:$D$203,MATCH(K122,06_КАЦ!$A$4:$A$203,0)),"")=C122,IFERROR(INDEX(06_КАЦ!$F$4:$F$203,MATCH(K122,06_КАЦ!$A$4:$A$203,0)),"")=J122),AND(V122="DIRECT",COUNTIF(06а_Оценки!$A$4:$A$203,K122)=1,IFERROR(INDEX(06а_Оценки!$N$4:$N$203,MATCH(K122,06а_Оценки!$A$4:$A$203,0)),"")="READY",IFERROR(INDEX(06а_Оценки!$B$4:$B$203,MATCH(K122,06а_Оценки!$A$4:$A$203,0)),"")=C122,IFERROR(INDEX(06а_Оценки!$E$4:$E$203,MATCH(K122,06а_Оценки!$A$4:$A$203,0)),"")=J122)),O122&lt;&gt;"",COUNTIF(13_Источники!$A$4:$A$203,O122)=1,P122&lt;&gt;"",R122&lt;&gt;""),"READY","INCOMPLETE / LINK")))</f>
        <v/>
      </c>
      <c r="O122" s="4"/>
      <c r="P122" s="4"/>
      <c r="Q122" s="4"/>
      <c r="R122" s="4"/>
      <c r="S122" s="4"/>
      <c r="T122" s="4"/>
      <c r="U122" s="4"/>
      <c r="V122" s="4"/>
    </row>
    <row r="123" customFormat="false" ht="15" hidden="false" customHeight="false" outlineLevel="0" collapsed="false">
      <c r="A123" s="4"/>
      <c r="B123" s="4"/>
      <c r="C123" s="4"/>
      <c r="D123" s="6"/>
      <c r="E123" s="4"/>
      <c r="F123" s="4"/>
      <c r="G123" s="4"/>
      <c r="H123" s="4"/>
      <c r="I123" s="4"/>
      <c r="J123" s="4"/>
      <c r="K123" s="4"/>
      <c r="L123" s="7" t="str">
        <f aca="false">IF(N123="READY",IF(V123="KAC",IFERROR(INDEX(06_КАЦ!$R$4:$R$203,MATCH(K123,06_КАЦ!$A$4:$A$203,0)),""),IFERROR(INDEX(06а_Оценки!$F$4:$F$203,MATCH(K123,06а_Оценки!$A$4:$A$203,0)),"")),"")</f>
        <v/>
      </c>
      <c r="M123" s="7" t="str">
        <f aca="false">IF(N123="READY",ROUND(I123*L123,2),"")</f>
        <v/>
      </c>
      <c r="N123" s="5" t="str">
        <f aca="false">IF(A123="","",IF(Q123="NOT_APPLICABLE",IF(AND(COUNTIF(A$4:A$203,A123)=1,H123="OUTSIDE",R123&lt;&gt;"",O123&lt;&gt;"",COUNTIF(13_Источники!$A$4:$A$203,O123)=1),"NOT_APPLICABLE","INCOMPLETE / EXCLUSION"),IF(AND(COUNTIF(A$4:A$203,A123)=1,COUNTIF(02_WBS!$A$4:$A$200,B123)=1,C123&lt;&gt;"",COUNTIF(03_Пакеты!$A$4:$A$203,C123)=1,IFERROR(INDEX(03_Пакеты!$B$4:$B$203,MATCH(C123,03_Пакеты!$A$4:$A$203,0)),"")=B123,E123&lt;&gt;"",F123&lt;&gt;"",F123&lt;&gt;"UNKNOWN",G123&lt;&gt;"",G123&lt;&gt;"UNKNOWN",OR(H123="REMAINING",H123="SUNK",H123="OUTSIDE"),ISNUMBER(I123),I123&gt;=0,OR(AND(I123&gt;0,Q123="KNOWN"),AND(I123=0,Q123="ZERO_CONFIRMED")),J123&lt;&gt;"",K123&lt;&gt;"",OR(AND(V123="KAC",COUNTIF(06_КАЦ!$A$4:$A$203,K123)=1,IFERROR(INDEX(06_КАЦ!$V$4:$V$203,MATCH(K123,06_КАЦ!$A$4:$A$203,0)),"")="SELECTED_READY",IFERROR(INDEX(06_КАЦ!$D$4:$D$203,MATCH(K123,06_КАЦ!$A$4:$A$203,0)),"")=C123,IFERROR(INDEX(06_КАЦ!$F$4:$F$203,MATCH(K123,06_КАЦ!$A$4:$A$203,0)),"")=J123),AND(V123="DIRECT",COUNTIF(06а_Оценки!$A$4:$A$203,K123)=1,IFERROR(INDEX(06а_Оценки!$N$4:$N$203,MATCH(K123,06а_Оценки!$A$4:$A$203,0)),"")="READY",IFERROR(INDEX(06а_Оценки!$B$4:$B$203,MATCH(K123,06а_Оценки!$A$4:$A$203,0)),"")=C123,IFERROR(INDEX(06а_Оценки!$E$4:$E$203,MATCH(K123,06а_Оценки!$A$4:$A$203,0)),"")=J123)),O123&lt;&gt;"",COUNTIF(13_Источники!$A$4:$A$203,O123)=1,P123&lt;&gt;"",R123&lt;&gt;""),"READY","INCOMPLETE / LINK")))</f>
        <v/>
      </c>
      <c r="O123" s="4"/>
      <c r="P123" s="4"/>
      <c r="Q123" s="4"/>
      <c r="R123" s="4"/>
      <c r="S123" s="4"/>
      <c r="T123" s="4"/>
      <c r="U123" s="4"/>
      <c r="V123" s="4"/>
    </row>
    <row r="124" customFormat="false" ht="15" hidden="false" customHeight="false" outlineLevel="0" collapsed="false">
      <c r="A124" s="4"/>
      <c r="B124" s="4"/>
      <c r="C124" s="4"/>
      <c r="D124" s="6"/>
      <c r="E124" s="4"/>
      <c r="F124" s="4"/>
      <c r="G124" s="4"/>
      <c r="H124" s="4"/>
      <c r="I124" s="4"/>
      <c r="J124" s="4"/>
      <c r="K124" s="4"/>
      <c r="L124" s="7" t="str">
        <f aca="false">IF(N124="READY",IF(V124="KAC",IFERROR(INDEX(06_КАЦ!$R$4:$R$203,MATCH(K124,06_КАЦ!$A$4:$A$203,0)),""),IFERROR(INDEX(06а_Оценки!$F$4:$F$203,MATCH(K124,06а_Оценки!$A$4:$A$203,0)),"")),"")</f>
        <v/>
      </c>
      <c r="M124" s="7" t="str">
        <f aca="false">IF(N124="READY",ROUND(I124*L124,2),"")</f>
        <v/>
      </c>
      <c r="N124" s="5" t="str">
        <f aca="false">IF(A124="","",IF(Q124="NOT_APPLICABLE",IF(AND(COUNTIF(A$4:A$203,A124)=1,H124="OUTSIDE",R124&lt;&gt;"",O124&lt;&gt;"",COUNTIF(13_Источники!$A$4:$A$203,O124)=1),"NOT_APPLICABLE","INCOMPLETE / EXCLUSION"),IF(AND(COUNTIF(A$4:A$203,A124)=1,COUNTIF(02_WBS!$A$4:$A$200,B124)=1,C124&lt;&gt;"",COUNTIF(03_Пакеты!$A$4:$A$203,C124)=1,IFERROR(INDEX(03_Пакеты!$B$4:$B$203,MATCH(C124,03_Пакеты!$A$4:$A$203,0)),"")=B124,E124&lt;&gt;"",F124&lt;&gt;"",F124&lt;&gt;"UNKNOWN",G124&lt;&gt;"",G124&lt;&gt;"UNKNOWN",OR(H124="REMAINING",H124="SUNK",H124="OUTSIDE"),ISNUMBER(I124),I124&gt;=0,OR(AND(I124&gt;0,Q124="KNOWN"),AND(I124=0,Q124="ZERO_CONFIRMED")),J124&lt;&gt;"",K124&lt;&gt;"",OR(AND(V124="KAC",COUNTIF(06_КАЦ!$A$4:$A$203,K124)=1,IFERROR(INDEX(06_КАЦ!$V$4:$V$203,MATCH(K124,06_КАЦ!$A$4:$A$203,0)),"")="SELECTED_READY",IFERROR(INDEX(06_КАЦ!$D$4:$D$203,MATCH(K124,06_КАЦ!$A$4:$A$203,0)),"")=C124,IFERROR(INDEX(06_КАЦ!$F$4:$F$203,MATCH(K124,06_КАЦ!$A$4:$A$203,0)),"")=J124),AND(V124="DIRECT",COUNTIF(06а_Оценки!$A$4:$A$203,K124)=1,IFERROR(INDEX(06а_Оценки!$N$4:$N$203,MATCH(K124,06а_Оценки!$A$4:$A$203,0)),"")="READY",IFERROR(INDEX(06а_Оценки!$B$4:$B$203,MATCH(K124,06а_Оценки!$A$4:$A$203,0)),"")=C124,IFERROR(INDEX(06а_Оценки!$E$4:$E$203,MATCH(K124,06а_Оценки!$A$4:$A$203,0)),"")=J124)),O124&lt;&gt;"",COUNTIF(13_Источники!$A$4:$A$203,O124)=1,P124&lt;&gt;"",R124&lt;&gt;""),"READY","INCOMPLETE / LINK")))</f>
        <v/>
      </c>
      <c r="O124" s="4"/>
      <c r="P124" s="4"/>
      <c r="Q124" s="4"/>
      <c r="R124" s="4"/>
      <c r="S124" s="4"/>
      <c r="T124" s="4"/>
      <c r="U124" s="4"/>
      <c r="V124" s="4"/>
    </row>
    <row r="125" customFormat="false" ht="15" hidden="false" customHeight="false" outlineLevel="0" collapsed="false">
      <c r="A125" s="4"/>
      <c r="B125" s="4"/>
      <c r="C125" s="4"/>
      <c r="D125" s="6"/>
      <c r="E125" s="4"/>
      <c r="F125" s="4"/>
      <c r="G125" s="4"/>
      <c r="H125" s="4"/>
      <c r="I125" s="4"/>
      <c r="J125" s="4"/>
      <c r="K125" s="4"/>
      <c r="L125" s="7" t="str">
        <f aca="false">IF(N125="READY",IF(V125="KAC",IFERROR(INDEX(06_КАЦ!$R$4:$R$203,MATCH(K125,06_КАЦ!$A$4:$A$203,0)),""),IFERROR(INDEX(06а_Оценки!$F$4:$F$203,MATCH(K125,06а_Оценки!$A$4:$A$203,0)),"")),"")</f>
        <v/>
      </c>
      <c r="M125" s="7" t="str">
        <f aca="false">IF(N125="READY",ROUND(I125*L125,2),"")</f>
        <v/>
      </c>
      <c r="N125" s="5" t="str">
        <f aca="false">IF(A125="","",IF(Q125="NOT_APPLICABLE",IF(AND(COUNTIF(A$4:A$203,A125)=1,H125="OUTSIDE",R125&lt;&gt;"",O125&lt;&gt;"",COUNTIF(13_Источники!$A$4:$A$203,O125)=1),"NOT_APPLICABLE","INCOMPLETE / EXCLUSION"),IF(AND(COUNTIF(A$4:A$203,A125)=1,COUNTIF(02_WBS!$A$4:$A$200,B125)=1,C125&lt;&gt;"",COUNTIF(03_Пакеты!$A$4:$A$203,C125)=1,IFERROR(INDEX(03_Пакеты!$B$4:$B$203,MATCH(C125,03_Пакеты!$A$4:$A$203,0)),"")=B125,E125&lt;&gt;"",F125&lt;&gt;"",F125&lt;&gt;"UNKNOWN",G125&lt;&gt;"",G125&lt;&gt;"UNKNOWN",OR(H125="REMAINING",H125="SUNK",H125="OUTSIDE"),ISNUMBER(I125),I125&gt;=0,OR(AND(I125&gt;0,Q125="KNOWN"),AND(I125=0,Q125="ZERO_CONFIRMED")),J125&lt;&gt;"",K125&lt;&gt;"",OR(AND(V125="KAC",COUNTIF(06_КАЦ!$A$4:$A$203,K125)=1,IFERROR(INDEX(06_КАЦ!$V$4:$V$203,MATCH(K125,06_КАЦ!$A$4:$A$203,0)),"")="SELECTED_READY",IFERROR(INDEX(06_КАЦ!$D$4:$D$203,MATCH(K125,06_КАЦ!$A$4:$A$203,0)),"")=C125,IFERROR(INDEX(06_КАЦ!$F$4:$F$203,MATCH(K125,06_КАЦ!$A$4:$A$203,0)),"")=J125),AND(V125="DIRECT",COUNTIF(06а_Оценки!$A$4:$A$203,K125)=1,IFERROR(INDEX(06а_Оценки!$N$4:$N$203,MATCH(K125,06а_Оценки!$A$4:$A$203,0)),"")="READY",IFERROR(INDEX(06а_Оценки!$B$4:$B$203,MATCH(K125,06а_Оценки!$A$4:$A$203,0)),"")=C125,IFERROR(INDEX(06а_Оценки!$E$4:$E$203,MATCH(K125,06а_Оценки!$A$4:$A$203,0)),"")=J125)),O125&lt;&gt;"",COUNTIF(13_Источники!$A$4:$A$203,O125)=1,P125&lt;&gt;"",R125&lt;&gt;""),"READY","INCOMPLETE / LINK")))</f>
        <v/>
      </c>
      <c r="O125" s="4"/>
      <c r="P125" s="4"/>
      <c r="Q125" s="4"/>
      <c r="R125" s="4"/>
      <c r="S125" s="4"/>
      <c r="T125" s="4"/>
      <c r="U125" s="4"/>
      <c r="V125" s="4"/>
    </row>
    <row r="126" customFormat="false" ht="15" hidden="false" customHeight="false" outlineLevel="0" collapsed="false">
      <c r="A126" s="4"/>
      <c r="B126" s="4"/>
      <c r="C126" s="4"/>
      <c r="D126" s="6"/>
      <c r="E126" s="4"/>
      <c r="F126" s="4"/>
      <c r="G126" s="4"/>
      <c r="H126" s="4"/>
      <c r="I126" s="4"/>
      <c r="J126" s="4"/>
      <c r="K126" s="4"/>
      <c r="L126" s="7" t="str">
        <f aca="false">IF(N126="READY",IF(V126="KAC",IFERROR(INDEX(06_КАЦ!$R$4:$R$203,MATCH(K126,06_КАЦ!$A$4:$A$203,0)),""),IFERROR(INDEX(06а_Оценки!$F$4:$F$203,MATCH(K126,06а_Оценки!$A$4:$A$203,0)),"")),"")</f>
        <v/>
      </c>
      <c r="M126" s="7" t="str">
        <f aca="false">IF(N126="READY",ROUND(I126*L126,2),"")</f>
        <v/>
      </c>
      <c r="N126" s="5" t="str">
        <f aca="false">IF(A126="","",IF(Q126="NOT_APPLICABLE",IF(AND(COUNTIF(A$4:A$203,A126)=1,H126="OUTSIDE",R126&lt;&gt;"",O126&lt;&gt;"",COUNTIF(13_Источники!$A$4:$A$203,O126)=1),"NOT_APPLICABLE","INCOMPLETE / EXCLUSION"),IF(AND(COUNTIF(A$4:A$203,A126)=1,COUNTIF(02_WBS!$A$4:$A$200,B126)=1,C126&lt;&gt;"",COUNTIF(03_Пакеты!$A$4:$A$203,C126)=1,IFERROR(INDEX(03_Пакеты!$B$4:$B$203,MATCH(C126,03_Пакеты!$A$4:$A$203,0)),"")=B126,E126&lt;&gt;"",F126&lt;&gt;"",F126&lt;&gt;"UNKNOWN",G126&lt;&gt;"",G126&lt;&gt;"UNKNOWN",OR(H126="REMAINING",H126="SUNK",H126="OUTSIDE"),ISNUMBER(I126),I126&gt;=0,OR(AND(I126&gt;0,Q126="KNOWN"),AND(I126=0,Q126="ZERO_CONFIRMED")),J126&lt;&gt;"",K126&lt;&gt;"",OR(AND(V126="KAC",COUNTIF(06_КАЦ!$A$4:$A$203,K126)=1,IFERROR(INDEX(06_КАЦ!$V$4:$V$203,MATCH(K126,06_КАЦ!$A$4:$A$203,0)),"")="SELECTED_READY",IFERROR(INDEX(06_КАЦ!$D$4:$D$203,MATCH(K126,06_КАЦ!$A$4:$A$203,0)),"")=C126,IFERROR(INDEX(06_КАЦ!$F$4:$F$203,MATCH(K126,06_КАЦ!$A$4:$A$203,0)),"")=J126),AND(V126="DIRECT",COUNTIF(06а_Оценки!$A$4:$A$203,K126)=1,IFERROR(INDEX(06а_Оценки!$N$4:$N$203,MATCH(K126,06а_Оценки!$A$4:$A$203,0)),"")="READY",IFERROR(INDEX(06а_Оценки!$B$4:$B$203,MATCH(K126,06а_Оценки!$A$4:$A$203,0)),"")=C126,IFERROR(INDEX(06а_Оценки!$E$4:$E$203,MATCH(K126,06а_Оценки!$A$4:$A$203,0)),"")=J126)),O126&lt;&gt;"",COUNTIF(13_Источники!$A$4:$A$203,O126)=1,P126&lt;&gt;"",R126&lt;&gt;""),"READY","INCOMPLETE / LINK")))</f>
        <v/>
      </c>
      <c r="O126" s="4"/>
      <c r="P126" s="4"/>
      <c r="Q126" s="4"/>
      <c r="R126" s="4"/>
      <c r="S126" s="4"/>
      <c r="T126" s="4"/>
      <c r="U126" s="4"/>
      <c r="V126" s="4"/>
    </row>
    <row r="127" customFormat="false" ht="15" hidden="false" customHeight="false" outlineLevel="0" collapsed="false">
      <c r="A127" s="4"/>
      <c r="B127" s="4"/>
      <c r="C127" s="4"/>
      <c r="D127" s="6"/>
      <c r="E127" s="4"/>
      <c r="F127" s="4"/>
      <c r="G127" s="4"/>
      <c r="H127" s="4"/>
      <c r="I127" s="4"/>
      <c r="J127" s="4"/>
      <c r="K127" s="4"/>
      <c r="L127" s="7" t="str">
        <f aca="false">IF(N127="READY",IF(V127="KAC",IFERROR(INDEX(06_КАЦ!$R$4:$R$203,MATCH(K127,06_КАЦ!$A$4:$A$203,0)),""),IFERROR(INDEX(06а_Оценки!$F$4:$F$203,MATCH(K127,06а_Оценки!$A$4:$A$203,0)),"")),"")</f>
        <v/>
      </c>
      <c r="M127" s="7" t="str">
        <f aca="false">IF(N127="READY",ROUND(I127*L127,2),"")</f>
        <v/>
      </c>
      <c r="N127" s="5" t="str">
        <f aca="false">IF(A127="","",IF(Q127="NOT_APPLICABLE",IF(AND(COUNTIF(A$4:A$203,A127)=1,H127="OUTSIDE",R127&lt;&gt;"",O127&lt;&gt;"",COUNTIF(13_Источники!$A$4:$A$203,O127)=1),"NOT_APPLICABLE","INCOMPLETE / EXCLUSION"),IF(AND(COUNTIF(A$4:A$203,A127)=1,COUNTIF(02_WBS!$A$4:$A$200,B127)=1,C127&lt;&gt;"",COUNTIF(03_Пакеты!$A$4:$A$203,C127)=1,IFERROR(INDEX(03_Пакеты!$B$4:$B$203,MATCH(C127,03_Пакеты!$A$4:$A$203,0)),"")=B127,E127&lt;&gt;"",F127&lt;&gt;"",F127&lt;&gt;"UNKNOWN",G127&lt;&gt;"",G127&lt;&gt;"UNKNOWN",OR(H127="REMAINING",H127="SUNK",H127="OUTSIDE"),ISNUMBER(I127),I127&gt;=0,OR(AND(I127&gt;0,Q127="KNOWN"),AND(I127=0,Q127="ZERO_CONFIRMED")),J127&lt;&gt;"",K127&lt;&gt;"",OR(AND(V127="KAC",COUNTIF(06_КАЦ!$A$4:$A$203,K127)=1,IFERROR(INDEX(06_КАЦ!$V$4:$V$203,MATCH(K127,06_КАЦ!$A$4:$A$203,0)),"")="SELECTED_READY",IFERROR(INDEX(06_КАЦ!$D$4:$D$203,MATCH(K127,06_КАЦ!$A$4:$A$203,0)),"")=C127,IFERROR(INDEX(06_КАЦ!$F$4:$F$203,MATCH(K127,06_КАЦ!$A$4:$A$203,0)),"")=J127),AND(V127="DIRECT",COUNTIF(06а_Оценки!$A$4:$A$203,K127)=1,IFERROR(INDEX(06а_Оценки!$N$4:$N$203,MATCH(K127,06а_Оценки!$A$4:$A$203,0)),"")="READY",IFERROR(INDEX(06а_Оценки!$B$4:$B$203,MATCH(K127,06а_Оценки!$A$4:$A$203,0)),"")=C127,IFERROR(INDEX(06а_Оценки!$E$4:$E$203,MATCH(K127,06а_Оценки!$A$4:$A$203,0)),"")=J127)),O127&lt;&gt;"",COUNTIF(13_Источники!$A$4:$A$203,O127)=1,P127&lt;&gt;"",R127&lt;&gt;""),"READY","INCOMPLETE / LINK")))</f>
        <v/>
      </c>
      <c r="O127" s="4"/>
      <c r="P127" s="4"/>
      <c r="Q127" s="4"/>
      <c r="R127" s="4"/>
      <c r="S127" s="4"/>
      <c r="T127" s="4"/>
      <c r="U127" s="4"/>
      <c r="V127" s="4"/>
    </row>
    <row r="128" customFormat="false" ht="15" hidden="false" customHeight="false" outlineLevel="0" collapsed="false">
      <c r="A128" s="4"/>
      <c r="B128" s="4"/>
      <c r="C128" s="4"/>
      <c r="D128" s="6"/>
      <c r="E128" s="4"/>
      <c r="F128" s="4"/>
      <c r="G128" s="4"/>
      <c r="H128" s="4"/>
      <c r="I128" s="4"/>
      <c r="J128" s="4"/>
      <c r="K128" s="4"/>
      <c r="L128" s="7" t="str">
        <f aca="false">IF(N128="READY",IF(V128="KAC",IFERROR(INDEX(06_КАЦ!$R$4:$R$203,MATCH(K128,06_КАЦ!$A$4:$A$203,0)),""),IFERROR(INDEX(06а_Оценки!$F$4:$F$203,MATCH(K128,06а_Оценки!$A$4:$A$203,0)),"")),"")</f>
        <v/>
      </c>
      <c r="M128" s="7" t="str">
        <f aca="false">IF(N128="READY",ROUND(I128*L128,2),"")</f>
        <v/>
      </c>
      <c r="N128" s="5" t="str">
        <f aca="false">IF(A128="","",IF(Q128="NOT_APPLICABLE",IF(AND(COUNTIF(A$4:A$203,A128)=1,H128="OUTSIDE",R128&lt;&gt;"",O128&lt;&gt;"",COUNTIF(13_Источники!$A$4:$A$203,O128)=1),"NOT_APPLICABLE","INCOMPLETE / EXCLUSION"),IF(AND(COUNTIF(A$4:A$203,A128)=1,COUNTIF(02_WBS!$A$4:$A$200,B128)=1,C128&lt;&gt;"",COUNTIF(03_Пакеты!$A$4:$A$203,C128)=1,IFERROR(INDEX(03_Пакеты!$B$4:$B$203,MATCH(C128,03_Пакеты!$A$4:$A$203,0)),"")=B128,E128&lt;&gt;"",F128&lt;&gt;"",F128&lt;&gt;"UNKNOWN",G128&lt;&gt;"",G128&lt;&gt;"UNKNOWN",OR(H128="REMAINING",H128="SUNK",H128="OUTSIDE"),ISNUMBER(I128),I128&gt;=0,OR(AND(I128&gt;0,Q128="KNOWN"),AND(I128=0,Q128="ZERO_CONFIRMED")),J128&lt;&gt;"",K128&lt;&gt;"",OR(AND(V128="KAC",COUNTIF(06_КАЦ!$A$4:$A$203,K128)=1,IFERROR(INDEX(06_КАЦ!$V$4:$V$203,MATCH(K128,06_КАЦ!$A$4:$A$203,0)),"")="SELECTED_READY",IFERROR(INDEX(06_КАЦ!$D$4:$D$203,MATCH(K128,06_КАЦ!$A$4:$A$203,0)),"")=C128,IFERROR(INDEX(06_КАЦ!$F$4:$F$203,MATCH(K128,06_КАЦ!$A$4:$A$203,0)),"")=J128),AND(V128="DIRECT",COUNTIF(06а_Оценки!$A$4:$A$203,K128)=1,IFERROR(INDEX(06а_Оценки!$N$4:$N$203,MATCH(K128,06а_Оценки!$A$4:$A$203,0)),"")="READY",IFERROR(INDEX(06а_Оценки!$B$4:$B$203,MATCH(K128,06а_Оценки!$A$4:$A$203,0)),"")=C128,IFERROR(INDEX(06а_Оценки!$E$4:$E$203,MATCH(K128,06а_Оценки!$A$4:$A$203,0)),"")=J128)),O128&lt;&gt;"",COUNTIF(13_Источники!$A$4:$A$203,O128)=1,P128&lt;&gt;"",R128&lt;&gt;""),"READY","INCOMPLETE / LINK")))</f>
        <v/>
      </c>
      <c r="O128" s="4"/>
      <c r="P128" s="4"/>
      <c r="Q128" s="4"/>
      <c r="R128" s="4"/>
      <c r="S128" s="4"/>
      <c r="T128" s="4"/>
      <c r="U128" s="4"/>
      <c r="V128" s="4"/>
    </row>
    <row r="129" customFormat="false" ht="15" hidden="false" customHeight="false" outlineLevel="0" collapsed="false">
      <c r="A129" s="4"/>
      <c r="B129" s="4"/>
      <c r="C129" s="4"/>
      <c r="D129" s="6"/>
      <c r="E129" s="4"/>
      <c r="F129" s="4"/>
      <c r="G129" s="4"/>
      <c r="H129" s="4"/>
      <c r="I129" s="4"/>
      <c r="J129" s="4"/>
      <c r="K129" s="4"/>
      <c r="L129" s="7" t="str">
        <f aca="false">IF(N129="READY",IF(V129="KAC",IFERROR(INDEX(06_КАЦ!$R$4:$R$203,MATCH(K129,06_КАЦ!$A$4:$A$203,0)),""),IFERROR(INDEX(06а_Оценки!$F$4:$F$203,MATCH(K129,06а_Оценки!$A$4:$A$203,0)),"")),"")</f>
        <v/>
      </c>
      <c r="M129" s="7" t="str">
        <f aca="false">IF(N129="READY",ROUND(I129*L129,2),"")</f>
        <v/>
      </c>
      <c r="N129" s="5" t="str">
        <f aca="false">IF(A129="","",IF(Q129="NOT_APPLICABLE",IF(AND(COUNTIF(A$4:A$203,A129)=1,H129="OUTSIDE",R129&lt;&gt;"",O129&lt;&gt;"",COUNTIF(13_Источники!$A$4:$A$203,O129)=1),"NOT_APPLICABLE","INCOMPLETE / EXCLUSION"),IF(AND(COUNTIF(A$4:A$203,A129)=1,COUNTIF(02_WBS!$A$4:$A$200,B129)=1,C129&lt;&gt;"",COUNTIF(03_Пакеты!$A$4:$A$203,C129)=1,IFERROR(INDEX(03_Пакеты!$B$4:$B$203,MATCH(C129,03_Пакеты!$A$4:$A$203,0)),"")=B129,E129&lt;&gt;"",F129&lt;&gt;"",F129&lt;&gt;"UNKNOWN",G129&lt;&gt;"",G129&lt;&gt;"UNKNOWN",OR(H129="REMAINING",H129="SUNK",H129="OUTSIDE"),ISNUMBER(I129),I129&gt;=0,OR(AND(I129&gt;0,Q129="KNOWN"),AND(I129=0,Q129="ZERO_CONFIRMED")),J129&lt;&gt;"",K129&lt;&gt;"",OR(AND(V129="KAC",COUNTIF(06_КАЦ!$A$4:$A$203,K129)=1,IFERROR(INDEX(06_КАЦ!$V$4:$V$203,MATCH(K129,06_КАЦ!$A$4:$A$203,0)),"")="SELECTED_READY",IFERROR(INDEX(06_КАЦ!$D$4:$D$203,MATCH(K129,06_КАЦ!$A$4:$A$203,0)),"")=C129,IFERROR(INDEX(06_КАЦ!$F$4:$F$203,MATCH(K129,06_КАЦ!$A$4:$A$203,0)),"")=J129),AND(V129="DIRECT",COUNTIF(06а_Оценки!$A$4:$A$203,K129)=1,IFERROR(INDEX(06а_Оценки!$N$4:$N$203,MATCH(K129,06а_Оценки!$A$4:$A$203,0)),"")="READY",IFERROR(INDEX(06а_Оценки!$B$4:$B$203,MATCH(K129,06а_Оценки!$A$4:$A$203,0)),"")=C129,IFERROR(INDEX(06а_Оценки!$E$4:$E$203,MATCH(K129,06а_Оценки!$A$4:$A$203,0)),"")=J129)),O129&lt;&gt;"",COUNTIF(13_Источники!$A$4:$A$203,O129)=1,P129&lt;&gt;"",R129&lt;&gt;""),"READY","INCOMPLETE / LINK")))</f>
        <v/>
      </c>
      <c r="O129" s="4"/>
      <c r="P129" s="4"/>
      <c r="Q129" s="4"/>
      <c r="R129" s="4"/>
      <c r="S129" s="4"/>
      <c r="T129" s="4"/>
      <c r="U129" s="4"/>
      <c r="V129" s="4"/>
    </row>
    <row r="130" customFormat="false" ht="15" hidden="false" customHeight="false" outlineLevel="0" collapsed="false">
      <c r="A130" s="4"/>
      <c r="B130" s="4"/>
      <c r="C130" s="4"/>
      <c r="D130" s="6"/>
      <c r="E130" s="4"/>
      <c r="F130" s="4"/>
      <c r="G130" s="4"/>
      <c r="H130" s="4"/>
      <c r="I130" s="4"/>
      <c r="J130" s="4"/>
      <c r="K130" s="4"/>
      <c r="L130" s="7" t="str">
        <f aca="false">IF(N130="READY",IF(V130="KAC",IFERROR(INDEX(06_КАЦ!$R$4:$R$203,MATCH(K130,06_КАЦ!$A$4:$A$203,0)),""),IFERROR(INDEX(06а_Оценки!$F$4:$F$203,MATCH(K130,06а_Оценки!$A$4:$A$203,0)),"")),"")</f>
        <v/>
      </c>
      <c r="M130" s="7" t="str">
        <f aca="false">IF(N130="READY",ROUND(I130*L130,2),"")</f>
        <v/>
      </c>
      <c r="N130" s="5" t="str">
        <f aca="false">IF(A130="","",IF(Q130="NOT_APPLICABLE",IF(AND(COUNTIF(A$4:A$203,A130)=1,H130="OUTSIDE",R130&lt;&gt;"",O130&lt;&gt;"",COUNTIF(13_Источники!$A$4:$A$203,O130)=1),"NOT_APPLICABLE","INCOMPLETE / EXCLUSION"),IF(AND(COUNTIF(A$4:A$203,A130)=1,COUNTIF(02_WBS!$A$4:$A$200,B130)=1,C130&lt;&gt;"",COUNTIF(03_Пакеты!$A$4:$A$203,C130)=1,IFERROR(INDEX(03_Пакеты!$B$4:$B$203,MATCH(C130,03_Пакеты!$A$4:$A$203,0)),"")=B130,E130&lt;&gt;"",F130&lt;&gt;"",F130&lt;&gt;"UNKNOWN",G130&lt;&gt;"",G130&lt;&gt;"UNKNOWN",OR(H130="REMAINING",H130="SUNK",H130="OUTSIDE"),ISNUMBER(I130),I130&gt;=0,OR(AND(I130&gt;0,Q130="KNOWN"),AND(I130=0,Q130="ZERO_CONFIRMED")),J130&lt;&gt;"",K130&lt;&gt;"",OR(AND(V130="KAC",COUNTIF(06_КАЦ!$A$4:$A$203,K130)=1,IFERROR(INDEX(06_КАЦ!$V$4:$V$203,MATCH(K130,06_КАЦ!$A$4:$A$203,0)),"")="SELECTED_READY",IFERROR(INDEX(06_КАЦ!$D$4:$D$203,MATCH(K130,06_КАЦ!$A$4:$A$203,0)),"")=C130,IFERROR(INDEX(06_КАЦ!$F$4:$F$203,MATCH(K130,06_КАЦ!$A$4:$A$203,0)),"")=J130),AND(V130="DIRECT",COUNTIF(06а_Оценки!$A$4:$A$203,K130)=1,IFERROR(INDEX(06а_Оценки!$N$4:$N$203,MATCH(K130,06а_Оценки!$A$4:$A$203,0)),"")="READY",IFERROR(INDEX(06а_Оценки!$B$4:$B$203,MATCH(K130,06а_Оценки!$A$4:$A$203,0)),"")=C130,IFERROR(INDEX(06а_Оценки!$E$4:$E$203,MATCH(K130,06а_Оценки!$A$4:$A$203,0)),"")=J130)),O130&lt;&gt;"",COUNTIF(13_Источники!$A$4:$A$203,O130)=1,P130&lt;&gt;"",R130&lt;&gt;""),"READY","INCOMPLETE / LINK")))</f>
        <v/>
      </c>
      <c r="O130" s="4"/>
      <c r="P130" s="4"/>
      <c r="Q130" s="4"/>
      <c r="R130" s="4"/>
      <c r="S130" s="4"/>
      <c r="T130" s="4"/>
      <c r="U130" s="4"/>
      <c r="V130" s="4"/>
    </row>
    <row r="131" customFormat="false" ht="15" hidden="false" customHeight="false" outlineLevel="0" collapsed="false">
      <c r="A131" s="4"/>
      <c r="B131" s="4"/>
      <c r="C131" s="4"/>
      <c r="D131" s="6"/>
      <c r="E131" s="4"/>
      <c r="F131" s="4"/>
      <c r="G131" s="4"/>
      <c r="H131" s="4"/>
      <c r="I131" s="4"/>
      <c r="J131" s="4"/>
      <c r="K131" s="4"/>
      <c r="L131" s="7" t="str">
        <f aca="false">IF(N131="READY",IF(V131="KAC",IFERROR(INDEX(06_КАЦ!$R$4:$R$203,MATCH(K131,06_КАЦ!$A$4:$A$203,0)),""),IFERROR(INDEX(06а_Оценки!$F$4:$F$203,MATCH(K131,06а_Оценки!$A$4:$A$203,0)),"")),"")</f>
        <v/>
      </c>
      <c r="M131" s="7" t="str">
        <f aca="false">IF(N131="READY",ROUND(I131*L131,2),"")</f>
        <v/>
      </c>
      <c r="N131" s="5" t="str">
        <f aca="false">IF(A131="","",IF(Q131="NOT_APPLICABLE",IF(AND(COUNTIF(A$4:A$203,A131)=1,H131="OUTSIDE",R131&lt;&gt;"",O131&lt;&gt;"",COUNTIF(13_Источники!$A$4:$A$203,O131)=1),"NOT_APPLICABLE","INCOMPLETE / EXCLUSION"),IF(AND(COUNTIF(A$4:A$203,A131)=1,COUNTIF(02_WBS!$A$4:$A$200,B131)=1,C131&lt;&gt;"",COUNTIF(03_Пакеты!$A$4:$A$203,C131)=1,IFERROR(INDEX(03_Пакеты!$B$4:$B$203,MATCH(C131,03_Пакеты!$A$4:$A$203,0)),"")=B131,E131&lt;&gt;"",F131&lt;&gt;"",F131&lt;&gt;"UNKNOWN",G131&lt;&gt;"",G131&lt;&gt;"UNKNOWN",OR(H131="REMAINING",H131="SUNK",H131="OUTSIDE"),ISNUMBER(I131),I131&gt;=0,OR(AND(I131&gt;0,Q131="KNOWN"),AND(I131=0,Q131="ZERO_CONFIRMED")),J131&lt;&gt;"",K131&lt;&gt;"",OR(AND(V131="KAC",COUNTIF(06_КАЦ!$A$4:$A$203,K131)=1,IFERROR(INDEX(06_КАЦ!$V$4:$V$203,MATCH(K131,06_КАЦ!$A$4:$A$203,0)),"")="SELECTED_READY",IFERROR(INDEX(06_КАЦ!$D$4:$D$203,MATCH(K131,06_КАЦ!$A$4:$A$203,0)),"")=C131,IFERROR(INDEX(06_КАЦ!$F$4:$F$203,MATCH(K131,06_КАЦ!$A$4:$A$203,0)),"")=J131),AND(V131="DIRECT",COUNTIF(06а_Оценки!$A$4:$A$203,K131)=1,IFERROR(INDEX(06а_Оценки!$N$4:$N$203,MATCH(K131,06а_Оценки!$A$4:$A$203,0)),"")="READY",IFERROR(INDEX(06а_Оценки!$B$4:$B$203,MATCH(K131,06а_Оценки!$A$4:$A$203,0)),"")=C131,IFERROR(INDEX(06а_Оценки!$E$4:$E$203,MATCH(K131,06а_Оценки!$A$4:$A$203,0)),"")=J131)),O131&lt;&gt;"",COUNTIF(13_Источники!$A$4:$A$203,O131)=1,P131&lt;&gt;"",R131&lt;&gt;""),"READY","INCOMPLETE / LINK")))</f>
        <v/>
      </c>
      <c r="O131" s="4"/>
      <c r="P131" s="4"/>
      <c r="Q131" s="4"/>
      <c r="R131" s="4"/>
      <c r="S131" s="4"/>
      <c r="T131" s="4"/>
      <c r="U131" s="4"/>
      <c r="V131" s="4"/>
    </row>
    <row r="132" customFormat="false" ht="15" hidden="false" customHeight="false" outlineLevel="0" collapsed="false">
      <c r="A132" s="4"/>
      <c r="B132" s="4"/>
      <c r="C132" s="4"/>
      <c r="D132" s="6"/>
      <c r="E132" s="4"/>
      <c r="F132" s="4"/>
      <c r="G132" s="4"/>
      <c r="H132" s="4"/>
      <c r="I132" s="4"/>
      <c r="J132" s="4"/>
      <c r="K132" s="4"/>
      <c r="L132" s="7" t="str">
        <f aca="false">IF(N132="READY",IF(V132="KAC",IFERROR(INDEX(06_КАЦ!$R$4:$R$203,MATCH(K132,06_КАЦ!$A$4:$A$203,0)),""),IFERROR(INDEX(06а_Оценки!$F$4:$F$203,MATCH(K132,06а_Оценки!$A$4:$A$203,0)),"")),"")</f>
        <v/>
      </c>
      <c r="M132" s="7" t="str">
        <f aca="false">IF(N132="READY",ROUND(I132*L132,2),"")</f>
        <v/>
      </c>
      <c r="N132" s="5" t="str">
        <f aca="false">IF(A132="","",IF(Q132="NOT_APPLICABLE",IF(AND(COUNTIF(A$4:A$203,A132)=1,H132="OUTSIDE",R132&lt;&gt;"",O132&lt;&gt;"",COUNTIF(13_Источники!$A$4:$A$203,O132)=1),"NOT_APPLICABLE","INCOMPLETE / EXCLUSION"),IF(AND(COUNTIF(A$4:A$203,A132)=1,COUNTIF(02_WBS!$A$4:$A$200,B132)=1,C132&lt;&gt;"",COUNTIF(03_Пакеты!$A$4:$A$203,C132)=1,IFERROR(INDEX(03_Пакеты!$B$4:$B$203,MATCH(C132,03_Пакеты!$A$4:$A$203,0)),"")=B132,E132&lt;&gt;"",F132&lt;&gt;"",F132&lt;&gt;"UNKNOWN",G132&lt;&gt;"",G132&lt;&gt;"UNKNOWN",OR(H132="REMAINING",H132="SUNK",H132="OUTSIDE"),ISNUMBER(I132),I132&gt;=0,OR(AND(I132&gt;0,Q132="KNOWN"),AND(I132=0,Q132="ZERO_CONFIRMED")),J132&lt;&gt;"",K132&lt;&gt;"",OR(AND(V132="KAC",COUNTIF(06_КАЦ!$A$4:$A$203,K132)=1,IFERROR(INDEX(06_КАЦ!$V$4:$V$203,MATCH(K132,06_КАЦ!$A$4:$A$203,0)),"")="SELECTED_READY",IFERROR(INDEX(06_КАЦ!$D$4:$D$203,MATCH(K132,06_КАЦ!$A$4:$A$203,0)),"")=C132,IFERROR(INDEX(06_КАЦ!$F$4:$F$203,MATCH(K132,06_КАЦ!$A$4:$A$203,0)),"")=J132),AND(V132="DIRECT",COUNTIF(06а_Оценки!$A$4:$A$203,K132)=1,IFERROR(INDEX(06а_Оценки!$N$4:$N$203,MATCH(K132,06а_Оценки!$A$4:$A$203,0)),"")="READY",IFERROR(INDEX(06а_Оценки!$B$4:$B$203,MATCH(K132,06а_Оценки!$A$4:$A$203,0)),"")=C132,IFERROR(INDEX(06а_Оценки!$E$4:$E$203,MATCH(K132,06а_Оценки!$A$4:$A$203,0)),"")=J132)),O132&lt;&gt;"",COUNTIF(13_Источники!$A$4:$A$203,O132)=1,P132&lt;&gt;"",R132&lt;&gt;""),"READY","INCOMPLETE / LINK")))</f>
        <v/>
      </c>
      <c r="O132" s="4"/>
      <c r="P132" s="4"/>
      <c r="Q132" s="4"/>
      <c r="R132" s="4"/>
      <c r="S132" s="4"/>
      <c r="T132" s="4"/>
      <c r="U132" s="4"/>
      <c r="V132" s="4"/>
    </row>
    <row r="133" customFormat="false" ht="15" hidden="false" customHeight="false" outlineLevel="0" collapsed="false">
      <c r="A133" s="4"/>
      <c r="B133" s="4"/>
      <c r="C133" s="4"/>
      <c r="D133" s="6"/>
      <c r="E133" s="4"/>
      <c r="F133" s="4"/>
      <c r="G133" s="4"/>
      <c r="H133" s="4"/>
      <c r="I133" s="4"/>
      <c r="J133" s="4"/>
      <c r="K133" s="4"/>
      <c r="L133" s="7" t="str">
        <f aca="false">IF(N133="READY",IF(V133="KAC",IFERROR(INDEX(06_КАЦ!$R$4:$R$203,MATCH(K133,06_КАЦ!$A$4:$A$203,0)),""),IFERROR(INDEX(06а_Оценки!$F$4:$F$203,MATCH(K133,06а_Оценки!$A$4:$A$203,0)),"")),"")</f>
        <v/>
      </c>
      <c r="M133" s="7" t="str">
        <f aca="false">IF(N133="READY",ROUND(I133*L133,2),"")</f>
        <v/>
      </c>
      <c r="N133" s="5" t="str">
        <f aca="false">IF(A133="","",IF(Q133="NOT_APPLICABLE",IF(AND(COUNTIF(A$4:A$203,A133)=1,H133="OUTSIDE",R133&lt;&gt;"",O133&lt;&gt;"",COUNTIF(13_Источники!$A$4:$A$203,O133)=1),"NOT_APPLICABLE","INCOMPLETE / EXCLUSION"),IF(AND(COUNTIF(A$4:A$203,A133)=1,COUNTIF(02_WBS!$A$4:$A$200,B133)=1,C133&lt;&gt;"",COUNTIF(03_Пакеты!$A$4:$A$203,C133)=1,IFERROR(INDEX(03_Пакеты!$B$4:$B$203,MATCH(C133,03_Пакеты!$A$4:$A$203,0)),"")=B133,E133&lt;&gt;"",F133&lt;&gt;"",F133&lt;&gt;"UNKNOWN",G133&lt;&gt;"",G133&lt;&gt;"UNKNOWN",OR(H133="REMAINING",H133="SUNK",H133="OUTSIDE"),ISNUMBER(I133),I133&gt;=0,OR(AND(I133&gt;0,Q133="KNOWN"),AND(I133=0,Q133="ZERO_CONFIRMED")),J133&lt;&gt;"",K133&lt;&gt;"",OR(AND(V133="KAC",COUNTIF(06_КАЦ!$A$4:$A$203,K133)=1,IFERROR(INDEX(06_КАЦ!$V$4:$V$203,MATCH(K133,06_КАЦ!$A$4:$A$203,0)),"")="SELECTED_READY",IFERROR(INDEX(06_КАЦ!$D$4:$D$203,MATCH(K133,06_КАЦ!$A$4:$A$203,0)),"")=C133,IFERROR(INDEX(06_КАЦ!$F$4:$F$203,MATCH(K133,06_КАЦ!$A$4:$A$203,0)),"")=J133),AND(V133="DIRECT",COUNTIF(06а_Оценки!$A$4:$A$203,K133)=1,IFERROR(INDEX(06а_Оценки!$N$4:$N$203,MATCH(K133,06а_Оценки!$A$4:$A$203,0)),"")="READY",IFERROR(INDEX(06а_Оценки!$B$4:$B$203,MATCH(K133,06а_Оценки!$A$4:$A$203,0)),"")=C133,IFERROR(INDEX(06а_Оценки!$E$4:$E$203,MATCH(K133,06а_Оценки!$A$4:$A$203,0)),"")=J133)),O133&lt;&gt;"",COUNTIF(13_Источники!$A$4:$A$203,O133)=1,P133&lt;&gt;"",R133&lt;&gt;""),"READY","INCOMPLETE / LINK")))</f>
        <v/>
      </c>
      <c r="O133" s="4"/>
      <c r="P133" s="4"/>
      <c r="Q133" s="4"/>
      <c r="R133" s="4"/>
      <c r="S133" s="4"/>
      <c r="T133" s="4"/>
      <c r="U133" s="4"/>
      <c r="V133" s="4"/>
    </row>
    <row r="134" customFormat="false" ht="15" hidden="false" customHeight="false" outlineLevel="0" collapsed="false">
      <c r="A134" s="4"/>
      <c r="B134" s="4"/>
      <c r="C134" s="4"/>
      <c r="D134" s="6"/>
      <c r="E134" s="4"/>
      <c r="F134" s="4"/>
      <c r="G134" s="4"/>
      <c r="H134" s="4"/>
      <c r="I134" s="4"/>
      <c r="J134" s="4"/>
      <c r="K134" s="4"/>
      <c r="L134" s="7" t="str">
        <f aca="false">IF(N134="READY",IF(V134="KAC",IFERROR(INDEX(06_КАЦ!$R$4:$R$203,MATCH(K134,06_КАЦ!$A$4:$A$203,0)),""),IFERROR(INDEX(06а_Оценки!$F$4:$F$203,MATCH(K134,06а_Оценки!$A$4:$A$203,0)),"")),"")</f>
        <v/>
      </c>
      <c r="M134" s="7" t="str">
        <f aca="false">IF(N134="READY",ROUND(I134*L134,2),"")</f>
        <v/>
      </c>
      <c r="N134" s="5" t="str">
        <f aca="false">IF(A134="","",IF(Q134="NOT_APPLICABLE",IF(AND(COUNTIF(A$4:A$203,A134)=1,H134="OUTSIDE",R134&lt;&gt;"",O134&lt;&gt;"",COUNTIF(13_Источники!$A$4:$A$203,O134)=1),"NOT_APPLICABLE","INCOMPLETE / EXCLUSION"),IF(AND(COUNTIF(A$4:A$203,A134)=1,COUNTIF(02_WBS!$A$4:$A$200,B134)=1,C134&lt;&gt;"",COUNTIF(03_Пакеты!$A$4:$A$203,C134)=1,IFERROR(INDEX(03_Пакеты!$B$4:$B$203,MATCH(C134,03_Пакеты!$A$4:$A$203,0)),"")=B134,E134&lt;&gt;"",F134&lt;&gt;"",F134&lt;&gt;"UNKNOWN",G134&lt;&gt;"",G134&lt;&gt;"UNKNOWN",OR(H134="REMAINING",H134="SUNK",H134="OUTSIDE"),ISNUMBER(I134),I134&gt;=0,OR(AND(I134&gt;0,Q134="KNOWN"),AND(I134=0,Q134="ZERO_CONFIRMED")),J134&lt;&gt;"",K134&lt;&gt;"",OR(AND(V134="KAC",COUNTIF(06_КАЦ!$A$4:$A$203,K134)=1,IFERROR(INDEX(06_КАЦ!$V$4:$V$203,MATCH(K134,06_КАЦ!$A$4:$A$203,0)),"")="SELECTED_READY",IFERROR(INDEX(06_КАЦ!$D$4:$D$203,MATCH(K134,06_КАЦ!$A$4:$A$203,0)),"")=C134,IFERROR(INDEX(06_КАЦ!$F$4:$F$203,MATCH(K134,06_КАЦ!$A$4:$A$203,0)),"")=J134),AND(V134="DIRECT",COUNTIF(06а_Оценки!$A$4:$A$203,K134)=1,IFERROR(INDEX(06а_Оценки!$N$4:$N$203,MATCH(K134,06а_Оценки!$A$4:$A$203,0)),"")="READY",IFERROR(INDEX(06а_Оценки!$B$4:$B$203,MATCH(K134,06а_Оценки!$A$4:$A$203,0)),"")=C134,IFERROR(INDEX(06а_Оценки!$E$4:$E$203,MATCH(K134,06а_Оценки!$A$4:$A$203,0)),"")=J134)),O134&lt;&gt;"",COUNTIF(13_Источники!$A$4:$A$203,O134)=1,P134&lt;&gt;"",R134&lt;&gt;""),"READY","INCOMPLETE / LINK")))</f>
        <v/>
      </c>
      <c r="O134" s="4"/>
      <c r="P134" s="4"/>
      <c r="Q134" s="4"/>
      <c r="R134" s="4"/>
      <c r="S134" s="4"/>
      <c r="T134" s="4"/>
      <c r="U134" s="4"/>
      <c r="V134" s="4"/>
    </row>
    <row r="135" customFormat="false" ht="15" hidden="false" customHeight="false" outlineLevel="0" collapsed="false">
      <c r="A135" s="4"/>
      <c r="B135" s="4"/>
      <c r="C135" s="4"/>
      <c r="D135" s="6"/>
      <c r="E135" s="4"/>
      <c r="F135" s="4"/>
      <c r="G135" s="4"/>
      <c r="H135" s="4"/>
      <c r="I135" s="4"/>
      <c r="J135" s="4"/>
      <c r="K135" s="4"/>
      <c r="L135" s="7" t="str">
        <f aca="false">IF(N135="READY",IF(V135="KAC",IFERROR(INDEX(06_КАЦ!$R$4:$R$203,MATCH(K135,06_КАЦ!$A$4:$A$203,0)),""),IFERROR(INDEX(06а_Оценки!$F$4:$F$203,MATCH(K135,06а_Оценки!$A$4:$A$203,0)),"")),"")</f>
        <v/>
      </c>
      <c r="M135" s="7" t="str">
        <f aca="false">IF(N135="READY",ROUND(I135*L135,2),"")</f>
        <v/>
      </c>
      <c r="N135" s="5" t="str">
        <f aca="false">IF(A135="","",IF(Q135="NOT_APPLICABLE",IF(AND(COUNTIF(A$4:A$203,A135)=1,H135="OUTSIDE",R135&lt;&gt;"",O135&lt;&gt;"",COUNTIF(13_Источники!$A$4:$A$203,O135)=1),"NOT_APPLICABLE","INCOMPLETE / EXCLUSION"),IF(AND(COUNTIF(A$4:A$203,A135)=1,COUNTIF(02_WBS!$A$4:$A$200,B135)=1,C135&lt;&gt;"",COUNTIF(03_Пакеты!$A$4:$A$203,C135)=1,IFERROR(INDEX(03_Пакеты!$B$4:$B$203,MATCH(C135,03_Пакеты!$A$4:$A$203,0)),"")=B135,E135&lt;&gt;"",F135&lt;&gt;"",F135&lt;&gt;"UNKNOWN",G135&lt;&gt;"",G135&lt;&gt;"UNKNOWN",OR(H135="REMAINING",H135="SUNK",H135="OUTSIDE"),ISNUMBER(I135),I135&gt;=0,OR(AND(I135&gt;0,Q135="KNOWN"),AND(I135=0,Q135="ZERO_CONFIRMED")),J135&lt;&gt;"",K135&lt;&gt;"",OR(AND(V135="KAC",COUNTIF(06_КАЦ!$A$4:$A$203,K135)=1,IFERROR(INDEX(06_КАЦ!$V$4:$V$203,MATCH(K135,06_КАЦ!$A$4:$A$203,0)),"")="SELECTED_READY",IFERROR(INDEX(06_КАЦ!$D$4:$D$203,MATCH(K135,06_КАЦ!$A$4:$A$203,0)),"")=C135,IFERROR(INDEX(06_КАЦ!$F$4:$F$203,MATCH(K135,06_КАЦ!$A$4:$A$203,0)),"")=J135),AND(V135="DIRECT",COUNTIF(06а_Оценки!$A$4:$A$203,K135)=1,IFERROR(INDEX(06а_Оценки!$N$4:$N$203,MATCH(K135,06а_Оценки!$A$4:$A$203,0)),"")="READY",IFERROR(INDEX(06а_Оценки!$B$4:$B$203,MATCH(K135,06а_Оценки!$A$4:$A$203,0)),"")=C135,IFERROR(INDEX(06а_Оценки!$E$4:$E$203,MATCH(K135,06а_Оценки!$A$4:$A$203,0)),"")=J135)),O135&lt;&gt;"",COUNTIF(13_Источники!$A$4:$A$203,O135)=1,P135&lt;&gt;"",R135&lt;&gt;""),"READY","INCOMPLETE / LINK")))</f>
        <v/>
      </c>
      <c r="O135" s="4"/>
      <c r="P135" s="4"/>
      <c r="Q135" s="4"/>
      <c r="R135" s="4"/>
      <c r="S135" s="4"/>
      <c r="T135" s="4"/>
      <c r="U135" s="4"/>
      <c r="V135" s="4"/>
    </row>
    <row r="136" customFormat="false" ht="15" hidden="false" customHeight="false" outlineLevel="0" collapsed="false">
      <c r="A136" s="4"/>
      <c r="B136" s="4"/>
      <c r="C136" s="4"/>
      <c r="D136" s="6"/>
      <c r="E136" s="4"/>
      <c r="F136" s="4"/>
      <c r="G136" s="4"/>
      <c r="H136" s="4"/>
      <c r="I136" s="4"/>
      <c r="J136" s="4"/>
      <c r="K136" s="4"/>
      <c r="L136" s="7" t="str">
        <f aca="false">IF(N136="READY",IF(V136="KAC",IFERROR(INDEX(06_КАЦ!$R$4:$R$203,MATCH(K136,06_КАЦ!$A$4:$A$203,0)),""),IFERROR(INDEX(06а_Оценки!$F$4:$F$203,MATCH(K136,06а_Оценки!$A$4:$A$203,0)),"")),"")</f>
        <v/>
      </c>
      <c r="M136" s="7" t="str">
        <f aca="false">IF(N136="READY",ROUND(I136*L136,2),"")</f>
        <v/>
      </c>
      <c r="N136" s="5" t="str">
        <f aca="false">IF(A136="","",IF(Q136="NOT_APPLICABLE",IF(AND(COUNTIF(A$4:A$203,A136)=1,H136="OUTSIDE",R136&lt;&gt;"",O136&lt;&gt;"",COUNTIF(13_Источники!$A$4:$A$203,O136)=1),"NOT_APPLICABLE","INCOMPLETE / EXCLUSION"),IF(AND(COUNTIF(A$4:A$203,A136)=1,COUNTIF(02_WBS!$A$4:$A$200,B136)=1,C136&lt;&gt;"",COUNTIF(03_Пакеты!$A$4:$A$203,C136)=1,IFERROR(INDEX(03_Пакеты!$B$4:$B$203,MATCH(C136,03_Пакеты!$A$4:$A$203,0)),"")=B136,E136&lt;&gt;"",F136&lt;&gt;"",F136&lt;&gt;"UNKNOWN",G136&lt;&gt;"",G136&lt;&gt;"UNKNOWN",OR(H136="REMAINING",H136="SUNK",H136="OUTSIDE"),ISNUMBER(I136),I136&gt;=0,OR(AND(I136&gt;0,Q136="KNOWN"),AND(I136=0,Q136="ZERO_CONFIRMED")),J136&lt;&gt;"",K136&lt;&gt;"",OR(AND(V136="KAC",COUNTIF(06_КАЦ!$A$4:$A$203,K136)=1,IFERROR(INDEX(06_КАЦ!$V$4:$V$203,MATCH(K136,06_КАЦ!$A$4:$A$203,0)),"")="SELECTED_READY",IFERROR(INDEX(06_КАЦ!$D$4:$D$203,MATCH(K136,06_КАЦ!$A$4:$A$203,0)),"")=C136,IFERROR(INDEX(06_КАЦ!$F$4:$F$203,MATCH(K136,06_КАЦ!$A$4:$A$203,0)),"")=J136),AND(V136="DIRECT",COUNTIF(06а_Оценки!$A$4:$A$203,K136)=1,IFERROR(INDEX(06а_Оценки!$N$4:$N$203,MATCH(K136,06а_Оценки!$A$4:$A$203,0)),"")="READY",IFERROR(INDEX(06а_Оценки!$B$4:$B$203,MATCH(K136,06а_Оценки!$A$4:$A$203,0)),"")=C136,IFERROR(INDEX(06а_Оценки!$E$4:$E$203,MATCH(K136,06а_Оценки!$A$4:$A$203,0)),"")=J136)),O136&lt;&gt;"",COUNTIF(13_Источники!$A$4:$A$203,O136)=1,P136&lt;&gt;"",R136&lt;&gt;""),"READY","INCOMPLETE / LINK")))</f>
        <v/>
      </c>
      <c r="O136" s="4"/>
      <c r="P136" s="4"/>
      <c r="Q136" s="4"/>
      <c r="R136" s="4"/>
      <c r="S136" s="4"/>
      <c r="T136" s="4"/>
      <c r="U136" s="4"/>
      <c r="V136" s="4"/>
    </row>
    <row r="137" customFormat="false" ht="15" hidden="false" customHeight="false" outlineLevel="0" collapsed="false">
      <c r="A137" s="4"/>
      <c r="B137" s="4"/>
      <c r="C137" s="4"/>
      <c r="D137" s="6"/>
      <c r="E137" s="4"/>
      <c r="F137" s="4"/>
      <c r="G137" s="4"/>
      <c r="H137" s="4"/>
      <c r="I137" s="4"/>
      <c r="J137" s="4"/>
      <c r="K137" s="4"/>
      <c r="L137" s="7" t="str">
        <f aca="false">IF(N137="READY",IF(V137="KAC",IFERROR(INDEX(06_КАЦ!$R$4:$R$203,MATCH(K137,06_КАЦ!$A$4:$A$203,0)),""),IFERROR(INDEX(06а_Оценки!$F$4:$F$203,MATCH(K137,06а_Оценки!$A$4:$A$203,0)),"")),"")</f>
        <v/>
      </c>
      <c r="M137" s="7" t="str">
        <f aca="false">IF(N137="READY",ROUND(I137*L137,2),"")</f>
        <v/>
      </c>
      <c r="N137" s="5" t="str">
        <f aca="false">IF(A137="","",IF(Q137="NOT_APPLICABLE",IF(AND(COUNTIF(A$4:A$203,A137)=1,H137="OUTSIDE",R137&lt;&gt;"",O137&lt;&gt;"",COUNTIF(13_Источники!$A$4:$A$203,O137)=1),"NOT_APPLICABLE","INCOMPLETE / EXCLUSION"),IF(AND(COUNTIF(A$4:A$203,A137)=1,COUNTIF(02_WBS!$A$4:$A$200,B137)=1,C137&lt;&gt;"",COUNTIF(03_Пакеты!$A$4:$A$203,C137)=1,IFERROR(INDEX(03_Пакеты!$B$4:$B$203,MATCH(C137,03_Пакеты!$A$4:$A$203,0)),"")=B137,E137&lt;&gt;"",F137&lt;&gt;"",F137&lt;&gt;"UNKNOWN",G137&lt;&gt;"",G137&lt;&gt;"UNKNOWN",OR(H137="REMAINING",H137="SUNK",H137="OUTSIDE"),ISNUMBER(I137),I137&gt;=0,OR(AND(I137&gt;0,Q137="KNOWN"),AND(I137=0,Q137="ZERO_CONFIRMED")),J137&lt;&gt;"",K137&lt;&gt;"",OR(AND(V137="KAC",COUNTIF(06_КАЦ!$A$4:$A$203,K137)=1,IFERROR(INDEX(06_КАЦ!$V$4:$V$203,MATCH(K137,06_КАЦ!$A$4:$A$203,0)),"")="SELECTED_READY",IFERROR(INDEX(06_КАЦ!$D$4:$D$203,MATCH(K137,06_КАЦ!$A$4:$A$203,0)),"")=C137,IFERROR(INDEX(06_КАЦ!$F$4:$F$203,MATCH(K137,06_КАЦ!$A$4:$A$203,0)),"")=J137),AND(V137="DIRECT",COUNTIF(06а_Оценки!$A$4:$A$203,K137)=1,IFERROR(INDEX(06а_Оценки!$N$4:$N$203,MATCH(K137,06а_Оценки!$A$4:$A$203,0)),"")="READY",IFERROR(INDEX(06а_Оценки!$B$4:$B$203,MATCH(K137,06а_Оценки!$A$4:$A$203,0)),"")=C137,IFERROR(INDEX(06а_Оценки!$E$4:$E$203,MATCH(K137,06а_Оценки!$A$4:$A$203,0)),"")=J137)),O137&lt;&gt;"",COUNTIF(13_Источники!$A$4:$A$203,O137)=1,P137&lt;&gt;"",R137&lt;&gt;""),"READY","INCOMPLETE / LINK")))</f>
        <v/>
      </c>
      <c r="O137" s="4"/>
      <c r="P137" s="4"/>
      <c r="Q137" s="4"/>
      <c r="R137" s="4"/>
      <c r="S137" s="4"/>
      <c r="T137" s="4"/>
      <c r="U137" s="4"/>
      <c r="V137" s="4"/>
    </row>
    <row r="138" customFormat="false" ht="15" hidden="false" customHeight="false" outlineLevel="0" collapsed="false">
      <c r="A138" s="4"/>
      <c r="B138" s="4"/>
      <c r="C138" s="4"/>
      <c r="D138" s="6"/>
      <c r="E138" s="4"/>
      <c r="F138" s="4"/>
      <c r="G138" s="4"/>
      <c r="H138" s="4"/>
      <c r="I138" s="4"/>
      <c r="J138" s="4"/>
      <c r="K138" s="4"/>
      <c r="L138" s="7" t="str">
        <f aca="false">IF(N138="READY",IF(V138="KAC",IFERROR(INDEX(06_КАЦ!$R$4:$R$203,MATCH(K138,06_КАЦ!$A$4:$A$203,0)),""),IFERROR(INDEX(06а_Оценки!$F$4:$F$203,MATCH(K138,06а_Оценки!$A$4:$A$203,0)),"")),"")</f>
        <v/>
      </c>
      <c r="M138" s="7" t="str">
        <f aca="false">IF(N138="READY",ROUND(I138*L138,2),"")</f>
        <v/>
      </c>
      <c r="N138" s="5" t="str">
        <f aca="false">IF(A138="","",IF(Q138="NOT_APPLICABLE",IF(AND(COUNTIF(A$4:A$203,A138)=1,H138="OUTSIDE",R138&lt;&gt;"",O138&lt;&gt;"",COUNTIF(13_Источники!$A$4:$A$203,O138)=1),"NOT_APPLICABLE","INCOMPLETE / EXCLUSION"),IF(AND(COUNTIF(A$4:A$203,A138)=1,COUNTIF(02_WBS!$A$4:$A$200,B138)=1,C138&lt;&gt;"",COUNTIF(03_Пакеты!$A$4:$A$203,C138)=1,IFERROR(INDEX(03_Пакеты!$B$4:$B$203,MATCH(C138,03_Пакеты!$A$4:$A$203,0)),"")=B138,E138&lt;&gt;"",F138&lt;&gt;"",F138&lt;&gt;"UNKNOWN",G138&lt;&gt;"",G138&lt;&gt;"UNKNOWN",OR(H138="REMAINING",H138="SUNK",H138="OUTSIDE"),ISNUMBER(I138),I138&gt;=0,OR(AND(I138&gt;0,Q138="KNOWN"),AND(I138=0,Q138="ZERO_CONFIRMED")),J138&lt;&gt;"",K138&lt;&gt;"",OR(AND(V138="KAC",COUNTIF(06_КАЦ!$A$4:$A$203,K138)=1,IFERROR(INDEX(06_КАЦ!$V$4:$V$203,MATCH(K138,06_КАЦ!$A$4:$A$203,0)),"")="SELECTED_READY",IFERROR(INDEX(06_КАЦ!$D$4:$D$203,MATCH(K138,06_КАЦ!$A$4:$A$203,0)),"")=C138,IFERROR(INDEX(06_КАЦ!$F$4:$F$203,MATCH(K138,06_КАЦ!$A$4:$A$203,0)),"")=J138),AND(V138="DIRECT",COUNTIF(06а_Оценки!$A$4:$A$203,K138)=1,IFERROR(INDEX(06а_Оценки!$N$4:$N$203,MATCH(K138,06а_Оценки!$A$4:$A$203,0)),"")="READY",IFERROR(INDEX(06а_Оценки!$B$4:$B$203,MATCH(K138,06а_Оценки!$A$4:$A$203,0)),"")=C138,IFERROR(INDEX(06а_Оценки!$E$4:$E$203,MATCH(K138,06а_Оценки!$A$4:$A$203,0)),"")=J138)),O138&lt;&gt;"",COUNTIF(13_Источники!$A$4:$A$203,O138)=1,P138&lt;&gt;"",R138&lt;&gt;""),"READY","INCOMPLETE / LINK")))</f>
        <v/>
      </c>
      <c r="O138" s="4"/>
      <c r="P138" s="4"/>
      <c r="Q138" s="4"/>
      <c r="R138" s="4"/>
      <c r="S138" s="4"/>
      <c r="T138" s="4"/>
      <c r="U138" s="4"/>
      <c r="V138" s="4"/>
    </row>
    <row r="139" customFormat="false" ht="15" hidden="false" customHeight="false" outlineLevel="0" collapsed="false">
      <c r="A139" s="4"/>
      <c r="B139" s="4"/>
      <c r="C139" s="4"/>
      <c r="D139" s="6"/>
      <c r="E139" s="4"/>
      <c r="F139" s="4"/>
      <c r="G139" s="4"/>
      <c r="H139" s="4"/>
      <c r="I139" s="4"/>
      <c r="J139" s="4"/>
      <c r="K139" s="4"/>
      <c r="L139" s="7" t="str">
        <f aca="false">IF(N139="READY",IF(V139="KAC",IFERROR(INDEX(06_КАЦ!$R$4:$R$203,MATCH(K139,06_КАЦ!$A$4:$A$203,0)),""),IFERROR(INDEX(06а_Оценки!$F$4:$F$203,MATCH(K139,06а_Оценки!$A$4:$A$203,0)),"")),"")</f>
        <v/>
      </c>
      <c r="M139" s="7" t="str">
        <f aca="false">IF(N139="READY",ROUND(I139*L139,2),"")</f>
        <v/>
      </c>
      <c r="N139" s="5" t="str">
        <f aca="false">IF(A139="","",IF(Q139="NOT_APPLICABLE",IF(AND(COUNTIF(A$4:A$203,A139)=1,H139="OUTSIDE",R139&lt;&gt;"",O139&lt;&gt;"",COUNTIF(13_Источники!$A$4:$A$203,O139)=1),"NOT_APPLICABLE","INCOMPLETE / EXCLUSION"),IF(AND(COUNTIF(A$4:A$203,A139)=1,COUNTIF(02_WBS!$A$4:$A$200,B139)=1,C139&lt;&gt;"",COUNTIF(03_Пакеты!$A$4:$A$203,C139)=1,IFERROR(INDEX(03_Пакеты!$B$4:$B$203,MATCH(C139,03_Пакеты!$A$4:$A$203,0)),"")=B139,E139&lt;&gt;"",F139&lt;&gt;"",F139&lt;&gt;"UNKNOWN",G139&lt;&gt;"",G139&lt;&gt;"UNKNOWN",OR(H139="REMAINING",H139="SUNK",H139="OUTSIDE"),ISNUMBER(I139),I139&gt;=0,OR(AND(I139&gt;0,Q139="KNOWN"),AND(I139=0,Q139="ZERO_CONFIRMED")),J139&lt;&gt;"",K139&lt;&gt;"",OR(AND(V139="KAC",COUNTIF(06_КАЦ!$A$4:$A$203,K139)=1,IFERROR(INDEX(06_КАЦ!$V$4:$V$203,MATCH(K139,06_КАЦ!$A$4:$A$203,0)),"")="SELECTED_READY",IFERROR(INDEX(06_КАЦ!$D$4:$D$203,MATCH(K139,06_КАЦ!$A$4:$A$203,0)),"")=C139,IFERROR(INDEX(06_КАЦ!$F$4:$F$203,MATCH(K139,06_КАЦ!$A$4:$A$203,0)),"")=J139),AND(V139="DIRECT",COUNTIF(06а_Оценки!$A$4:$A$203,K139)=1,IFERROR(INDEX(06а_Оценки!$N$4:$N$203,MATCH(K139,06а_Оценки!$A$4:$A$203,0)),"")="READY",IFERROR(INDEX(06а_Оценки!$B$4:$B$203,MATCH(K139,06а_Оценки!$A$4:$A$203,0)),"")=C139,IFERROR(INDEX(06а_Оценки!$E$4:$E$203,MATCH(K139,06а_Оценки!$A$4:$A$203,0)),"")=J139)),O139&lt;&gt;"",COUNTIF(13_Источники!$A$4:$A$203,O139)=1,P139&lt;&gt;"",R139&lt;&gt;""),"READY","INCOMPLETE / LINK")))</f>
        <v/>
      </c>
      <c r="O139" s="4"/>
      <c r="P139" s="4"/>
      <c r="Q139" s="4"/>
      <c r="R139" s="4"/>
      <c r="S139" s="4"/>
      <c r="T139" s="4"/>
      <c r="U139" s="4"/>
      <c r="V139" s="4"/>
    </row>
    <row r="140" customFormat="false" ht="15" hidden="false" customHeight="false" outlineLevel="0" collapsed="false">
      <c r="A140" s="4"/>
      <c r="B140" s="4"/>
      <c r="C140" s="4"/>
      <c r="D140" s="6"/>
      <c r="E140" s="4"/>
      <c r="F140" s="4"/>
      <c r="G140" s="4"/>
      <c r="H140" s="4"/>
      <c r="I140" s="4"/>
      <c r="J140" s="4"/>
      <c r="K140" s="4"/>
      <c r="L140" s="7" t="str">
        <f aca="false">IF(N140="READY",IF(V140="KAC",IFERROR(INDEX(06_КАЦ!$R$4:$R$203,MATCH(K140,06_КАЦ!$A$4:$A$203,0)),""),IFERROR(INDEX(06а_Оценки!$F$4:$F$203,MATCH(K140,06а_Оценки!$A$4:$A$203,0)),"")),"")</f>
        <v/>
      </c>
      <c r="M140" s="7" t="str">
        <f aca="false">IF(N140="READY",ROUND(I140*L140,2),"")</f>
        <v/>
      </c>
      <c r="N140" s="5" t="str">
        <f aca="false">IF(A140="","",IF(Q140="NOT_APPLICABLE",IF(AND(COUNTIF(A$4:A$203,A140)=1,H140="OUTSIDE",R140&lt;&gt;"",O140&lt;&gt;"",COUNTIF(13_Источники!$A$4:$A$203,O140)=1),"NOT_APPLICABLE","INCOMPLETE / EXCLUSION"),IF(AND(COUNTIF(A$4:A$203,A140)=1,COUNTIF(02_WBS!$A$4:$A$200,B140)=1,C140&lt;&gt;"",COUNTIF(03_Пакеты!$A$4:$A$203,C140)=1,IFERROR(INDEX(03_Пакеты!$B$4:$B$203,MATCH(C140,03_Пакеты!$A$4:$A$203,0)),"")=B140,E140&lt;&gt;"",F140&lt;&gt;"",F140&lt;&gt;"UNKNOWN",G140&lt;&gt;"",G140&lt;&gt;"UNKNOWN",OR(H140="REMAINING",H140="SUNK",H140="OUTSIDE"),ISNUMBER(I140),I140&gt;=0,OR(AND(I140&gt;0,Q140="KNOWN"),AND(I140=0,Q140="ZERO_CONFIRMED")),J140&lt;&gt;"",K140&lt;&gt;"",OR(AND(V140="KAC",COUNTIF(06_КАЦ!$A$4:$A$203,K140)=1,IFERROR(INDEX(06_КАЦ!$V$4:$V$203,MATCH(K140,06_КАЦ!$A$4:$A$203,0)),"")="SELECTED_READY",IFERROR(INDEX(06_КАЦ!$D$4:$D$203,MATCH(K140,06_КАЦ!$A$4:$A$203,0)),"")=C140,IFERROR(INDEX(06_КАЦ!$F$4:$F$203,MATCH(K140,06_КАЦ!$A$4:$A$203,0)),"")=J140),AND(V140="DIRECT",COUNTIF(06а_Оценки!$A$4:$A$203,K140)=1,IFERROR(INDEX(06а_Оценки!$N$4:$N$203,MATCH(K140,06а_Оценки!$A$4:$A$203,0)),"")="READY",IFERROR(INDEX(06а_Оценки!$B$4:$B$203,MATCH(K140,06а_Оценки!$A$4:$A$203,0)),"")=C140,IFERROR(INDEX(06а_Оценки!$E$4:$E$203,MATCH(K140,06а_Оценки!$A$4:$A$203,0)),"")=J140)),O140&lt;&gt;"",COUNTIF(13_Источники!$A$4:$A$203,O140)=1,P140&lt;&gt;"",R140&lt;&gt;""),"READY","INCOMPLETE / LINK")))</f>
        <v/>
      </c>
      <c r="O140" s="4"/>
      <c r="P140" s="4"/>
      <c r="Q140" s="4"/>
      <c r="R140" s="4"/>
      <c r="S140" s="4"/>
      <c r="T140" s="4"/>
      <c r="U140" s="4"/>
      <c r="V140" s="4"/>
    </row>
    <row r="141" customFormat="false" ht="15" hidden="false" customHeight="false" outlineLevel="0" collapsed="false">
      <c r="A141" s="4"/>
      <c r="B141" s="4"/>
      <c r="C141" s="4"/>
      <c r="D141" s="6"/>
      <c r="E141" s="4"/>
      <c r="F141" s="4"/>
      <c r="G141" s="4"/>
      <c r="H141" s="4"/>
      <c r="I141" s="4"/>
      <c r="J141" s="4"/>
      <c r="K141" s="4"/>
      <c r="L141" s="7" t="str">
        <f aca="false">IF(N141="READY",IF(V141="KAC",IFERROR(INDEX(06_КАЦ!$R$4:$R$203,MATCH(K141,06_КАЦ!$A$4:$A$203,0)),""),IFERROR(INDEX(06а_Оценки!$F$4:$F$203,MATCH(K141,06а_Оценки!$A$4:$A$203,0)),"")),"")</f>
        <v/>
      </c>
      <c r="M141" s="7" t="str">
        <f aca="false">IF(N141="READY",ROUND(I141*L141,2),"")</f>
        <v/>
      </c>
      <c r="N141" s="5" t="str">
        <f aca="false">IF(A141="","",IF(Q141="NOT_APPLICABLE",IF(AND(COUNTIF(A$4:A$203,A141)=1,H141="OUTSIDE",R141&lt;&gt;"",O141&lt;&gt;"",COUNTIF(13_Источники!$A$4:$A$203,O141)=1),"NOT_APPLICABLE","INCOMPLETE / EXCLUSION"),IF(AND(COUNTIF(A$4:A$203,A141)=1,COUNTIF(02_WBS!$A$4:$A$200,B141)=1,C141&lt;&gt;"",COUNTIF(03_Пакеты!$A$4:$A$203,C141)=1,IFERROR(INDEX(03_Пакеты!$B$4:$B$203,MATCH(C141,03_Пакеты!$A$4:$A$203,0)),"")=B141,E141&lt;&gt;"",F141&lt;&gt;"",F141&lt;&gt;"UNKNOWN",G141&lt;&gt;"",G141&lt;&gt;"UNKNOWN",OR(H141="REMAINING",H141="SUNK",H141="OUTSIDE"),ISNUMBER(I141),I141&gt;=0,OR(AND(I141&gt;0,Q141="KNOWN"),AND(I141=0,Q141="ZERO_CONFIRMED")),J141&lt;&gt;"",K141&lt;&gt;"",OR(AND(V141="KAC",COUNTIF(06_КАЦ!$A$4:$A$203,K141)=1,IFERROR(INDEX(06_КАЦ!$V$4:$V$203,MATCH(K141,06_КАЦ!$A$4:$A$203,0)),"")="SELECTED_READY",IFERROR(INDEX(06_КАЦ!$D$4:$D$203,MATCH(K141,06_КАЦ!$A$4:$A$203,0)),"")=C141,IFERROR(INDEX(06_КАЦ!$F$4:$F$203,MATCH(K141,06_КАЦ!$A$4:$A$203,0)),"")=J141),AND(V141="DIRECT",COUNTIF(06а_Оценки!$A$4:$A$203,K141)=1,IFERROR(INDEX(06а_Оценки!$N$4:$N$203,MATCH(K141,06а_Оценки!$A$4:$A$203,0)),"")="READY",IFERROR(INDEX(06а_Оценки!$B$4:$B$203,MATCH(K141,06а_Оценки!$A$4:$A$203,0)),"")=C141,IFERROR(INDEX(06а_Оценки!$E$4:$E$203,MATCH(K141,06а_Оценки!$A$4:$A$203,0)),"")=J141)),O141&lt;&gt;"",COUNTIF(13_Источники!$A$4:$A$203,O141)=1,P141&lt;&gt;"",R141&lt;&gt;""),"READY","INCOMPLETE / LINK")))</f>
        <v/>
      </c>
      <c r="O141" s="4"/>
      <c r="P141" s="4"/>
      <c r="Q141" s="4"/>
      <c r="R141" s="4"/>
      <c r="S141" s="4"/>
      <c r="T141" s="4"/>
      <c r="U141" s="4"/>
      <c r="V141" s="4"/>
    </row>
    <row r="142" customFormat="false" ht="15" hidden="false" customHeight="false" outlineLevel="0" collapsed="false">
      <c r="A142" s="4"/>
      <c r="B142" s="4"/>
      <c r="C142" s="4"/>
      <c r="D142" s="6"/>
      <c r="E142" s="4"/>
      <c r="F142" s="4"/>
      <c r="G142" s="4"/>
      <c r="H142" s="4"/>
      <c r="I142" s="4"/>
      <c r="J142" s="4"/>
      <c r="K142" s="4"/>
      <c r="L142" s="7" t="str">
        <f aca="false">IF(N142="READY",IF(V142="KAC",IFERROR(INDEX(06_КАЦ!$R$4:$R$203,MATCH(K142,06_КАЦ!$A$4:$A$203,0)),""),IFERROR(INDEX(06а_Оценки!$F$4:$F$203,MATCH(K142,06а_Оценки!$A$4:$A$203,0)),"")),"")</f>
        <v/>
      </c>
      <c r="M142" s="7" t="str">
        <f aca="false">IF(N142="READY",ROUND(I142*L142,2),"")</f>
        <v/>
      </c>
      <c r="N142" s="5" t="str">
        <f aca="false">IF(A142="","",IF(Q142="NOT_APPLICABLE",IF(AND(COUNTIF(A$4:A$203,A142)=1,H142="OUTSIDE",R142&lt;&gt;"",O142&lt;&gt;"",COUNTIF(13_Источники!$A$4:$A$203,O142)=1),"NOT_APPLICABLE","INCOMPLETE / EXCLUSION"),IF(AND(COUNTIF(A$4:A$203,A142)=1,COUNTIF(02_WBS!$A$4:$A$200,B142)=1,C142&lt;&gt;"",COUNTIF(03_Пакеты!$A$4:$A$203,C142)=1,IFERROR(INDEX(03_Пакеты!$B$4:$B$203,MATCH(C142,03_Пакеты!$A$4:$A$203,0)),"")=B142,E142&lt;&gt;"",F142&lt;&gt;"",F142&lt;&gt;"UNKNOWN",G142&lt;&gt;"",G142&lt;&gt;"UNKNOWN",OR(H142="REMAINING",H142="SUNK",H142="OUTSIDE"),ISNUMBER(I142),I142&gt;=0,OR(AND(I142&gt;0,Q142="KNOWN"),AND(I142=0,Q142="ZERO_CONFIRMED")),J142&lt;&gt;"",K142&lt;&gt;"",OR(AND(V142="KAC",COUNTIF(06_КАЦ!$A$4:$A$203,K142)=1,IFERROR(INDEX(06_КАЦ!$V$4:$V$203,MATCH(K142,06_КАЦ!$A$4:$A$203,0)),"")="SELECTED_READY",IFERROR(INDEX(06_КАЦ!$D$4:$D$203,MATCH(K142,06_КАЦ!$A$4:$A$203,0)),"")=C142,IFERROR(INDEX(06_КАЦ!$F$4:$F$203,MATCH(K142,06_КАЦ!$A$4:$A$203,0)),"")=J142),AND(V142="DIRECT",COUNTIF(06а_Оценки!$A$4:$A$203,K142)=1,IFERROR(INDEX(06а_Оценки!$N$4:$N$203,MATCH(K142,06а_Оценки!$A$4:$A$203,0)),"")="READY",IFERROR(INDEX(06а_Оценки!$B$4:$B$203,MATCH(K142,06а_Оценки!$A$4:$A$203,0)),"")=C142,IFERROR(INDEX(06а_Оценки!$E$4:$E$203,MATCH(K142,06а_Оценки!$A$4:$A$203,0)),"")=J142)),O142&lt;&gt;"",COUNTIF(13_Источники!$A$4:$A$203,O142)=1,P142&lt;&gt;"",R142&lt;&gt;""),"READY","INCOMPLETE / LINK")))</f>
        <v/>
      </c>
      <c r="O142" s="4"/>
      <c r="P142" s="4"/>
      <c r="Q142" s="4"/>
      <c r="R142" s="4"/>
      <c r="S142" s="4"/>
      <c r="T142" s="4"/>
      <c r="U142" s="4"/>
      <c r="V142" s="4"/>
    </row>
    <row r="143" customFormat="false" ht="15" hidden="false" customHeight="false" outlineLevel="0" collapsed="false">
      <c r="A143" s="4"/>
      <c r="B143" s="4"/>
      <c r="C143" s="4"/>
      <c r="D143" s="6"/>
      <c r="E143" s="4"/>
      <c r="F143" s="4"/>
      <c r="G143" s="4"/>
      <c r="H143" s="4"/>
      <c r="I143" s="4"/>
      <c r="J143" s="4"/>
      <c r="K143" s="4"/>
      <c r="L143" s="7" t="str">
        <f aca="false">IF(N143="READY",IF(V143="KAC",IFERROR(INDEX(06_КАЦ!$R$4:$R$203,MATCH(K143,06_КАЦ!$A$4:$A$203,0)),""),IFERROR(INDEX(06а_Оценки!$F$4:$F$203,MATCH(K143,06а_Оценки!$A$4:$A$203,0)),"")),"")</f>
        <v/>
      </c>
      <c r="M143" s="7" t="str">
        <f aca="false">IF(N143="READY",ROUND(I143*L143,2),"")</f>
        <v/>
      </c>
      <c r="N143" s="5" t="str">
        <f aca="false">IF(A143="","",IF(Q143="NOT_APPLICABLE",IF(AND(COUNTIF(A$4:A$203,A143)=1,H143="OUTSIDE",R143&lt;&gt;"",O143&lt;&gt;"",COUNTIF(13_Источники!$A$4:$A$203,O143)=1),"NOT_APPLICABLE","INCOMPLETE / EXCLUSION"),IF(AND(COUNTIF(A$4:A$203,A143)=1,COUNTIF(02_WBS!$A$4:$A$200,B143)=1,C143&lt;&gt;"",COUNTIF(03_Пакеты!$A$4:$A$203,C143)=1,IFERROR(INDEX(03_Пакеты!$B$4:$B$203,MATCH(C143,03_Пакеты!$A$4:$A$203,0)),"")=B143,E143&lt;&gt;"",F143&lt;&gt;"",F143&lt;&gt;"UNKNOWN",G143&lt;&gt;"",G143&lt;&gt;"UNKNOWN",OR(H143="REMAINING",H143="SUNK",H143="OUTSIDE"),ISNUMBER(I143),I143&gt;=0,OR(AND(I143&gt;0,Q143="KNOWN"),AND(I143=0,Q143="ZERO_CONFIRMED")),J143&lt;&gt;"",K143&lt;&gt;"",OR(AND(V143="KAC",COUNTIF(06_КАЦ!$A$4:$A$203,K143)=1,IFERROR(INDEX(06_КАЦ!$V$4:$V$203,MATCH(K143,06_КАЦ!$A$4:$A$203,0)),"")="SELECTED_READY",IFERROR(INDEX(06_КАЦ!$D$4:$D$203,MATCH(K143,06_КАЦ!$A$4:$A$203,0)),"")=C143,IFERROR(INDEX(06_КАЦ!$F$4:$F$203,MATCH(K143,06_КАЦ!$A$4:$A$203,0)),"")=J143),AND(V143="DIRECT",COUNTIF(06а_Оценки!$A$4:$A$203,K143)=1,IFERROR(INDEX(06а_Оценки!$N$4:$N$203,MATCH(K143,06а_Оценки!$A$4:$A$203,0)),"")="READY",IFERROR(INDEX(06а_Оценки!$B$4:$B$203,MATCH(K143,06а_Оценки!$A$4:$A$203,0)),"")=C143,IFERROR(INDEX(06а_Оценки!$E$4:$E$203,MATCH(K143,06а_Оценки!$A$4:$A$203,0)),"")=J143)),O143&lt;&gt;"",COUNTIF(13_Источники!$A$4:$A$203,O143)=1,P143&lt;&gt;"",R143&lt;&gt;""),"READY","INCOMPLETE / LINK")))</f>
        <v/>
      </c>
      <c r="O143" s="4"/>
      <c r="P143" s="4"/>
      <c r="Q143" s="4"/>
      <c r="R143" s="4"/>
      <c r="S143" s="4"/>
      <c r="T143" s="4"/>
      <c r="U143" s="4"/>
      <c r="V143" s="4"/>
    </row>
    <row r="144" customFormat="false" ht="15" hidden="false" customHeight="false" outlineLevel="0" collapsed="false">
      <c r="A144" s="4"/>
      <c r="B144" s="4"/>
      <c r="C144" s="4"/>
      <c r="D144" s="6"/>
      <c r="E144" s="4"/>
      <c r="F144" s="4"/>
      <c r="G144" s="4"/>
      <c r="H144" s="4"/>
      <c r="I144" s="4"/>
      <c r="J144" s="4"/>
      <c r="K144" s="4"/>
      <c r="L144" s="7" t="str">
        <f aca="false">IF(N144="READY",IF(V144="KAC",IFERROR(INDEX(06_КАЦ!$R$4:$R$203,MATCH(K144,06_КАЦ!$A$4:$A$203,0)),""),IFERROR(INDEX(06а_Оценки!$F$4:$F$203,MATCH(K144,06а_Оценки!$A$4:$A$203,0)),"")),"")</f>
        <v/>
      </c>
      <c r="M144" s="7" t="str">
        <f aca="false">IF(N144="READY",ROUND(I144*L144,2),"")</f>
        <v/>
      </c>
      <c r="N144" s="5" t="str">
        <f aca="false">IF(A144="","",IF(Q144="NOT_APPLICABLE",IF(AND(COUNTIF(A$4:A$203,A144)=1,H144="OUTSIDE",R144&lt;&gt;"",O144&lt;&gt;"",COUNTIF(13_Источники!$A$4:$A$203,O144)=1),"NOT_APPLICABLE","INCOMPLETE / EXCLUSION"),IF(AND(COUNTIF(A$4:A$203,A144)=1,COUNTIF(02_WBS!$A$4:$A$200,B144)=1,C144&lt;&gt;"",COUNTIF(03_Пакеты!$A$4:$A$203,C144)=1,IFERROR(INDEX(03_Пакеты!$B$4:$B$203,MATCH(C144,03_Пакеты!$A$4:$A$203,0)),"")=B144,E144&lt;&gt;"",F144&lt;&gt;"",F144&lt;&gt;"UNKNOWN",G144&lt;&gt;"",G144&lt;&gt;"UNKNOWN",OR(H144="REMAINING",H144="SUNK",H144="OUTSIDE"),ISNUMBER(I144),I144&gt;=0,OR(AND(I144&gt;0,Q144="KNOWN"),AND(I144=0,Q144="ZERO_CONFIRMED")),J144&lt;&gt;"",K144&lt;&gt;"",OR(AND(V144="KAC",COUNTIF(06_КАЦ!$A$4:$A$203,K144)=1,IFERROR(INDEX(06_КАЦ!$V$4:$V$203,MATCH(K144,06_КАЦ!$A$4:$A$203,0)),"")="SELECTED_READY",IFERROR(INDEX(06_КАЦ!$D$4:$D$203,MATCH(K144,06_КАЦ!$A$4:$A$203,0)),"")=C144,IFERROR(INDEX(06_КАЦ!$F$4:$F$203,MATCH(K144,06_КАЦ!$A$4:$A$203,0)),"")=J144),AND(V144="DIRECT",COUNTIF(06а_Оценки!$A$4:$A$203,K144)=1,IFERROR(INDEX(06а_Оценки!$N$4:$N$203,MATCH(K144,06а_Оценки!$A$4:$A$203,0)),"")="READY",IFERROR(INDEX(06а_Оценки!$B$4:$B$203,MATCH(K144,06а_Оценки!$A$4:$A$203,0)),"")=C144,IFERROR(INDEX(06а_Оценки!$E$4:$E$203,MATCH(K144,06а_Оценки!$A$4:$A$203,0)),"")=J144)),O144&lt;&gt;"",COUNTIF(13_Источники!$A$4:$A$203,O144)=1,P144&lt;&gt;"",R144&lt;&gt;""),"READY","INCOMPLETE / LINK")))</f>
        <v/>
      </c>
      <c r="O144" s="4"/>
      <c r="P144" s="4"/>
      <c r="Q144" s="4"/>
      <c r="R144" s="4"/>
      <c r="S144" s="4"/>
      <c r="T144" s="4"/>
      <c r="U144" s="4"/>
      <c r="V144" s="4"/>
    </row>
    <row r="145" customFormat="false" ht="15" hidden="false" customHeight="false" outlineLevel="0" collapsed="false">
      <c r="A145" s="4"/>
      <c r="B145" s="4"/>
      <c r="C145" s="4"/>
      <c r="D145" s="6"/>
      <c r="E145" s="4"/>
      <c r="F145" s="4"/>
      <c r="G145" s="4"/>
      <c r="H145" s="4"/>
      <c r="I145" s="4"/>
      <c r="J145" s="4"/>
      <c r="K145" s="4"/>
      <c r="L145" s="7" t="str">
        <f aca="false">IF(N145="READY",IF(V145="KAC",IFERROR(INDEX(06_КАЦ!$R$4:$R$203,MATCH(K145,06_КАЦ!$A$4:$A$203,0)),""),IFERROR(INDEX(06а_Оценки!$F$4:$F$203,MATCH(K145,06а_Оценки!$A$4:$A$203,0)),"")),"")</f>
        <v/>
      </c>
      <c r="M145" s="7" t="str">
        <f aca="false">IF(N145="READY",ROUND(I145*L145,2),"")</f>
        <v/>
      </c>
      <c r="N145" s="5" t="str">
        <f aca="false">IF(A145="","",IF(Q145="NOT_APPLICABLE",IF(AND(COUNTIF(A$4:A$203,A145)=1,H145="OUTSIDE",R145&lt;&gt;"",O145&lt;&gt;"",COUNTIF(13_Источники!$A$4:$A$203,O145)=1),"NOT_APPLICABLE","INCOMPLETE / EXCLUSION"),IF(AND(COUNTIF(A$4:A$203,A145)=1,COUNTIF(02_WBS!$A$4:$A$200,B145)=1,C145&lt;&gt;"",COUNTIF(03_Пакеты!$A$4:$A$203,C145)=1,IFERROR(INDEX(03_Пакеты!$B$4:$B$203,MATCH(C145,03_Пакеты!$A$4:$A$203,0)),"")=B145,E145&lt;&gt;"",F145&lt;&gt;"",F145&lt;&gt;"UNKNOWN",G145&lt;&gt;"",G145&lt;&gt;"UNKNOWN",OR(H145="REMAINING",H145="SUNK",H145="OUTSIDE"),ISNUMBER(I145),I145&gt;=0,OR(AND(I145&gt;0,Q145="KNOWN"),AND(I145=0,Q145="ZERO_CONFIRMED")),J145&lt;&gt;"",K145&lt;&gt;"",OR(AND(V145="KAC",COUNTIF(06_КАЦ!$A$4:$A$203,K145)=1,IFERROR(INDEX(06_КАЦ!$V$4:$V$203,MATCH(K145,06_КАЦ!$A$4:$A$203,0)),"")="SELECTED_READY",IFERROR(INDEX(06_КАЦ!$D$4:$D$203,MATCH(K145,06_КАЦ!$A$4:$A$203,0)),"")=C145,IFERROR(INDEX(06_КАЦ!$F$4:$F$203,MATCH(K145,06_КАЦ!$A$4:$A$203,0)),"")=J145),AND(V145="DIRECT",COUNTIF(06а_Оценки!$A$4:$A$203,K145)=1,IFERROR(INDEX(06а_Оценки!$N$4:$N$203,MATCH(K145,06а_Оценки!$A$4:$A$203,0)),"")="READY",IFERROR(INDEX(06а_Оценки!$B$4:$B$203,MATCH(K145,06а_Оценки!$A$4:$A$203,0)),"")=C145,IFERROR(INDEX(06а_Оценки!$E$4:$E$203,MATCH(K145,06а_Оценки!$A$4:$A$203,0)),"")=J145)),O145&lt;&gt;"",COUNTIF(13_Источники!$A$4:$A$203,O145)=1,P145&lt;&gt;"",R145&lt;&gt;""),"READY","INCOMPLETE / LINK")))</f>
        <v/>
      </c>
      <c r="O145" s="4"/>
      <c r="P145" s="4"/>
      <c r="Q145" s="4"/>
      <c r="R145" s="4"/>
      <c r="S145" s="4"/>
      <c r="T145" s="4"/>
      <c r="U145" s="4"/>
      <c r="V145" s="4"/>
    </row>
    <row r="146" customFormat="false" ht="15" hidden="false" customHeight="false" outlineLevel="0" collapsed="false">
      <c r="A146" s="4"/>
      <c r="B146" s="4"/>
      <c r="C146" s="4"/>
      <c r="D146" s="6"/>
      <c r="E146" s="4"/>
      <c r="F146" s="4"/>
      <c r="G146" s="4"/>
      <c r="H146" s="4"/>
      <c r="I146" s="4"/>
      <c r="J146" s="4"/>
      <c r="K146" s="4"/>
      <c r="L146" s="7" t="str">
        <f aca="false">IF(N146="READY",IF(V146="KAC",IFERROR(INDEX(06_КАЦ!$R$4:$R$203,MATCH(K146,06_КАЦ!$A$4:$A$203,0)),""),IFERROR(INDEX(06а_Оценки!$F$4:$F$203,MATCH(K146,06а_Оценки!$A$4:$A$203,0)),"")),"")</f>
        <v/>
      </c>
      <c r="M146" s="7" t="str">
        <f aca="false">IF(N146="READY",ROUND(I146*L146,2),"")</f>
        <v/>
      </c>
      <c r="N146" s="5" t="str">
        <f aca="false">IF(A146="","",IF(Q146="NOT_APPLICABLE",IF(AND(COUNTIF(A$4:A$203,A146)=1,H146="OUTSIDE",R146&lt;&gt;"",O146&lt;&gt;"",COUNTIF(13_Источники!$A$4:$A$203,O146)=1),"NOT_APPLICABLE","INCOMPLETE / EXCLUSION"),IF(AND(COUNTIF(A$4:A$203,A146)=1,COUNTIF(02_WBS!$A$4:$A$200,B146)=1,C146&lt;&gt;"",COUNTIF(03_Пакеты!$A$4:$A$203,C146)=1,IFERROR(INDEX(03_Пакеты!$B$4:$B$203,MATCH(C146,03_Пакеты!$A$4:$A$203,0)),"")=B146,E146&lt;&gt;"",F146&lt;&gt;"",F146&lt;&gt;"UNKNOWN",G146&lt;&gt;"",G146&lt;&gt;"UNKNOWN",OR(H146="REMAINING",H146="SUNK",H146="OUTSIDE"),ISNUMBER(I146),I146&gt;=0,OR(AND(I146&gt;0,Q146="KNOWN"),AND(I146=0,Q146="ZERO_CONFIRMED")),J146&lt;&gt;"",K146&lt;&gt;"",OR(AND(V146="KAC",COUNTIF(06_КАЦ!$A$4:$A$203,K146)=1,IFERROR(INDEX(06_КАЦ!$V$4:$V$203,MATCH(K146,06_КАЦ!$A$4:$A$203,0)),"")="SELECTED_READY",IFERROR(INDEX(06_КАЦ!$D$4:$D$203,MATCH(K146,06_КАЦ!$A$4:$A$203,0)),"")=C146,IFERROR(INDEX(06_КАЦ!$F$4:$F$203,MATCH(K146,06_КАЦ!$A$4:$A$203,0)),"")=J146),AND(V146="DIRECT",COUNTIF(06а_Оценки!$A$4:$A$203,K146)=1,IFERROR(INDEX(06а_Оценки!$N$4:$N$203,MATCH(K146,06а_Оценки!$A$4:$A$203,0)),"")="READY",IFERROR(INDEX(06а_Оценки!$B$4:$B$203,MATCH(K146,06а_Оценки!$A$4:$A$203,0)),"")=C146,IFERROR(INDEX(06а_Оценки!$E$4:$E$203,MATCH(K146,06а_Оценки!$A$4:$A$203,0)),"")=J146)),O146&lt;&gt;"",COUNTIF(13_Источники!$A$4:$A$203,O146)=1,P146&lt;&gt;"",R146&lt;&gt;""),"READY","INCOMPLETE / LINK")))</f>
        <v/>
      </c>
      <c r="O146" s="4"/>
      <c r="P146" s="4"/>
      <c r="Q146" s="4"/>
      <c r="R146" s="4"/>
      <c r="S146" s="4"/>
      <c r="T146" s="4"/>
      <c r="U146" s="4"/>
      <c r="V146" s="4"/>
    </row>
    <row r="147" customFormat="false" ht="15" hidden="false" customHeight="false" outlineLevel="0" collapsed="false">
      <c r="A147" s="4"/>
      <c r="B147" s="4"/>
      <c r="C147" s="4"/>
      <c r="D147" s="6"/>
      <c r="E147" s="4"/>
      <c r="F147" s="4"/>
      <c r="G147" s="4"/>
      <c r="H147" s="4"/>
      <c r="I147" s="4"/>
      <c r="J147" s="4"/>
      <c r="K147" s="4"/>
      <c r="L147" s="7" t="str">
        <f aca="false">IF(N147="READY",IF(V147="KAC",IFERROR(INDEX(06_КАЦ!$R$4:$R$203,MATCH(K147,06_КАЦ!$A$4:$A$203,0)),""),IFERROR(INDEX(06а_Оценки!$F$4:$F$203,MATCH(K147,06а_Оценки!$A$4:$A$203,0)),"")),"")</f>
        <v/>
      </c>
      <c r="M147" s="7" t="str">
        <f aca="false">IF(N147="READY",ROUND(I147*L147,2),"")</f>
        <v/>
      </c>
      <c r="N147" s="5" t="str">
        <f aca="false">IF(A147="","",IF(Q147="NOT_APPLICABLE",IF(AND(COUNTIF(A$4:A$203,A147)=1,H147="OUTSIDE",R147&lt;&gt;"",O147&lt;&gt;"",COUNTIF(13_Источники!$A$4:$A$203,O147)=1),"NOT_APPLICABLE","INCOMPLETE / EXCLUSION"),IF(AND(COUNTIF(A$4:A$203,A147)=1,COUNTIF(02_WBS!$A$4:$A$200,B147)=1,C147&lt;&gt;"",COUNTIF(03_Пакеты!$A$4:$A$203,C147)=1,IFERROR(INDEX(03_Пакеты!$B$4:$B$203,MATCH(C147,03_Пакеты!$A$4:$A$203,0)),"")=B147,E147&lt;&gt;"",F147&lt;&gt;"",F147&lt;&gt;"UNKNOWN",G147&lt;&gt;"",G147&lt;&gt;"UNKNOWN",OR(H147="REMAINING",H147="SUNK",H147="OUTSIDE"),ISNUMBER(I147),I147&gt;=0,OR(AND(I147&gt;0,Q147="KNOWN"),AND(I147=0,Q147="ZERO_CONFIRMED")),J147&lt;&gt;"",K147&lt;&gt;"",OR(AND(V147="KAC",COUNTIF(06_КАЦ!$A$4:$A$203,K147)=1,IFERROR(INDEX(06_КАЦ!$V$4:$V$203,MATCH(K147,06_КАЦ!$A$4:$A$203,0)),"")="SELECTED_READY",IFERROR(INDEX(06_КАЦ!$D$4:$D$203,MATCH(K147,06_КАЦ!$A$4:$A$203,0)),"")=C147,IFERROR(INDEX(06_КАЦ!$F$4:$F$203,MATCH(K147,06_КАЦ!$A$4:$A$203,0)),"")=J147),AND(V147="DIRECT",COUNTIF(06а_Оценки!$A$4:$A$203,K147)=1,IFERROR(INDEX(06а_Оценки!$N$4:$N$203,MATCH(K147,06а_Оценки!$A$4:$A$203,0)),"")="READY",IFERROR(INDEX(06а_Оценки!$B$4:$B$203,MATCH(K147,06а_Оценки!$A$4:$A$203,0)),"")=C147,IFERROR(INDEX(06а_Оценки!$E$4:$E$203,MATCH(K147,06а_Оценки!$A$4:$A$203,0)),"")=J147)),O147&lt;&gt;"",COUNTIF(13_Источники!$A$4:$A$203,O147)=1,P147&lt;&gt;"",R147&lt;&gt;""),"READY","INCOMPLETE / LINK")))</f>
        <v/>
      </c>
      <c r="O147" s="4"/>
      <c r="P147" s="4"/>
      <c r="Q147" s="4"/>
      <c r="R147" s="4"/>
      <c r="S147" s="4"/>
      <c r="T147" s="4"/>
      <c r="U147" s="4"/>
      <c r="V147" s="4"/>
    </row>
    <row r="148" customFormat="false" ht="15" hidden="false" customHeight="false" outlineLevel="0" collapsed="false">
      <c r="A148" s="4"/>
      <c r="B148" s="4"/>
      <c r="C148" s="4"/>
      <c r="D148" s="6"/>
      <c r="E148" s="4"/>
      <c r="F148" s="4"/>
      <c r="G148" s="4"/>
      <c r="H148" s="4"/>
      <c r="I148" s="4"/>
      <c r="J148" s="4"/>
      <c r="K148" s="4"/>
      <c r="L148" s="7" t="str">
        <f aca="false">IF(N148="READY",IF(V148="KAC",IFERROR(INDEX(06_КАЦ!$R$4:$R$203,MATCH(K148,06_КАЦ!$A$4:$A$203,0)),""),IFERROR(INDEX(06а_Оценки!$F$4:$F$203,MATCH(K148,06а_Оценки!$A$4:$A$203,0)),"")),"")</f>
        <v/>
      </c>
      <c r="M148" s="7" t="str">
        <f aca="false">IF(N148="READY",ROUND(I148*L148,2),"")</f>
        <v/>
      </c>
      <c r="N148" s="5" t="str">
        <f aca="false">IF(A148="","",IF(Q148="NOT_APPLICABLE",IF(AND(COUNTIF(A$4:A$203,A148)=1,H148="OUTSIDE",R148&lt;&gt;"",O148&lt;&gt;"",COUNTIF(13_Источники!$A$4:$A$203,O148)=1),"NOT_APPLICABLE","INCOMPLETE / EXCLUSION"),IF(AND(COUNTIF(A$4:A$203,A148)=1,COUNTIF(02_WBS!$A$4:$A$200,B148)=1,C148&lt;&gt;"",COUNTIF(03_Пакеты!$A$4:$A$203,C148)=1,IFERROR(INDEX(03_Пакеты!$B$4:$B$203,MATCH(C148,03_Пакеты!$A$4:$A$203,0)),"")=B148,E148&lt;&gt;"",F148&lt;&gt;"",F148&lt;&gt;"UNKNOWN",G148&lt;&gt;"",G148&lt;&gt;"UNKNOWN",OR(H148="REMAINING",H148="SUNK",H148="OUTSIDE"),ISNUMBER(I148),I148&gt;=0,OR(AND(I148&gt;0,Q148="KNOWN"),AND(I148=0,Q148="ZERO_CONFIRMED")),J148&lt;&gt;"",K148&lt;&gt;"",OR(AND(V148="KAC",COUNTIF(06_КАЦ!$A$4:$A$203,K148)=1,IFERROR(INDEX(06_КАЦ!$V$4:$V$203,MATCH(K148,06_КАЦ!$A$4:$A$203,0)),"")="SELECTED_READY",IFERROR(INDEX(06_КАЦ!$D$4:$D$203,MATCH(K148,06_КАЦ!$A$4:$A$203,0)),"")=C148,IFERROR(INDEX(06_КАЦ!$F$4:$F$203,MATCH(K148,06_КАЦ!$A$4:$A$203,0)),"")=J148),AND(V148="DIRECT",COUNTIF(06а_Оценки!$A$4:$A$203,K148)=1,IFERROR(INDEX(06а_Оценки!$N$4:$N$203,MATCH(K148,06а_Оценки!$A$4:$A$203,0)),"")="READY",IFERROR(INDEX(06а_Оценки!$B$4:$B$203,MATCH(K148,06а_Оценки!$A$4:$A$203,0)),"")=C148,IFERROR(INDEX(06а_Оценки!$E$4:$E$203,MATCH(K148,06а_Оценки!$A$4:$A$203,0)),"")=J148)),O148&lt;&gt;"",COUNTIF(13_Источники!$A$4:$A$203,O148)=1,P148&lt;&gt;"",R148&lt;&gt;""),"READY","INCOMPLETE / LINK")))</f>
        <v/>
      </c>
      <c r="O148" s="4"/>
      <c r="P148" s="4"/>
      <c r="Q148" s="4"/>
      <c r="R148" s="4"/>
      <c r="S148" s="4"/>
      <c r="T148" s="4"/>
      <c r="U148" s="4"/>
      <c r="V148" s="4"/>
    </row>
    <row r="149" customFormat="false" ht="15" hidden="false" customHeight="false" outlineLevel="0" collapsed="false">
      <c r="A149" s="4"/>
      <c r="B149" s="4"/>
      <c r="C149" s="4"/>
      <c r="D149" s="6"/>
      <c r="E149" s="4"/>
      <c r="F149" s="4"/>
      <c r="G149" s="4"/>
      <c r="H149" s="4"/>
      <c r="I149" s="4"/>
      <c r="J149" s="4"/>
      <c r="K149" s="4"/>
      <c r="L149" s="7" t="str">
        <f aca="false">IF(N149="READY",IF(V149="KAC",IFERROR(INDEX(06_КАЦ!$R$4:$R$203,MATCH(K149,06_КАЦ!$A$4:$A$203,0)),""),IFERROR(INDEX(06а_Оценки!$F$4:$F$203,MATCH(K149,06а_Оценки!$A$4:$A$203,0)),"")),"")</f>
        <v/>
      </c>
      <c r="M149" s="7" t="str">
        <f aca="false">IF(N149="READY",ROUND(I149*L149,2),"")</f>
        <v/>
      </c>
      <c r="N149" s="5" t="str">
        <f aca="false">IF(A149="","",IF(Q149="NOT_APPLICABLE",IF(AND(COUNTIF(A$4:A$203,A149)=1,H149="OUTSIDE",R149&lt;&gt;"",O149&lt;&gt;"",COUNTIF(13_Источники!$A$4:$A$203,O149)=1),"NOT_APPLICABLE","INCOMPLETE / EXCLUSION"),IF(AND(COUNTIF(A$4:A$203,A149)=1,COUNTIF(02_WBS!$A$4:$A$200,B149)=1,C149&lt;&gt;"",COUNTIF(03_Пакеты!$A$4:$A$203,C149)=1,IFERROR(INDEX(03_Пакеты!$B$4:$B$203,MATCH(C149,03_Пакеты!$A$4:$A$203,0)),"")=B149,E149&lt;&gt;"",F149&lt;&gt;"",F149&lt;&gt;"UNKNOWN",G149&lt;&gt;"",G149&lt;&gt;"UNKNOWN",OR(H149="REMAINING",H149="SUNK",H149="OUTSIDE"),ISNUMBER(I149),I149&gt;=0,OR(AND(I149&gt;0,Q149="KNOWN"),AND(I149=0,Q149="ZERO_CONFIRMED")),J149&lt;&gt;"",K149&lt;&gt;"",OR(AND(V149="KAC",COUNTIF(06_КАЦ!$A$4:$A$203,K149)=1,IFERROR(INDEX(06_КАЦ!$V$4:$V$203,MATCH(K149,06_КАЦ!$A$4:$A$203,0)),"")="SELECTED_READY",IFERROR(INDEX(06_КАЦ!$D$4:$D$203,MATCH(K149,06_КАЦ!$A$4:$A$203,0)),"")=C149,IFERROR(INDEX(06_КАЦ!$F$4:$F$203,MATCH(K149,06_КАЦ!$A$4:$A$203,0)),"")=J149),AND(V149="DIRECT",COUNTIF(06а_Оценки!$A$4:$A$203,K149)=1,IFERROR(INDEX(06а_Оценки!$N$4:$N$203,MATCH(K149,06а_Оценки!$A$4:$A$203,0)),"")="READY",IFERROR(INDEX(06а_Оценки!$B$4:$B$203,MATCH(K149,06а_Оценки!$A$4:$A$203,0)),"")=C149,IFERROR(INDEX(06а_Оценки!$E$4:$E$203,MATCH(K149,06а_Оценки!$A$4:$A$203,0)),"")=J149)),O149&lt;&gt;"",COUNTIF(13_Источники!$A$4:$A$203,O149)=1,P149&lt;&gt;"",R149&lt;&gt;""),"READY","INCOMPLETE / LINK")))</f>
        <v/>
      </c>
      <c r="O149" s="4"/>
      <c r="P149" s="4"/>
      <c r="Q149" s="4"/>
      <c r="R149" s="4"/>
      <c r="S149" s="4"/>
      <c r="T149" s="4"/>
      <c r="U149" s="4"/>
      <c r="V149" s="4"/>
    </row>
    <row r="150" customFormat="false" ht="15" hidden="false" customHeight="false" outlineLevel="0" collapsed="false">
      <c r="A150" s="4"/>
      <c r="B150" s="4"/>
      <c r="C150" s="4"/>
      <c r="D150" s="6"/>
      <c r="E150" s="4"/>
      <c r="F150" s="4"/>
      <c r="G150" s="4"/>
      <c r="H150" s="4"/>
      <c r="I150" s="4"/>
      <c r="J150" s="4"/>
      <c r="K150" s="4"/>
      <c r="L150" s="7" t="str">
        <f aca="false">IF(N150="READY",IF(V150="KAC",IFERROR(INDEX(06_КАЦ!$R$4:$R$203,MATCH(K150,06_КАЦ!$A$4:$A$203,0)),""),IFERROR(INDEX(06а_Оценки!$F$4:$F$203,MATCH(K150,06а_Оценки!$A$4:$A$203,0)),"")),"")</f>
        <v/>
      </c>
      <c r="M150" s="7" t="str">
        <f aca="false">IF(N150="READY",ROUND(I150*L150,2),"")</f>
        <v/>
      </c>
      <c r="N150" s="5" t="str">
        <f aca="false">IF(A150="","",IF(Q150="NOT_APPLICABLE",IF(AND(COUNTIF(A$4:A$203,A150)=1,H150="OUTSIDE",R150&lt;&gt;"",O150&lt;&gt;"",COUNTIF(13_Источники!$A$4:$A$203,O150)=1),"NOT_APPLICABLE","INCOMPLETE / EXCLUSION"),IF(AND(COUNTIF(A$4:A$203,A150)=1,COUNTIF(02_WBS!$A$4:$A$200,B150)=1,C150&lt;&gt;"",COUNTIF(03_Пакеты!$A$4:$A$203,C150)=1,IFERROR(INDEX(03_Пакеты!$B$4:$B$203,MATCH(C150,03_Пакеты!$A$4:$A$203,0)),"")=B150,E150&lt;&gt;"",F150&lt;&gt;"",F150&lt;&gt;"UNKNOWN",G150&lt;&gt;"",G150&lt;&gt;"UNKNOWN",OR(H150="REMAINING",H150="SUNK",H150="OUTSIDE"),ISNUMBER(I150),I150&gt;=0,OR(AND(I150&gt;0,Q150="KNOWN"),AND(I150=0,Q150="ZERO_CONFIRMED")),J150&lt;&gt;"",K150&lt;&gt;"",OR(AND(V150="KAC",COUNTIF(06_КАЦ!$A$4:$A$203,K150)=1,IFERROR(INDEX(06_КАЦ!$V$4:$V$203,MATCH(K150,06_КАЦ!$A$4:$A$203,0)),"")="SELECTED_READY",IFERROR(INDEX(06_КАЦ!$D$4:$D$203,MATCH(K150,06_КАЦ!$A$4:$A$203,0)),"")=C150,IFERROR(INDEX(06_КАЦ!$F$4:$F$203,MATCH(K150,06_КАЦ!$A$4:$A$203,0)),"")=J150),AND(V150="DIRECT",COUNTIF(06а_Оценки!$A$4:$A$203,K150)=1,IFERROR(INDEX(06а_Оценки!$N$4:$N$203,MATCH(K150,06а_Оценки!$A$4:$A$203,0)),"")="READY",IFERROR(INDEX(06а_Оценки!$B$4:$B$203,MATCH(K150,06а_Оценки!$A$4:$A$203,0)),"")=C150,IFERROR(INDEX(06а_Оценки!$E$4:$E$203,MATCH(K150,06а_Оценки!$A$4:$A$203,0)),"")=J150)),O150&lt;&gt;"",COUNTIF(13_Источники!$A$4:$A$203,O150)=1,P150&lt;&gt;"",R150&lt;&gt;""),"READY","INCOMPLETE / LINK")))</f>
        <v/>
      </c>
      <c r="O150" s="4"/>
      <c r="P150" s="4"/>
      <c r="Q150" s="4"/>
      <c r="R150" s="4"/>
      <c r="S150" s="4"/>
      <c r="T150" s="4"/>
      <c r="U150" s="4"/>
      <c r="V150" s="4"/>
    </row>
    <row r="151" customFormat="false" ht="15" hidden="false" customHeight="false" outlineLevel="0" collapsed="false">
      <c r="A151" s="4"/>
      <c r="B151" s="4"/>
      <c r="C151" s="4"/>
      <c r="D151" s="6"/>
      <c r="E151" s="4"/>
      <c r="F151" s="4"/>
      <c r="G151" s="4"/>
      <c r="H151" s="4"/>
      <c r="I151" s="4"/>
      <c r="J151" s="4"/>
      <c r="K151" s="4"/>
      <c r="L151" s="7" t="str">
        <f aca="false">IF(N151="READY",IF(V151="KAC",IFERROR(INDEX(06_КАЦ!$R$4:$R$203,MATCH(K151,06_КАЦ!$A$4:$A$203,0)),""),IFERROR(INDEX(06а_Оценки!$F$4:$F$203,MATCH(K151,06а_Оценки!$A$4:$A$203,0)),"")),"")</f>
        <v/>
      </c>
      <c r="M151" s="7" t="str">
        <f aca="false">IF(N151="READY",ROUND(I151*L151,2),"")</f>
        <v/>
      </c>
      <c r="N151" s="5" t="str">
        <f aca="false">IF(A151="","",IF(Q151="NOT_APPLICABLE",IF(AND(COUNTIF(A$4:A$203,A151)=1,H151="OUTSIDE",R151&lt;&gt;"",O151&lt;&gt;"",COUNTIF(13_Источники!$A$4:$A$203,O151)=1),"NOT_APPLICABLE","INCOMPLETE / EXCLUSION"),IF(AND(COUNTIF(A$4:A$203,A151)=1,COUNTIF(02_WBS!$A$4:$A$200,B151)=1,C151&lt;&gt;"",COUNTIF(03_Пакеты!$A$4:$A$203,C151)=1,IFERROR(INDEX(03_Пакеты!$B$4:$B$203,MATCH(C151,03_Пакеты!$A$4:$A$203,0)),"")=B151,E151&lt;&gt;"",F151&lt;&gt;"",F151&lt;&gt;"UNKNOWN",G151&lt;&gt;"",G151&lt;&gt;"UNKNOWN",OR(H151="REMAINING",H151="SUNK",H151="OUTSIDE"),ISNUMBER(I151),I151&gt;=0,OR(AND(I151&gt;0,Q151="KNOWN"),AND(I151=0,Q151="ZERO_CONFIRMED")),J151&lt;&gt;"",K151&lt;&gt;"",OR(AND(V151="KAC",COUNTIF(06_КАЦ!$A$4:$A$203,K151)=1,IFERROR(INDEX(06_КАЦ!$V$4:$V$203,MATCH(K151,06_КАЦ!$A$4:$A$203,0)),"")="SELECTED_READY",IFERROR(INDEX(06_КАЦ!$D$4:$D$203,MATCH(K151,06_КАЦ!$A$4:$A$203,0)),"")=C151,IFERROR(INDEX(06_КАЦ!$F$4:$F$203,MATCH(K151,06_КАЦ!$A$4:$A$203,0)),"")=J151),AND(V151="DIRECT",COUNTIF(06а_Оценки!$A$4:$A$203,K151)=1,IFERROR(INDEX(06а_Оценки!$N$4:$N$203,MATCH(K151,06а_Оценки!$A$4:$A$203,0)),"")="READY",IFERROR(INDEX(06а_Оценки!$B$4:$B$203,MATCH(K151,06а_Оценки!$A$4:$A$203,0)),"")=C151,IFERROR(INDEX(06а_Оценки!$E$4:$E$203,MATCH(K151,06а_Оценки!$A$4:$A$203,0)),"")=J151)),O151&lt;&gt;"",COUNTIF(13_Источники!$A$4:$A$203,O151)=1,P151&lt;&gt;"",R151&lt;&gt;""),"READY","INCOMPLETE / LINK")))</f>
        <v/>
      </c>
      <c r="O151" s="4"/>
      <c r="P151" s="4"/>
      <c r="Q151" s="4"/>
      <c r="R151" s="4"/>
      <c r="S151" s="4"/>
      <c r="T151" s="4"/>
      <c r="U151" s="4"/>
      <c r="V151" s="4"/>
    </row>
    <row r="152" customFormat="false" ht="15" hidden="false" customHeight="false" outlineLevel="0" collapsed="false">
      <c r="A152" s="4"/>
      <c r="B152" s="4"/>
      <c r="C152" s="4"/>
      <c r="D152" s="6"/>
      <c r="E152" s="4"/>
      <c r="F152" s="4"/>
      <c r="G152" s="4"/>
      <c r="H152" s="4"/>
      <c r="I152" s="4"/>
      <c r="J152" s="4"/>
      <c r="K152" s="4"/>
      <c r="L152" s="7" t="str">
        <f aca="false">IF(N152="READY",IF(V152="KAC",IFERROR(INDEX(06_КАЦ!$R$4:$R$203,MATCH(K152,06_КАЦ!$A$4:$A$203,0)),""),IFERROR(INDEX(06а_Оценки!$F$4:$F$203,MATCH(K152,06а_Оценки!$A$4:$A$203,0)),"")),"")</f>
        <v/>
      </c>
      <c r="M152" s="7" t="str">
        <f aca="false">IF(N152="READY",ROUND(I152*L152,2),"")</f>
        <v/>
      </c>
      <c r="N152" s="5" t="str">
        <f aca="false">IF(A152="","",IF(Q152="NOT_APPLICABLE",IF(AND(COUNTIF(A$4:A$203,A152)=1,H152="OUTSIDE",R152&lt;&gt;"",O152&lt;&gt;"",COUNTIF(13_Источники!$A$4:$A$203,O152)=1),"NOT_APPLICABLE","INCOMPLETE / EXCLUSION"),IF(AND(COUNTIF(A$4:A$203,A152)=1,COUNTIF(02_WBS!$A$4:$A$200,B152)=1,C152&lt;&gt;"",COUNTIF(03_Пакеты!$A$4:$A$203,C152)=1,IFERROR(INDEX(03_Пакеты!$B$4:$B$203,MATCH(C152,03_Пакеты!$A$4:$A$203,0)),"")=B152,E152&lt;&gt;"",F152&lt;&gt;"",F152&lt;&gt;"UNKNOWN",G152&lt;&gt;"",G152&lt;&gt;"UNKNOWN",OR(H152="REMAINING",H152="SUNK",H152="OUTSIDE"),ISNUMBER(I152),I152&gt;=0,OR(AND(I152&gt;0,Q152="KNOWN"),AND(I152=0,Q152="ZERO_CONFIRMED")),J152&lt;&gt;"",K152&lt;&gt;"",OR(AND(V152="KAC",COUNTIF(06_КАЦ!$A$4:$A$203,K152)=1,IFERROR(INDEX(06_КАЦ!$V$4:$V$203,MATCH(K152,06_КАЦ!$A$4:$A$203,0)),"")="SELECTED_READY",IFERROR(INDEX(06_КАЦ!$D$4:$D$203,MATCH(K152,06_КАЦ!$A$4:$A$203,0)),"")=C152,IFERROR(INDEX(06_КАЦ!$F$4:$F$203,MATCH(K152,06_КАЦ!$A$4:$A$203,0)),"")=J152),AND(V152="DIRECT",COUNTIF(06а_Оценки!$A$4:$A$203,K152)=1,IFERROR(INDEX(06а_Оценки!$N$4:$N$203,MATCH(K152,06а_Оценки!$A$4:$A$203,0)),"")="READY",IFERROR(INDEX(06а_Оценки!$B$4:$B$203,MATCH(K152,06а_Оценки!$A$4:$A$203,0)),"")=C152,IFERROR(INDEX(06а_Оценки!$E$4:$E$203,MATCH(K152,06а_Оценки!$A$4:$A$203,0)),"")=J152)),O152&lt;&gt;"",COUNTIF(13_Источники!$A$4:$A$203,O152)=1,P152&lt;&gt;"",R152&lt;&gt;""),"READY","INCOMPLETE / LINK")))</f>
        <v/>
      </c>
      <c r="O152" s="4"/>
      <c r="P152" s="4"/>
      <c r="Q152" s="4"/>
      <c r="R152" s="4"/>
      <c r="S152" s="4"/>
      <c r="T152" s="4"/>
      <c r="U152" s="4"/>
      <c r="V152" s="4"/>
    </row>
    <row r="153" customFormat="false" ht="15" hidden="false" customHeight="false" outlineLevel="0" collapsed="false">
      <c r="A153" s="4"/>
      <c r="B153" s="4"/>
      <c r="C153" s="4"/>
      <c r="D153" s="6"/>
      <c r="E153" s="4"/>
      <c r="F153" s="4"/>
      <c r="G153" s="4"/>
      <c r="H153" s="4"/>
      <c r="I153" s="4"/>
      <c r="J153" s="4"/>
      <c r="K153" s="4"/>
      <c r="L153" s="7" t="str">
        <f aca="false">IF(N153="READY",IF(V153="KAC",IFERROR(INDEX(06_КАЦ!$R$4:$R$203,MATCH(K153,06_КАЦ!$A$4:$A$203,0)),""),IFERROR(INDEX(06а_Оценки!$F$4:$F$203,MATCH(K153,06а_Оценки!$A$4:$A$203,0)),"")),"")</f>
        <v/>
      </c>
      <c r="M153" s="7" t="str">
        <f aca="false">IF(N153="READY",ROUND(I153*L153,2),"")</f>
        <v/>
      </c>
      <c r="N153" s="5" t="str">
        <f aca="false">IF(A153="","",IF(Q153="NOT_APPLICABLE",IF(AND(COUNTIF(A$4:A$203,A153)=1,H153="OUTSIDE",R153&lt;&gt;"",O153&lt;&gt;"",COUNTIF(13_Источники!$A$4:$A$203,O153)=1),"NOT_APPLICABLE","INCOMPLETE / EXCLUSION"),IF(AND(COUNTIF(A$4:A$203,A153)=1,COUNTIF(02_WBS!$A$4:$A$200,B153)=1,C153&lt;&gt;"",COUNTIF(03_Пакеты!$A$4:$A$203,C153)=1,IFERROR(INDEX(03_Пакеты!$B$4:$B$203,MATCH(C153,03_Пакеты!$A$4:$A$203,0)),"")=B153,E153&lt;&gt;"",F153&lt;&gt;"",F153&lt;&gt;"UNKNOWN",G153&lt;&gt;"",G153&lt;&gt;"UNKNOWN",OR(H153="REMAINING",H153="SUNK",H153="OUTSIDE"),ISNUMBER(I153),I153&gt;=0,OR(AND(I153&gt;0,Q153="KNOWN"),AND(I153=0,Q153="ZERO_CONFIRMED")),J153&lt;&gt;"",K153&lt;&gt;"",OR(AND(V153="KAC",COUNTIF(06_КАЦ!$A$4:$A$203,K153)=1,IFERROR(INDEX(06_КАЦ!$V$4:$V$203,MATCH(K153,06_КАЦ!$A$4:$A$203,0)),"")="SELECTED_READY",IFERROR(INDEX(06_КАЦ!$D$4:$D$203,MATCH(K153,06_КАЦ!$A$4:$A$203,0)),"")=C153,IFERROR(INDEX(06_КАЦ!$F$4:$F$203,MATCH(K153,06_КАЦ!$A$4:$A$203,0)),"")=J153),AND(V153="DIRECT",COUNTIF(06а_Оценки!$A$4:$A$203,K153)=1,IFERROR(INDEX(06а_Оценки!$N$4:$N$203,MATCH(K153,06а_Оценки!$A$4:$A$203,0)),"")="READY",IFERROR(INDEX(06а_Оценки!$B$4:$B$203,MATCH(K153,06а_Оценки!$A$4:$A$203,0)),"")=C153,IFERROR(INDEX(06а_Оценки!$E$4:$E$203,MATCH(K153,06а_Оценки!$A$4:$A$203,0)),"")=J153)),O153&lt;&gt;"",COUNTIF(13_Источники!$A$4:$A$203,O153)=1,P153&lt;&gt;"",R153&lt;&gt;""),"READY","INCOMPLETE / LINK")))</f>
        <v/>
      </c>
      <c r="O153" s="4"/>
      <c r="P153" s="4"/>
      <c r="Q153" s="4"/>
      <c r="R153" s="4"/>
      <c r="S153" s="4"/>
      <c r="T153" s="4"/>
      <c r="U153" s="4"/>
      <c r="V153" s="4"/>
    </row>
    <row r="154" customFormat="false" ht="15" hidden="false" customHeight="false" outlineLevel="0" collapsed="false">
      <c r="A154" s="4"/>
      <c r="B154" s="4"/>
      <c r="C154" s="4"/>
      <c r="D154" s="6"/>
      <c r="E154" s="4"/>
      <c r="F154" s="4"/>
      <c r="G154" s="4"/>
      <c r="H154" s="4"/>
      <c r="I154" s="4"/>
      <c r="J154" s="4"/>
      <c r="K154" s="4"/>
      <c r="L154" s="7" t="str">
        <f aca="false">IF(N154="READY",IF(V154="KAC",IFERROR(INDEX(06_КАЦ!$R$4:$R$203,MATCH(K154,06_КАЦ!$A$4:$A$203,0)),""),IFERROR(INDEX(06а_Оценки!$F$4:$F$203,MATCH(K154,06а_Оценки!$A$4:$A$203,0)),"")),"")</f>
        <v/>
      </c>
      <c r="M154" s="7" t="str">
        <f aca="false">IF(N154="READY",ROUND(I154*L154,2),"")</f>
        <v/>
      </c>
      <c r="N154" s="5" t="str">
        <f aca="false">IF(A154="","",IF(Q154="NOT_APPLICABLE",IF(AND(COUNTIF(A$4:A$203,A154)=1,H154="OUTSIDE",R154&lt;&gt;"",O154&lt;&gt;"",COUNTIF(13_Источники!$A$4:$A$203,O154)=1),"NOT_APPLICABLE","INCOMPLETE / EXCLUSION"),IF(AND(COUNTIF(A$4:A$203,A154)=1,COUNTIF(02_WBS!$A$4:$A$200,B154)=1,C154&lt;&gt;"",COUNTIF(03_Пакеты!$A$4:$A$203,C154)=1,IFERROR(INDEX(03_Пакеты!$B$4:$B$203,MATCH(C154,03_Пакеты!$A$4:$A$203,0)),"")=B154,E154&lt;&gt;"",F154&lt;&gt;"",F154&lt;&gt;"UNKNOWN",G154&lt;&gt;"",G154&lt;&gt;"UNKNOWN",OR(H154="REMAINING",H154="SUNK",H154="OUTSIDE"),ISNUMBER(I154),I154&gt;=0,OR(AND(I154&gt;0,Q154="KNOWN"),AND(I154=0,Q154="ZERO_CONFIRMED")),J154&lt;&gt;"",K154&lt;&gt;"",OR(AND(V154="KAC",COUNTIF(06_КАЦ!$A$4:$A$203,K154)=1,IFERROR(INDEX(06_КАЦ!$V$4:$V$203,MATCH(K154,06_КАЦ!$A$4:$A$203,0)),"")="SELECTED_READY",IFERROR(INDEX(06_КАЦ!$D$4:$D$203,MATCH(K154,06_КАЦ!$A$4:$A$203,0)),"")=C154,IFERROR(INDEX(06_КАЦ!$F$4:$F$203,MATCH(K154,06_КАЦ!$A$4:$A$203,0)),"")=J154),AND(V154="DIRECT",COUNTIF(06а_Оценки!$A$4:$A$203,K154)=1,IFERROR(INDEX(06а_Оценки!$N$4:$N$203,MATCH(K154,06а_Оценки!$A$4:$A$203,0)),"")="READY",IFERROR(INDEX(06а_Оценки!$B$4:$B$203,MATCH(K154,06а_Оценки!$A$4:$A$203,0)),"")=C154,IFERROR(INDEX(06а_Оценки!$E$4:$E$203,MATCH(K154,06а_Оценки!$A$4:$A$203,0)),"")=J154)),O154&lt;&gt;"",COUNTIF(13_Источники!$A$4:$A$203,O154)=1,P154&lt;&gt;"",R154&lt;&gt;""),"READY","INCOMPLETE / LINK")))</f>
        <v/>
      </c>
      <c r="O154" s="4"/>
      <c r="P154" s="4"/>
      <c r="Q154" s="4"/>
      <c r="R154" s="4"/>
      <c r="S154" s="4"/>
      <c r="T154" s="4"/>
      <c r="U154" s="4"/>
      <c r="V154" s="4"/>
    </row>
    <row r="155" customFormat="false" ht="15" hidden="false" customHeight="false" outlineLevel="0" collapsed="false">
      <c r="A155" s="4"/>
      <c r="B155" s="4"/>
      <c r="C155" s="4"/>
      <c r="D155" s="6"/>
      <c r="E155" s="4"/>
      <c r="F155" s="4"/>
      <c r="G155" s="4"/>
      <c r="H155" s="4"/>
      <c r="I155" s="4"/>
      <c r="J155" s="4"/>
      <c r="K155" s="4"/>
      <c r="L155" s="7" t="str">
        <f aca="false">IF(N155="READY",IF(V155="KAC",IFERROR(INDEX(06_КАЦ!$R$4:$R$203,MATCH(K155,06_КАЦ!$A$4:$A$203,0)),""),IFERROR(INDEX(06а_Оценки!$F$4:$F$203,MATCH(K155,06а_Оценки!$A$4:$A$203,0)),"")),"")</f>
        <v/>
      </c>
      <c r="M155" s="7" t="str">
        <f aca="false">IF(N155="READY",ROUND(I155*L155,2),"")</f>
        <v/>
      </c>
      <c r="N155" s="5" t="str">
        <f aca="false">IF(A155="","",IF(Q155="NOT_APPLICABLE",IF(AND(COUNTIF(A$4:A$203,A155)=1,H155="OUTSIDE",R155&lt;&gt;"",O155&lt;&gt;"",COUNTIF(13_Источники!$A$4:$A$203,O155)=1),"NOT_APPLICABLE","INCOMPLETE / EXCLUSION"),IF(AND(COUNTIF(A$4:A$203,A155)=1,COUNTIF(02_WBS!$A$4:$A$200,B155)=1,C155&lt;&gt;"",COUNTIF(03_Пакеты!$A$4:$A$203,C155)=1,IFERROR(INDEX(03_Пакеты!$B$4:$B$203,MATCH(C155,03_Пакеты!$A$4:$A$203,0)),"")=B155,E155&lt;&gt;"",F155&lt;&gt;"",F155&lt;&gt;"UNKNOWN",G155&lt;&gt;"",G155&lt;&gt;"UNKNOWN",OR(H155="REMAINING",H155="SUNK",H155="OUTSIDE"),ISNUMBER(I155),I155&gt;=0,OR(AND(I155&gt;0,Q155="KNOWN"),AND(I155=0,Q155="ZERO_CONFIRMED")),J155&lt;&gt;"",K155&lt;&gt;"",OR(AND(V155="KAC",COUNTIF(06_КАЦ!$A$4:$A$203,K155)=1,IFERROR(INDEX(06_КАЦ!$V$4:$V$203,MATCH(K155,06_КАЦ!$A$4:$A$203,0)),"")="SELECTED_READY",IFERROR(INDEX(06_КАЦ!$D$4:$D$203,MATCH(K155,06_КАЦ!$A$4:$A$203,0)),"")=C155,IFERROR(INDEX(06_КАЦ!$F$4:$F$203,MATCH(K155,06_КАЦ!$A$4:$A$203,0)),"")=J155),AND(V155="DIRECT",COUNTIF(06а_Оценки!$A$4:$A$203,K155)=1,IFERROR(INDEX(06а_Оценки!$N$4:$N$203,MATCH(K155,06а_Оценки!$A$4:$A$203,0)),"")="READY",IFERROR(INDEX(06а_Оценки!$B$4:$B$203,MATCH(K155,06а_Оценки!$A$4:$A$203,0)),"")=C155,IFERROR(INDEX(06а_Оценки!$E$4:$E$203,MATCH(K155,06а_Оценки!$A$4:$A$203,0)),"")=J155)),O155&lt;&gt;"",COUNTIF(13_Источники!$A$4:$A$203,O155)=1,P155&lt;&gt;"",R155&lt;&gt;""),"READY","INCOMPLETE / LINK")))</f>
        <v/>
      </c>
      <c r="O155" s="4"/>
      <c r="P155" s="4"/>
      <c r="Q155" s="4"/>
      <c r="R155" s="4"/>
      <c r="S155" s="4"/>
      <c r="T155" s="4"/>
      <c r="U155" s="4"/>
      <c r="V155" s="4"/>
    </row>
    <row r="156" customFormat="false" ht="15" hidden="false" customHeight="false" outlineLevel="0" collapsed="false">
      <c r="A156" s="4"/>
      <c r="B156" s="4"/>
      <c r="C156" s="4"/>
      <c r="D156" s="6"/>
      <c r="E156" s="4"/>
      <c r="F156" s="4"/>
      <c r="G156" s="4"/>
      <c r="H156" s="4"/>
      <c r="I156" s="4"/>
      <c r="J156" s="4"/>
      <c r="K156" s="4"/>
      <c r="L156" s="7" t="str">
        <f aca="false">IF(N156="READY",IF(V156="KAC",IFERROR(INDEX(06_КАЦ!$R$4:$R$203,MATCH(K156,06_КАЦ!$A$4:$A$203,0)),""),IFERROR(INDEX(06а_Оценки!$F$4:$F$203,MATCH(K156,06а_Оценки!$A$4:$A$203,0)),"")),"")</f>
        <v/>
      </c>
      <c r="M156" s="7" t="str">
        <f aca="false">IF(N156="READY",ROUND(I156*L156,2),"")</f>
        <v/>
      </c>
      <c r="N156" s="5" t="str">
        <f aca="false">IF(A156="","",IF(Q156="NOT_APPLICABLE",IF(AND(COUNTIF(A$4:A$203,A156)=1,H156="OUTSIDE",R156&lt;&gt;"",O156&lt;&gt;"",COUNTIF(13_Источники!$A$4:$A$203,O156)=1),"NOT_APPLICABLE","INCOMPLETE / EXCLUSION"),IF(AND(COUNTIF(A$4:A$203,A156)=1,COUNTIF(02_WBS!$A$4:$A$200,B156)=1,C156&lt;&gt;"",COUNTIF(03_Пакеты!$A$4:$A$203,C156)=1,IFERROR(INDEX(03_Пакеты!$B$4:$B$203,MATCH(C156,03_Пакеты!$A$4:$A$203,0)),"")=B156,E156&lt;&gt;"",F156&lt;&gt;"",F156&lt;&gt;"UNKNOWN",G156&lt;&gt;"",G156&lt;&gt;"UNKNOWN",OR(H156="REMAINING",H156="SUNK",H156="OUTSIDE"),ISNUMBER(I156),I156&gt;=0,OR(AND(I156&gt;0,Q156="KNOWN"),AND(I156=0,Q156="ZERO_CONFIRMED")),J156&lt;&gt;"",K156&lt;&gt;"",OR(AND(V156="KAC",COUNTIF(06_КАЦ!$A$4:$A$203,K156)=1,IFERROR(INDEX(06_КАЦ!$V$4:$V$203,MATCH(K156,06_КАЦ!$A$4:$A$203,0)),"")="SELECTED_READY",IFERROR(INDEX(06_КАЦ!$D$4:$D$203,MATCH(K156,06_КАЦ!$A$4:$A$203,0)),"")=C156,IFERROR(INDEX(06_КАЦ!$F$4:$F$203,MATCH(K156,06_КАЦ!$A$4:$A$203,0)),"")=J156),AND(V156="DIRECT",COUNTIF(06а_Оценки!$A$4:$A$203,K156)=1,IFERROR(INDEX(06а_Оценки!$N$4:$N$203,MATCH(K156,06а_Оценки!$A$4:$A$203,0)),"")="READY",IFERROR(INDEX(06а_Оценки!$B$4:$B$203,MATCH(K156,06а_Оценки!$A$4:$A$203,0)),"")=C156,IFERROR(INDEX(06а_Оценки!$E$4:$E$203,MATCH(K156,06а_Оценки!$A$4:$A$203,0)),"")=J156)),O156&lt;&gt;"",COUNTIF(13_Источники!$A$4:$A$203,O156)=1,P156&lt;&gt;"",R156&lt;&gt;""),"READY","INCOMPLETE / LINK")))</f>
        <v/>
      </c>
      <c r="O156" s="4"/>
      <c r="P156" s="4"/>
      <c r="Q156" s="4"/>
      <c r="R156" s="4"/>
      <c r="S156" s="4"/>
      <c r="T156" s="4"/>
      <c r="U156" s="4"/>
      <c r="V156" s="4"/>
    </row>
    <row r="157" customFormat="false" ht="15" hidden="false" customHeight="false" outlineLevel="0" collapsed="false">
      <c r="A157" s="4"/>
      <c r="B157" s="4"/>
      <c r="C157" s="4"/>
      <c r="D157" s="6"/>
      <c r="E157" s="4"/>
      <c r="F157" s="4"/>
      <c r="G157" s="4"/>
      <c r="H157" s="4"/>
      <c r="I157" s="4"/>
      <c r="J157" s="4"/>
      <c r="K157" s="4"/>
      <c r="L157" s="7" t="str">
        <f aca="false">IF(N157="READY",IF(V157="KAC",IFERROR(INDEX(06_КАЦ!$R$4:$R$203,MATCH(K157,06_КАЦ!$A$4:$A$203,0)),""),IFERROR(INDEX(06а_Оценки!$F$4:$F$203,MATCH(K157,06а_Оценки!$A$4:$A$203,0)),"")),"")</f>
        <v/>
      </c>
      <c r="M157" s="7" t="str">
        <f aca="false">IF(N157="READY",ROUND(I157*L157,2),"")</f>
        <v/>
      </c>
      <c r="N157" s="5" t="str">
        <f aca="false">IF(A157="","",IF(Q157="NOT_APPLICABLE",IF(AND(COUNTIF(A$4:A$203,A157)=1,H157="OUTSIDE",R157&lt;&gt;"",O157&lt;&gt;"",COUNTIF(13_Источники!$A$4:$A$203,O157)=1),"NOT_APPLICABLE","INCOMPLETE / EXCLUSION"),IF(AND(COUNTIF(A$4:A$203,A157)=1,COUNTIF(02_WBS!$A$4:$A$200,B157)=1,C157&lt;&gt;"",COUNTIF(03_Пакеты!$A$4:$A$203,C157)=1,IFERROR(INDEX(03_Пакеты!$B$4:$B$203,MATCH(C157,03_Пакеты!$A$4:$A$203,0)),"")=B157,E157&lt;&gt;"",F157&lt;&gt;"",F157&lt;&gt;"UNKNOWN",G157&lt;&gt;"",G157&lt;&gt;"UNKNOWN",OR(H157="REMAINING",H157="SUNK",H157="OUTSIDE"),ISNUMBER(I157),I157&gt;=0,OR(AND(I157&gt;0,Q157="KNOWN"),AND(I157=0,Q157="ZERO_CONFIRMED")),J157&lt;&gt;"",K157&lt;&gt;"",OR(AND(V157="KAC",COUNTIF(06_КАЦ!$A$4:$A$203,K157)=1,IFERROR(INDEX(06_КАЦ!$V$4:$V$203,MATCH(K157,06_КАЦ!$A$4:$A$203,0)),"")="SELECTED_READY",IFERROR(INDEX(06_КАЦ!$D$4:$D$203,MATCH(K157,06_КАЦ!$A$4:$A$203,0)),"")=C157,IFERROR(INDEX(06_КАЦ!$F$4:$F$203,MATCH(K157,06_КАЦ!$A$4:$A$203,0)),"")=J157),AND(V157="DIRECT",COUNTIF(06а_Оценки!$A$4:$A$203,K157)=1,IFERROR(INDEX(06а_Оценки!$N$4:$N$203,MATCH(K157,06а_Оценки!$A$4:$A$203,0)),"")="READY",IFERROR(INDEX(06а_Оценки!$B$4:$B$203,MATCH(K157,06а_Оценки!$A$4:$A$203,0)),"")=C157,IFERROR(INDEX(06а_Оценки!$E$4:$E$203,MATCH(K157,06а_Оценки!$A$4:$A$203,0)),"")=J157)),O157&lt;&gt;"",COUNTIF(13_Источники!$A$4:$A$203,O157)=1,P157&lt;&gt;"",R157&lt;&gt;""),"READY","INCOMPLETE / LINK")))</f>
        <v/>
      </c>
      <c r="O157" s="4"/>
      <c r="P157" s="4"/>
      <c r="Q157" s="4"/>
      <c r="R157" s="4"/>
      <c r="S157" s="4"/>
      <c r="T157" s="4"/>
      <c r="U157" s="4"/>
      <c r="V157" s="4"/>
    </row>
    <row r="158" customFormat="false" ht="15" hidden="false" customHeight="false" outlineLevel="0" collapsed="false">
      <c r="A158" s="4"/>
      <c r="B158" s="4"/>
      <c r="C158" s="4"/>
      <c r="D158" s="6"/>
      <c r="E158" s="4"/>
      <c r="F158" s="4"/>
      <c r="G158" s="4"/>
      <c r="H158" s="4"/>
      <c r="I158" s="4"/>
      <c r="J158" s="4"/>
      <c r="K158" s="4"/>
      <c r="L158" s="7" t="str">
        <f aca="false">IF(N158="READY",IF(V158="KAC",IFERROR(INDEX(06_КАЦ!$R$4:$R$203,MATCH(K158,06_КАЦ!$A$4:$A$203,0)),""),IFERROR(INDEX(06а_Оценки!$F$4:$F$203,MATCH(K158,06а_Оценки!$A$4:$A$203,0)),"")),"")</f>
        <v/>
      </c>
      <c r="M158" s="7" t="str">
        <f aca="false">IF(N158="READY",ROUND(I158*L158,2),"")</f>
        <v/>
      </c>
      <c r="N158" s="5" t="str">
        <f aca="false">IF(A158="","",IF(Q158="NOT_APPLICABLE",IF(AND(COUNTIF(A$4:A$203,A158)=1,H158="OUTSIDE",R158&lt;&gt;"",O158&lt;&gt;"",COUNTIF(13_Источники!$A$4:$A$203,O158)=1),"NOT_APPLICABLE","INCOMPLETE / EXCLUSION"),IF(AND(COUNTIF(A$4:A$203,A158)=1,COUNTIF(02_WBS!$A$4:$A$200,B158)=1,C158&lt;&gt;"",COUNTIF(03_Пакеты!$A$4:$A$203,C158)=1,IFERROR(INDEX(03_Пакеты!$B$4:$B$203,MATCH(C158,03_Пакеты!$A$4:$A$203,0)),"")=B158,E158&lt;&gt;"",F158&lt;&gt;"",F158&lt;&gt;"UNKNOWN",G158&lt;&gt;"",G158&lt;&gt;"UNKNOWN",OR(H158="REMAINING",H158="SUNK",H158="OUTSIDE"),ISNUMBER(I158),I158&gt;=0,OR(AND(I158&gt;0,Q158="KNOWN"),AND(I158=0,Q158="ZERO_CONFIRMED")),J158&lt;&gt;"",K158&lt;&gt;"",OR(AND(V158="KAC",COUNTIF(06_КАЦ!$A$4:$A$203,K158)=1,IFERROR(INDEX(06_КАЦ!$V$4:$V$203,MATCH(K158,06_КАЦ!$A$4:$A$203,0)),"")="SELECTED_READY",IFERROR(INDEX(06_КАЦ!$D$4:$D$203,MATCH(K158,06_КАЦ!$A$4:$A$203,0)),"")=C158,IFERROR(INDEX(06_КАЦ!$F$4:$F$203,MATCH(K158,06_КАЦ!$A$4:$A$203,0)),"")=J158),AND(V158="DIRECT",COUNTIF(06а_Оценки!$A$4:$A$203,K158)=1,IFERROR(INDEX(06а_Оценки!$N$4:$N$203,MATCH(K158,06а_Оценки!$A$4:$A$203,0)),"")="READY",IFERROR(INDEX(06а_Оценки!$B$4:$B$203,MATCH(K158,06а_Оценки!$A$4:$A$203,0)),"")=C158,IFERROR(INDEX(06а_Оценки!$E$4:$E$203,MATCH(K158,06а_Оценки!$A$4:$A$203,0)),"")=J158)),O158&lt;&gt;"",COUNTIF(13_Источники!$A$4:$A$203,O158)=1,P158&lt;&gt;"",R158&lt;&gt;""),"READY","INCOMPLETE / LINK")))</f>
        <v/>
      </c>
      <c r="O158" s="4"/>
      <c r="P158" s="4"/>
      <c r="Q158" s="4"/>
      <c r="R158" s="4"/>
      <c r="S158" s="4"/>
      <c r="T158" s="4"/>
      <c r="U158" s="4"/>
      <c r="V158" s="4"/>
    </row>
    <row r="159" customFormat="false" ht="15" hidden="false" customHeight="false" outlineLevel="0" collapsed="false">
      <c r="A159" s="4"/>
      <c r="B159" s="4"/>
      <c r="C159" s="4"/>
      <c r="D159" s="6"/>
      <c r="E159" s="4"/>
      <c r="F159" s="4"/>
      <c r="G159" s="4"/>
      <c r="H159" s="4"/>
      <c r="I159" s="4"/>
      <c r="J159" s="4"/>
      <c r="K159" s="4"/>
      <c r="L159" s="7" t="str">
        <f aca="false">IF(N159="READY",IF(V159="KAC",IFERROR(INDEX(06_КАЦ!$R$4:$R$203,MATCH(K159,06_КАЦ!$A$4:$A$203,0)),""),IFERROR(INDEX(06а_Оценки!$F$4:$F$203,MATCH(K159,06а_Оценки!$A$4:$A$203,0)),"")),"")</f>
        <v/>
      </c>
      <c r="M159" s="7" t="str">
        <f aca="false">IF(N159="READY",ROUND(I159*L159,2),"")</f>
        <v/>
      </c>
      <c r="N159" s="5" t="str">
        <f aca="false">IF(A159="","",IF(Q159="NOT_APPLICABLE",IF(AND(COUNTIF(A$4:A$203,A159)=1,H159="OUTSIDE",R159&lt;&gt;"",O159&lt;&gt;"",COUNTIF(13_Источники!$A$4:$A$203,O159)=1),"NOT_APPLICABLE","INCOMPLETE / EXCLUSION"),IF(AND(COUNTIF(A$4:A$203,A159)=1,COUNTIF(02_WBS!$A$4:$A$200,B159)=1,C159&lt;&gt;"",COUNTIF(03_Пакеты!$A$4:$A$203,C159)=1,IFERROR(INDEX(03_Пакеты!$B$4:$B$203,MATCH(C159,03_Пакеты!$A$4:$A$203,0)),"")=B159,E159&lt;&gt;"",F159&lt;&gt;"",F159&lt;&gt;"UNKNOWN",G159&lt;&gt;"",G159&lt;&gt;"UNKNOWN",OR(H159="REMAINING",H159="SUNK",H159="OUTSIDE"),ISNUMBER(I159),I159&gt;=0,OR(AND(I159&gt;0,Q159="KNOWN"),AND(I159=0,Q159="ZERO_CONFIRMED")),J159&lt;&gt;"",K159&lt;&gt;"",OR(AND(V159="KAC",COUNTIF(06_КАЦ!$A$4:$A$203,K159)=1,IFERROR(INDEX(06_КАЦ!$V$4:$V$203,MATCH(K159,06_КАЦ!$A$4:$A$203,0)),"")="SELECTED_READY",IFERROR(INDEX(06_КАЦ!$D$4:$D$203,MATCH(K159,06_КАЦ!$A$4:$A$203,0)),"")=C159,IFERROR(INDEX(06_КАЦ!$F$4:$F$203,MATCH(K159,06_КАЦ!$A$4:$A$203,0)),"")=J159),AND(V159="DIRECT",COUNTIF(06а_Оценки!$A$4:$A$203,K159)=1,IFERROR(INDEX(06а_Оценки!$N$4:$N$203,MATCH(K159,06а_Оценки!$A$4:$A$203,0)),"")="READY",IFERROR(INDEX(06а_Оценки!$B$4:$B$203,MATCH(K159,06а_Оценки!$A$4:$A$203,0)),"")=C159,IFERROR(INDEX(06а_Оценки!$E$4:$E$203,MATCH(K159,06а_Оценки!$A$4:$A$203,0)),"")=J159)),O159&lt;&gt;"",COUNTIF(13_Источники!$A$4:$A$203,O159)=1,P159&lt;&gt;"",R159&lt;&gt;""),"READY","INCOMPLETE / LINK")))</f>
        <v/>
      </c>
      <c r="O159" s="4"/>
      <c r="P159" s="4"/>
      <c r="Q159" s="4"/>
      <c r="R159" s="4"/>
      <c r="S159" s="4"/>
      <c r="T159" s="4"/>
      <c r="U159" s="4"/>
      <c r="V159" s="4"/>
    </row>
    <row r="160" customFormat="false" ht="15" hidden="false" customHeight="false" outlineLevel="0" collapsed="false">
      <c r="A160" s="4"/>
      <c r="B160" s="4"/>
      <c r="C160" s="4"/>
      <c r="D160" s="6"/>
      <c r="E160" s="4"/>
      <c r="F160" s="4"/>
      <c r="G160" s="4"/>
      <c r="H160" s="4"/>
      <c r="I160" s="4"/>
      <c r="J160" s="4"/>
      <c r="K160" s="4"/>
      <c r="L160" s="7" t="str">
        <f aca="false">IF(N160="READY",IF(V160="KAC",IFERROR(INDEX(06_КАЦ!$R$4:$R$203,MATCH(K160,06_КАЦ!$A$4:$A$203,0)),""),IFERROR(INDEX(06а_Оценки!$F$4:$F$203,MATCH(K160,06а_Оценки!$A$4:$A$203,0)),"")),"")</f>
        <v/>
      </c>
      <c r="M160" s="7" t="str">
        <f aca="false">IF(N160="READY",ROUND(I160*L160,2),"")</f>
        <v/>
      </c>
      <c r="N160" s="5" t="str">
        <f aca="false">IF(A160="","",IF(Q160="NOT_APPLICABLE",IF(AND(COUNTIF(A$4:A$203,A160)=1,H160="OUTSIDE",R160&lt;&gt;"",O160&lt;&gt;"",COUNTIF(13_Источники!$A$4:$A$203,O160)=1),"NOT_APPLICABLE","INCOMPLETE / EXCLUSION"),IF(AND(COUNTIF(A$4:A$203,A160)=1,COUNTIF(02_WBS!$A$4:$A$200,B160)=1,C160&lt;&gt;"",COUNTIF(03_Пакеты!$A$4:$A$203,C160)=1,IFERROR(INDEX(03_Пакеты!$B$4:$B$203,MATCH(C160,03_Пакеты!$A$4:$A$203,0)),"")=B160,E160&lt;&gt;"",F160&lt;&gt;"",F160&lt;&gt;"UNKNOWN",G160&lt;&gt;"",G160&lt;&gt;"UNKNOWN",OR(H160="REMAINING",H160="SUNK",H160="OUTSIDE"),ISNUMBER(I160),I160&gt;=0,OR(AND(I160&gt;0,Q160="KNOWN"),AND(I160=0,Q160="ZERO_CONFIRMED")),J160&lt;&gt;"",K160&lt;&gt;"",OR(AND(V160="KAC",COUNTIF(06_КАЦ!$A$4:$A$203,K160)=1,IFERROR(INDEX(06_КАЦ!$V$4:$V$203,MATCH(K160,06_КАЦ!$A$4:$A$203,0)),"")="SELECTED_READY",IFERROR(INDEX(06_КАЦ!$D$4:$D$203,MATCH(K160,06_КАЦ!$A$4:$A$203,0)),"")=C160,IFERROR(INDEX(06_КАЦ!$F$4:$F$203,MATCH(K160,06_КАЦ!$A$4:$A$203,0)),"")=J160),AND(V160="DIRECT",COUNTIF(06а_Оценки!$A$4:$A$203,K160)=1,IFERROR(INDEX(06а_Оценки!$N$4:$N$203,MATCH(K160,06а_Оценки!$A$4:$A$203,0)),"")="READY",IFERROR(INDEX(06а_Оценки!$B$4:$B$203,MATCH(K160,06а_Оценки!$A$4:$A$203,0)),"")=C160,IFERROR(INDEX(06а_Оценки!$E$4:$E$203,MATCH(K160,06а_Оценки!$A$4:$A$203,0)),"")=J160)),O160&lt;&gt;"",COUNTIF(13_Источники!$A$4:$A$203,O160)=1,P160&lt;&gt;"",R160&lt;&gt;""),"READY","INCOMPLETE / LINK")))</f>
        <v/>
      </c>
      <c r="O160" s="4"/>
      <c r="P160" s="4"/>
      <c r="Q160" s="4"/>
      <c r="R160" s="4"/>
      <c r="S160" s="4"/>
      <c r="T160" s="4"/>
      <c r="U160" s="4"/>
      <c r="V160" s="4"/>
    </row>
    <row r="161" customFormat="false" ht="15" hidden="false" customHeight="false" outlineLevel="0" collapsed="false">
      <c r="A161" s="4"/>
      <c r="B161" s="4"/>
      <c r="C161" s="4"/>
      <c r="D161" s="6"/>
      <c r="E161" s="4"/>
      <c r="F161" s="4"/>
      <c r="G161" s="4"/>
      <c r="H161" s="4"/>
      <c r="I161" s="4"/>
      <c r="J161" s="4"/>
      <c r="K161" s="4"/>
      <c r="L161" s="7" t="str">
        <f aca="false">IF(N161="READY",IF(V161="KAC",IFERROR(INDEX(06_КАЦ!$R$4:$R$203,MATCH(K161,06_КАЦ!$A$4:$A$203,0)),""),IFERROR(INDEX(06а_Оценки!$F$4:$F$203,MATCH(K161,06а_Оценки!$A$4:$A$203,0)),"")),"")</f>
        <v/>
      </c>
      <c r="M161" s="7" t="str">
        <f aca="false">IF(N161="READY",ROUND(I161*L161,2),"")</f>
        <v/>
      </c>
      <c r="N161" s="5" t="str">
        <f aca="false">IF(A161="","",IF(Q161="NOT_APPLICABLE",IF(AND(COUNTIF(A$4:A$203,A161)=1,H161="OUTSIDE",R161&lt;&gt;"",O161&lt;&gt;"",COUNTIF(13_Источники!$A$4:$A$203,O161)=1),"NOT_APPLICABLE","INCOMPLETE / EXCLUSION"),IF(AND(COUNTIF(A$4:A$203,A161)=1,COUNTIF(02_WBS!$A$4:$A$200,B161)=1,C161&lt;&gt;"",COUNTIF(03_Пакеты!$A$4:$A$203,C161)=1,IFERROR(INDEX(03_Пакеты!$B$4:$B$203,MATCH(C161,03_Пакеты!$A$4:$A$203,0)),"")=B161,E161&lt;&gt;"",F161&lt;&gt;"",F161&lt;&gt;"UNKNOWN",G161&lt;&gt;"",G161&lt;&gt;"UNKNOWN",OR(H161="REMAINING",H161="SUNK",H161="OUTSIDE"),ISNUMBER(I161),I161&gt;=0,OR(AND(I161&gt;0,Q161="KNOWN"),AND(I161=0,Q161="ZERO_CONFIRMED")),J161&lt;&gt;"",K161&lt;&gt;"",OR(AND(V161="KAC",COUNTIF(06_КАЦ!$A$4:$A$203,K161)=1,IFERROR(INDEX(06_КАЦ!$V$4:$V$203,MATCH(K161,06_КАЦ!$A$4:$A$203,0)),"")="SELECTED_READY",IFERROR(INDEX(06_КАЦ!$D$4:$D$203,MATCH(K161,06_КАЦ!$A$4:$A$203,0)),"")=C161,IFERROR(INDEX(06_КАЦ!$F$4:$F$203,MATCH(K161,06_КАЦ!$A$4:$A$203,0)),"")=J161),AND(V161="DIRECT",COUNTIF(06а_Оценки!$A$4:$A$203,K161)=1,IFERROR(INDEX(06а_Оценки!$N$4:$N$203,MATCH(K161,06а_Оценки!$A$4:$A$203,0)),"")="READY",IFERROR(INDEX(06а_Оценки!$B$4:$B$203,MATCH(K161,06а_Оценки!$A$4:$A$203,0)),"")=C161,IFERROR(INDEX(06а_Оценки!$E$4:$E$203,MATCH(K161,06а_Оценки!$A$4:$A$203,0)),"")=J161)),O161&lt;&gt;"",COUNTIF(13_Источники!$A$4:$A$203,O161)=1,P161&lt;&gt;"",R161&lt;&gt;""),"READY","INCOMPLETE / LINK")))</f>
        <v/>
      </c>
      <c r="O161" s="4"/>
      <c r="P161" s="4"/>
      <c r="Q161" s="4"/>
      <c r="R161" s="4"/>
      <c r="S161" s="4"/>
      <c r="T161" s="4"/>
      <c r="U161" s="4"/>
      <c r="V161" s="4"/>
    </row>
    <row r="162" customFormat="false" ht="15" hidden="false" customHeight="false" outlineLevel="0" collapsed="false">
      <c r="A162" s="4"/>
      <c r="B162" s="4"/>
      <c r="C162" s="4"/>
      <c r="D162" s="6"/>
      <c r="E162" s="4"/>
      <c r="F162" s="4"/>
      <c r="G162" s="4"/>
      <c r="H162" s="4"/>
      <c r="I162" s="4"/>
      <c r="J162" s="4"/>
      <c r="K162" s="4"/>
      <c r="L162" s="7" t="str">
        <f aca="false">IF(N162="READY",IF(V162="KAC",IFERROR(INDEX(06_КАЦ!$R$4:$R$203,MATCH(K162,06_КАЦ!$A$4:$A$203,0)),""),IFERROR(INDEX(06а_Оценки!$F$4:$F$203,MATCH(K162,06а_Оценки!$A$4:$A$203,0)),"")),"")</f>
        <v/>
      </c>
      <c r="M162" s="7" t="str">
        <f aca="false">IF(N162="READY",ROUND(I162*L162,2),"")</f>
        <v/>
      </c>
      <c r="N162" s="5" t="str">
        <f aca="false">IF(A162="","",IF(Q162="NOT_APPLICABLE",IF(AND(COUNTIF(A$4:A$203,A162)=1,H162="OUTSIDE",R162&lt;&gt;"",O162&lt;&gt;"",COUNTIF(13_Источники!$A$4:$A$203,O162)=1),"NOT_APPLICABLE","INCOMPLETE / EXCLUSION"),IF(AND(COUNTIF(A$4:A$203,A162)=1,COUNTIF(02_WBS!$A$4:$A$200,B162)=1,C162&lt;&gt;"",COUNTIF(03_Пакеты!$A$4:$A$203,C162)=1,IFERROR(INDEX(03_Пакеты!$B$4:$B$203,MATCH(C162,03_Пакеты!$A$4:$A$203,0)),"")=B162,E162&lt;&gt;"",F162&lt;&gt;"",F162&lt;&gt;"UNKNOWN",G162&lt;&gt;"",G162&lt;&gt;"UNKNOWN",OR(H162="REMAINING",H162="SUNK",H162="OUTSIDE"),ISNUMBER(I162),I162&gt;=0,OR(AND(I162&gt;0,Q162="KNOWN"),AND(I162=0,Q162="ZERO_CONFIRMED")),J162&lt;&gt;"",K162&lt;&gt;"",OR(AND(V162="KAC",COUNTIF(06_КАЦ!$A$4:$A$203,K162)=1,IFERROR(INDEX(06_КАЦ!$V$4:$V$203,MATCH(K162,06_КАЦ!$A$4:$A$203,0)),"")="SELECTED_READY",IFERROR(INDEX(06_КАЦ!$D$4:$D$203,MATCH(K162,06_КАЦ!$A$4:$A$203,0)),"")=C162,IFERROR(INDEX(06_КАЦ!$F$4:$F$203,MATCH(K162,06_КАЦ!$A$4:$A$203,0)),"")=J162),AND(V162="DIRECT",COUNTIF(06а_Оценки!$A$4:$A$203,K162)=1,IFERROR(INDEX(06а_Оценки!$N$4:$N$203,MATCH(K162,06а_Оценки!$A$4:$A$203,0)),"")="READY",IFERROR(INDEX(06а_Оценки!$B$4:$B$203,MATCH(K162,06а_Оценки!$A$4:$A$203,0)),"")=C162,IFERROR(INDEX(06а_Оценки!$E$4:$E$203,MATCH(K162,06а_Оценки!$A$4:$A$203,0)),"")=J162)),O162&lt;&gt;"",COUNTIF(13_Источники!$A$4:$A$203,O162)=1,P162&lt;&gt;"",R162&lt;&gt;""),"READY","INCOMPLETE / LINK")))</f>
        <v/>
      </c>
      <c r="O162" s="4"/>
      <c r="P162" s="4"/>
      <c r="Q162" s="4"/>
      <c r="R162" s="4"/>
      <c r="S162" s="4"/>
      <c r="T162" s="4"/>
      <c r="U162" s="4"/>
      <c r="V162" s="4"/>
    </row>
    <row r="163" customFormat="false" ht="15" hidden="false" customHeight="false" outlineLevel="0" collapsed="false">
      <c r="A163" s="4"/>
      <c r="B163" s="4"/>
      <c r="C163" s="4"/>
      <c r="D163" s="6"/>
      <c r="E163" s="4"/>
      <c r="F163" s="4"/>
      <c r="G163" s="4"/>
      <c r="H163" s="4"/>
      <c r="I163" s="4"/>
      <c r="J163" s="4"/>
      <c r="K163" s="4"/>
      <c r="L163" s="7" t="str">
        <f aca="false">IF(N163="READY",IF(V163="KAC",IFERROR(INDEX(06_КАЦ!$R$4:$R$203,MATCH(K163,06_КАЦ!$A$4:$A$203,0)),""),IFERROR(INDEX(06а_Оценки!$F$4:$F$203,MATCH(K163,06а_Оценки!$A$4:$A$203,0)),"")),"")</f>
        <v/>
      </c>
      <c r="M163" s="7" t="str">
        <f aca="false">IF(N163="READY",ROUND(I163*L163,2),"")</f>
        <v/>
      </c>
      <c r="N163" s="5" t="str">
        <f aca="false">IF(A163="","",IF(Q163="NOT_APPLICABLE",IF(AND(COUNTIF(A$4:A$203,A163)=1,H163="OUTSIDE",R163&lt;&gt;"",O163&lt;&gt;"",COUNTIF(13_Источники!$A$4:$A$203,O163)=1),"NOT_APPLICABLE","INCOMPLETE / EXCLUSION"),IF(AND(COUNTIF(A$4:A$203,A163)=1,COUNTIF(02_WBS!$A$4:$A$200,B163)=1,C163&lt;&gt;"",COUNTIF(03_Пакеты!$A$4:$A$203,C163)=1,IFERROR(INDEX(03_Пакеты!$B$4:$B$203,MATCH(C163,03_Пакеты!$A$4:$A$203,0)),"")=B163,E163&lt;&gt;"",F163&lt;&gt;"",F163&lt;&gt;"UNKNOWN",G163&lt;&gt;"",G163&lt;&gt;"UNKNOWN",OR(H163="REMAINING",H163="SUNK",H163="OUTSIDE"),ISNUMBER(I163),I163&gt;=0,OR(AND(I163&gt;0,Q163="KNOWN"),AND(I163=0,Q163="ZERO_CONFIRMED")),J163&lt;&gt;"",K163&lt;&gt;"",OR(AND(V163="KAC",COUNTIF(06_КАЦ!$A$4:$A$203,K163)=1,IFERROR(INDEX(06_КАЦ!$V$4:$V$203,MATCH(K163,06_КАЦ!$A$4:$A$203,0)),"")="SELECTED_READY",IFERROR(INDEX(06_КАЦ!$D$4:$D$203,MATCH(K163,06_КАЦ!$A$4:$A$203,0)),"")=C163,IFERROR(INDEX(06_КАЦ!$F$4:$F$203,MATCH(K163,06_КАЦ!$A$4:$A$203,0)),"")=J163),AND(V163="DIRECT",COUNTIF(06а_Оценки!$A$4:$A$203,K163)=1,IFERROR(INDEX(06а_Оценки!$N$4:$N$203,MATCH(K163,06а_Оценки!$A$4:$A$203,0)),"")="READY",IFERROR(INDEX(06а_Оценки!$B$4:$B$203,MATCH(K163,06а_Оценки!$A$4:$A$203,0)),"")=C163,IFERROR(INDEX(06а_Оценки!$E$4:$E$203,MATCH(K163,06а_Оценки!$A$4:$A$203,0)),"")=J163)),O163&lt;&gt;"",COUNTIF(13_Источники!$A$4:$A$203,O163)=1,P163&lt;&gt;"",R163&lt;&gt;""),"READY","INCOMPLETE / LINK")))</f>
        <v/>
      </c>
      <c r="O163" s="4"/>
      <c r="P163" s="4"/>
      <c r="Q163" s="4"/>
      <c r="R163" s="4"/>
      <c r="S163" s="4"/>
      <c r="T163" s="4"/>
      <c r="U163" s="4"/>
      <c r="V163" s="4"/>
    </row>
    <row r="164" customFormat="false" ht="15" hidden="false" customHeight="false" outlineLevel="0" collapsed="false">
      <c r="A164" s="4"/>
      <c r="B164" s="4"/>
      <c r="C164" s="4"/>
      <c r="D164" s="6"/>
      <c r="E164" s="4"/>
      <c r="F164" s="4"/>
      <c r="G164" s="4"/>
      <c r="H164" s="4"/>
      <c r="I164" s="4"/>
      <c r="J164" s="4"/>
      <c r="K164" s="4"/>
      <c r="L164" s="7" t="str">
        <f aca="false">IF(N164="READY",IF(V164="KAC",IFERROR(INDEX(06_КАЦ!$R$4:$R$203,MATCH(K164,06_КАЦ!$A$4:$A$203,0)),""),IFERROR(INDEX(06а_Оценки!$F$4:$F$203,MATCH(K164,06а_Оценки!$A$4:$A$203,0)),"")),"")</f>
        <v/>
      </c>
      <c r="M164" s="7" t="str">
        <f aca="false">IF(N164="READY",ROUND(I164*L164,2),"")</f>
        <v/>
      </c>
      <c r="N164" s="5" t="str">
        <f aca="false">IF(A164="","",IF(Q164="NOT_APPLICABLE",IF(AND(COUNTIF(A$4:A$203,A164)=1,H164="OUTSIDE",R164&lt;&gt;"",O164&lt;&gt;"",COUNTIF(13_Источники!$A$4:$A$203,O164)=1),"NOT_APPLICABLE","INCOMPLETE / EXCLUSION"),IF(AND(COUNTIF(A$4:A$203,A164)=1,COUNTIF(02_WBS!$A$4:$A$200,B164)=1,C164&lt;&gt;"",COUNTIF(03_Пакеты!$A$4:$A$203,C164)=1,IFERROR(INDEX(03_Пакеты!$B$4:$B$203,MATCH(C164,03_Пакеты!$A$4:$A$203,0)),"")=B164,E164&lt;&gt;"",F164&lt;&gt;"",F164&lt;&gt;"UNKNOWN",G164&lt;&gt;"",G164&lt;&gt;"UNKNOWN",OR(H164="REMAINING",H164="SUNK",H164="OUTSIDE"),ISNUMBER(I164),I164&gt;=0,OR(AND(I164&gt;0,Q164="KNOWN"),AND(I164=0,Q164="ZERO_CONFIRMED")),J164&lt;&gt;"",K164&lt;&gt;"",OR(AND(V164="KAC",COUNTIF(06_КАЦ!$A$4:$A$203,K164)=1,IFERROR(INDEX(06_КАЦ!$V$4:$V$203,MATCH(K164,06_КАЦ!$A$4:$A$203,0)),"")="SELECTED_READY",IFERROR(INDEX(06_КАЦ!$D$4:$D$203,MATCH(K164,06_КАЦ!$A$4:$A$203,0)),"")=C164,IFERROR(INDEX(06_КАЦ!$F$4:$F$203,MATCH(K164,06_КАЦ!$A$4:$A$203,0)),"")=J164),AND(V164="DIRECT",COUNTIF(06а_Оценки!$A$4:$A$203,K164)=1,IFERROR(INDEX(06а_Оценки!$N$4:$N$203,MATCH(K164,06а_Оценки!$A$4:$A$203,0)),"")="READY",IFERROR(INDEX(06а_Оценки!$B$4:$B$203,MATCH(K164,06а_Оценки!$A$4:$A$203,0)),"")=C164,IFERROR(INDEX(06а_Оценки!$E$4:$E$203,MATCH(K164,06а_Оценки!$A$4:$A$203,0)),"")=J164)),O164&lt;&gt;"",COUNTIF(13_Источники!$A$4:$A$203,O164)=1,P164&lt;&gt;"",R164&lt;&gt;""),"READY","INCOMPLETE / LINK")))</f>
        <v/>
      </c>
      <c r="O164" s="4"/>
      <c r="P164" s="4"/>
      <c r="Q164" s="4"/>
      <c r="R164" s="4"/>
      <c r="S164" s="4"/>
      <c r="T164" s="4"/>
      <c r="U164" s="4"/>
      <c r="V164" s="4"/>
    </row>
    <row r="165" customFormat="false" ht="15" hidden="false" customHeight="false" outlineLevel="0" collapsed="false">
      <c r="A165" s="4"/>
      <c r="B165" s="4"/>
      <c r="C165" s="4"/>
      <c r="D165" s="6"/>
      <c r="E165" s="4"/>
      <c r="F165" s="4"/>
      <c r="G165" s="4"/>
      <c r="H165" s="4"/>
      <c r="I165" s="4"/>
      <c r="J165" s="4"/>
      <c r="K165" s="4"/>
      <c r="L165" s="7" t="str">
        <f aca="false">IF(N165="READY",IF(V165="KAC",IFERROR(INDEX(06_КАЦ!$R$4:$R$203,MATCH(K165,06_КАЦ!$A$4:$A$203,0)),""),IFERROR(INDEX(06а_Оценки!$F$4:$F$203,MATCH(K165,06а_Оценки!$A$4:$A$203,0)),"")),"")</f>
        <v/>
      </c>
      <c r="M165" s="7" t="str">
        <f aca="false">IF(N165="READY",ROUND(I165*L165,2),"")</f>
        <v/>
      </c>
      <c r="N165" s="5" t="str">
        <f aca="false">IF(A165="","",IF(Q165="NOT_APPLICABLE",IF(AND(COUNTIF(A$4:A$203,A165)=1,H165="OUTSIDE",R165&lt;&gt;"",O165&lt;&gt;"",COUNTIF(13_Источники!$A$4:$A$203,O165)=1),"NOT_APPLICABLE","INCOMPLETE / EXCLUSION"),IF(AND(COUNTIF(A$4:A$203,A165)=1,COUNTIF(02_WBS!$A$4:$A$200,B165)=1,C165&lt;&gt;"",COUNTIF(03_Пакеты!$A$4:$A$203,C165)=1,IFERROR(INDEX(03_Пакеты!$B$4:$B$203,MATCH(C165,03_Пакеты!$A$4:$A$203,0)),"")=B165,E165&lt;&gt;"",F165&lt;&gt;"",F165&lt;&gt;"UNKNOWN",G165&lt;&gt;"",G165&lt;&gt;"UNKNOWN",OR(H165="REMAINING",H165="SUNK",H165="OUTSIDE"),ISNUMBER(I165),I165&gt;=0,OR(AND(I165&gt;0,Q165="KNOWN"),AND(I165=0,Q165="ZERO_CONFIRMED")),J165&lt;&gt;"",K165&lt;&gt;"",OR(AND(V165="KAC",COUNTIF(06_КАЦ!$A$4:$A$203,K165)=1,IFERROR(INDEX(06_КАЦ!$V$4:$V$203,MATCH(K165,06_КАЦ!$A$4:$A$203,0)),"")="SELECTED_READY",IFERROR(INDEX(06_КАЦ!$D$4:$D$203,MATCH(K165,06_КАЦ!$A$4:$A$203,0)),"")=C165,IFERROR(INDEX(06_КАЦ!$F$4:$F$203,MATCH(K165,06_КАЦ!$A$4:$A$203,0)),"")=J165),AND(V165="DIRECT",COUNTIF(06а_Оценки!$A$4:$A$203,K165)=1,IFERROR(INDEX(06а_Оценки!$N$4:$N$203,MATCH(K165,06а_Оценки!$A$4:$A$203,0)),"")="READY",IFERROR(INDEX(06а_Оценки!$B$4:$B$203,MATCH(K165,06а_Оценки!$A$4:$A$203,0)),"")=C165,IFERROR(INDEX(06а_Оценки!$E$4:$E$203,MATCH(K165,06а_Оценки!$A$4:$A$203,0)),"")=J165)),O165&lt;&gt;"",COUNTIF(13_Источники!$A$4:$A$203,O165)=1,P165&lt;&gt;"",R165&lt;&gt;""),"READY","INCOMPLETE / LINK")))</f>
        <v/>
      </c>
      <c r="O165" s="4"/>
      <c r="P165" s="4"/>
      <c r="Q165" s="4"/>
      <c r="R165" s="4"/>
      <c r="S165" s="4"/>
      <c r="T165" s="4"/>
      <c r="U165" s="4"/>
      <c r="V165" s="4"/>
    </row>
    <row r="166" customFormat="false" ht="15" hidden="false" customHeight="false" outlineLevel="0" collapsed="false">
      <c r="A166" s="4"/>
      <c r="B166" s="4"/>
      <c r="C166" s="4"/>
      <c r="D166" s="6"/>
      <c r="E166" s="4"/>
      <c r="F166" s="4"/>
      <c r="G166" s="4"/>
      <c r="H166" s="4"/>
      <c r="I166" s="4"/>
      <c r="J166" s="4"/>
      <c r="K166" s="4"/>
      <c r="L166" s="7" t="str">
        <f aca="false">IF(N166="READY",IF(V166="KAC",IFERROR(INDEX(06_КАЦ!$R$4:$R$203,MATCH(K166,06_КАЦ!$A$4:$A$203,0)),""),IFERROR(INDEX(06а_Оценки!$F$4:$F$203,MATCH(K166,06а_Оценки!$A$4:$A$203,0)),"")),"")</f>
        <v/>
      </c>
      <c r="M166" s="7" t="str">
        <f aca="false">IF(N166="READY",ROUND(I166*L166,2),"")</f>
        <v/>
      </c>
      <c r="N166" s="5" t="str">
        <f aca="false">IF(A166="","",IF(Q166="NOT_APPLICABLE",IF(AND(COUNTIF(A$4:A$203,A166)=1,H166="OUTSIDE",R166&lt;&gt;"",O166&lt;&gt;"",COUNTIF(13_Источники!$A$4:$A$203,O166)=1),"NOT_APPLICABLE","INCOMPLETE / EXCLUSION"),IF(AND(COUNTIF(A$4:A$203,A166)=1,COUNTIF(02_WBS!$A$4:$A$200,B166)=1,C166&lt;&gt;"",COUNTIF(03_Пакеты!$A$4:$A$203,C166)=1,IFERROR(INDEX(03_Пакеты!$B$4:$B$203,MATCH(C166,03_Пакеты!$A$4:$A$203,0)),"")=B166,E166&lt;&gt;"",F166&lt;&gt;"",F166&lt;&gt;"UNKNOWN",G166&lt;&gt;"",G166&lt;&gt;"UNKNOWN",OR(H166="REMAINING",H166="SUNK",H166="OUTSIDE"),ISNUMBER(I166),I166&gt;=0,OR(AND(I166&gt;0,Q166="KNOWN"),AND(I166=0,Q166="ZERO_CONFIRMED")),J166&lt;&gt;"",K166&lt;&gt;"",OR(AND(V166="KAC",COUNTIF(06_КАЦ!$A$4:$A$203,K166)=1,IFERROR(INDEX(06_КАЦ!$V$4:$V$203,MATCH(K166,06_КАЦ!$A$4:$A$203,0)),"")="SELECTED_READY",IFERROR(INDEX(06_КАЦ!$D$4:$D$203,MATCH(K166,06_КАЦ!$A$4:$A$203,0)),"")=C166,IFERROR(INDEX(06_КАЦ!$F$4:$F$203,MATCH(K166,06_КАЦ!$A$4:$A$203,0)),"")=J166),AND(V166="DIRECT",COUNTIF(06а_Оценки!$A$4:$A$203,K166)=1,IFERROR(INDEX(06а_Оценки!$N$4:$N$203,MATCH(K166,06а_Оценки!$A$4:$A$203,0)),"")="READY",IFERROR(INDEX(06а_Оценки!$B$4:$B$203,MATCH(K166,06а_Оценки!$A$4:$A$203,0)),"")=C166,IFERROR(INDEX(06а_Оценки!$E$4:$E$203,MATCH(K166,06а_Оценки!$A$4:$A$203,0)),"")=J166)),O166&lt;&gt;"",COUNTIF(13_Источники!$A$4:$A$203,O166)=1,P166&lt;&gt;"",R166&lt;&gt;""),"READY","INCOMPLETE / LINK")))</f>
        <v/>
      </c>
      <c r="O166" s="4"/>
      <c r="P166" s="4"/>
      <c r="Q166" s="4"/>
      <c r="R166" s="4"/>
      <c r="S166" s="4"/>
      <c r="T166" s="4"/>
      <c r="U166" s="4"/>
      <c r="V166" s="4"/>
    </row>
    <row r="167" customFormat="false" ht="15" hidden="false" customHeight="false" outlineLevel="0" collapsed="false">
      <c r="A167" s="4"/>
      <c r="B167" s="4"/>
      <c r="C167" s="4"/>
      <c r="D167" s="6"/>
      <c r="E167" s="4"/>
      <c r="F167" s="4"/>
      <c r="G167" s="4"/>
      <c r="H167" s="4"/>
      <c r="I167" s="4"/>
      <c r="J167" s="4"/>
      <c r="K167" s="4"/>
      <c r="L167" s="7" t="str">
        <f aca="false">IF(N167="READY",IF(V167="KAC",IFERROR(INDEX(06_КАЦ!$R$4:$R$203,MATCH(K167,06_КАЦ!$A$4:$A$203,0)),""),IFERROR(INDEX(06а_Оценки!$F$4:$F$203,MATCH(K167,06а_Оценки!$A$4:$A$203,0)),"")),"")</f>
        <v/>
      </c>
      <c r="M167" s="7" t="str">
        <f aca="false">IF(N167="READY",ROUND(I167*L167,2),"")</f>
        <v/>
      </c>
      <c r="N167" s="5" t="str">
        <f aca="false">IF(A167="","",IF(Q167="NOT_APPLICABLE",IF(AND(COUNTIF(A$4:A$203,A167)=1,H167="OUTSIDE",R167&lt;&gt;"",O167&lt;&gt;"",COUNTIF(13_Источники!$A$4:$A$203,O167)=1),"NOT_APPLICABLE","INCOMPLETE / EXCLUSION"),IF(AND(COUNTIF(A$4:A$203,A167)=1,COUNTIF(02_WBS!$A$4:$A$200,B167)=1,C167&lt;&gt;"",COUNTIF(03_Пакеты!$A$4:$A$203,C167)=1,IFERROR(INDEX(03_Пакеты!$B$4:$B$203,MATCH(C167,03_Пакеты!$A$4:$A$203,0)),"")=B167,E167&lt;&gt;"",F167&lt;&gt;"",F167&lt;&gt;"UNKNOWN",G167&lt;&gt;"",G167&lt;&gt;"UNKNOWN",OR(H167="REMAINING",H167="SUNK",H167="OUTSIDE"),ISNUMBER(I167),I167&gt;=0,OR(AND(I167&gt;0,Q167="KNOWN"),AND(I167=0,Q167="ZERO_CONFIRMED")),J167&lt;&gt;"",K167&lt;&gt;"",OR(AND(V167="KAC",COUNTIF(06_КАЦ!$A$4:$A$203,K167)=1,IFERROR(INDEX(06_КАЦ!$V$4:$V$203,MATCH(K167,06_КАЦ!$A$4:$A$203,0)),"")="SELECTED_READY",IFERROR(INDEX(06_КАЦ!$D$4:$D$203,MATCH(K167,06_КАЦ!$A$4:$A$203,0)),"")=C167,IFERROR(INDEX(06_КАЦ!$F$4:$F$203,MATCH(K167,06_КАЦ!$A$4:$A$203,0)),"")=J167),AND(V167="DIRECT",COUNTIF(06а_Оценки!$A$4:$A$203,K167)=1,IFERROR(INDEX(06а_Оценки!$N$4:$N$203,MATCH(K167,06а_Оценки!$A$4:$A$203,0)),"")="READY",IFERROR(INDEX(06а_Оценки!$B$4:$B$203,MATCH(K167,06а_Оценки!$A$4:$A$203,0)),"")=C167,IFERROR(INDEX(06а_Оценки!$E$4:$E$203,MATCH(K167,06а_Оценки!$A$4:$A$203,0)),"")=J167)),O167&lt;&gt;"",COUNTIF(13_Источники!$A$4:$A$203,O167)=1,P167&lt;&gt;"",R167&lt;&gt;""),"READY","INCOMPLETE / LINK")))</f>
        <v/>
      </c>
      <c r="O167" s="4"/>
      <c r="P167" s="4"/>
      <c r="Q167" s="4"/>
      <c r="R167" s="4"/>
      <c r="S167" s="4"/>
      <c r="T167" s="4"/>
      <c r="U167" s="4"/>
      <c r="V167" s="4"/>
    </row>
    <row r="168" customFormat="false" ht="15" hidden="false" customHeight="false" outlineLevel="0" collapsed="false">
      <c r="A168" s="4"/>
      <c r="B168" s="4"/>
      <c r="C168" s="4"/>
      <c r="D168" s="6"/>
      <c r="E168" s="4"/>
      <c r="F168" s="4"/>
      <c r="G168" s="4"/>
      <c r="H168" s="4"/>
      <c r="I168" s="4"/>
      <c r="J168" s="4"/>
      <c r="K168" s="4"/>
      <c r="L168" s="7" t="str">
        <f aca="false">IF(N168="READY",IF(V168="KAC",IFERROR(INDEX(06_КАЦ!$R$4:$R$203,MATCH(K168,06_КАЦ!$A$4:$A$203,0)),""),IFERROR(INDEX(06а_Оценки!$F$4:$F$203,MATCH(K168,06а_Оценки!$A$4:$A$203,0)),"")),"")</f>
        <v/>
      </c>
      <c r="M168" s="7" t="str">
        <f aca="false">IF(N168="READY",ROUND(I168*L168,2),"")</f>
        <v/>
      </c>
      <c r="N168" s="5" t="str">
        <f aca="false">IF(A168="","",IF(Q168="NOT_APPLICABLE",IF(AND(COUNTIF(A$4:A$203,A168)=1,H168="OUTSIDE",R168&lt;&gt;"",O168&lt;&gt;"",COUNTIF(13_Источники!$A$4:$A$203,O168)=1),"NOT_APPLICABLE","INCOMPLETE / EXCLUSION"),IF(AND(COUNTIF(A$4:A$203,A168)=1,COUNTIF(02_WBS!$A$4:$A$200,B168)=1,C168&lt;&gt;"",COUNTIF(03_Пакеты!$A$4:$A$203,C168)=1,IFERROR(INDEX(03_Пакеты!$B$4:$B$203,MATCH(C168,03_Пакеты!$A$4:$A$203,0)),"")=B168,E168&lt;&gt;"",F168&lt;&gt;"",F168&lt;&gt;"UNKNOWN",G168&lt;&gt;"",G168&lt;&gt;"UNKNOWN",OR(H168="REMAINING",H168="SUNK",H168="OUTSIDE"),ISNUMBER(I168),I168&gt;=0,OR(AND(I168&gt;0,Q168="KNOWN"),AND(I168=0,Q168="ZERO_CONFIRMED")),J168&lt;&gt;"",K168&lt;&gt;"",OR(AND(V168="KAC",COUNTIF(06_КАЦ!$A$4:$A$203,K168)=1,IFERROR(INDEX(06_КАЦ!$V$4:$V$203,MATCH(K168,06_КАЦ!$A$4:$A$203,0)),"")="SELECTED_READY",IFERROR(INDEX(06_КАЦ!$D$4:$D$203,MATCH(K168,06_КАЦ!$A$4:$A$203,0)),"")=C168,IFERROR(INDEX(06_КАЦ!$F$4:$F$203,MATCH(K168,06_КАЦ!$A$4:$A$203,0)),"")=J168),AND(V168="DIRECT",COUNTIF(06а_Оценки!$A$4:$A$203,K168)=1,IFERROR(INDEX(06а_Оценки!$N$4:$N$203,MATCH(K168,06а_Оценки!$A$4:$A$203,0)),"")="READY",IFERROR(INDEX(06а_Оценки!$B$4:$B$203,MATCH(K168,06а_Оценки!$A$4:$A$203,0)),"")=C168,IFERROR(INDEX(06а_Оценки!$E$4:$E$203,MATCH(K168,06а_Оценки!$A$4:$A$203,0)),"")=J168)),O168&lt;&gt;"",COUNTIF(13_Источники!$A$4:$A$203,O168)=1,P168&lt;&gt;"",R168&lt;&gt;""),"READY","INCOMPLETE / LINK")))</f>
        <v/>
      </c>
      <c r="O168" s="4"/>
      <c r="P168" s="4"/>
      <c r="Q168" s="4"/>
      <c r="R168" s="4"/>
      <c r="S168" s="4"/>
      <c r="T168" s="4"/>
      <c r="U168" s="4"/>
      <c r="V168" s="4"/>
    </row>
    <row r="169" customFormat="false" ht="15" hidden="false" customHeight="false" outlineLevel="0" collapsed="false">
      <c r="A169" s="4"/>
      <c r="B169" s="4"/>
      <c r="C169" s="4"/>
      <c r="D169" s="6"/>
      <c r="E169" s="4"/>
      <c r="F169" s="4"/>
      <c r="G169" s="4"/>
      <c r="H169" s="4"/>
      <c r="I169" s="4"/>
      <c r="J169" s="4"/>
      <c r="K169" s="4"/>
      <c r="L169" s="7" t="str">
        <f aca="false">IF(N169="READY",IF(V169="KAC",IFERROR(INDEX(06_КАЦ!$R$4:$R$203,MATCH(K169,06_КАЦ!$A$4:$A$203,0)),""),IFERROR(INDEX(06а_Оценки!$F$4:$F$203,MATCH(K169,06а_Оценки!$A$4:$A$203,0)),"")),"")</f>
        <v/>
      </c>
      <c r="M169" s="7" t="str">
        <f aca="false">IF(N169="READY",ROUND(I169*L169,2),"")</f>
        <v/>
      </c>
      <c r="N169" s="5" t="str">
        <f aca="false">IF(A169="","",IF(Q169="NOT_APPLICABLE",IF(AND(COUNTIF(A$4:A$203,A169)=1,H169="OUTSIDE",R169&lt;&gt;"",O169&lt;&gt;"",COUNTIF(13_Источники!$A$4:$A$203,O169)=1),"NOT_APPLICABLE","INCOMPLETE / EXCLUSION"),IF(AND(COUNTIF(A$4:A$203,A169)=1,COUNTIF(02_WBS!$A$4:$A$200,B169)=1,C169&lt;&gt;"",COUNTIF(03_Пакеты!$A$4:$A$203,C169)=1,IFERROR(INDEX(03_Пакеты!$B$4:$B$203,MATCH(C169,03_Пакеты!$A$4:$A$203,0)),"")=B169,E169&lt;&gt;"",F169&lt;&gt;"",F169&lt;&gt;"UNKNOWN",G169&lt;&gt;"",G169&lt;&gt;"UNKNOWN",OR(H169="REMAINING",H169="SUNK",H169="OUTSIDE"),ISNUMBER(I169),I169&gt;=0,OR(AND(I169&gt;0,Q169="KNOWN"),AND(I169=0,Q169="ZERO_CONFIRMED")),J169&lt;&gt;"",K169&lt;&gt;"",OR(AND(V169="KAC",COUNTIF(06_КАЦ!$A$4:$A$203,K169)=1,IFERROR(INDEX(06_КАЦ!$V$4:$V$203,MATCH(K169,06_КАЦ!$A$4:$A$203,0)),"")="SELECTED_READY",IFERROR(INDEX(06_КАЦ!$D$4:$D$203,MATCH(K169,06_КАЦ!$A$4:$A$203,0)),"")=C169,IFERROR(INDEX(06_КАЦ!$F$4:$F$203,MATCH(K169,06_КАЦ!$A$4:$A$203,0)),"")=J169),AND(V169="DIRECT",COUNTIF(06а_Оценки!$A$4:$A$203,K169)=1,IFERROR(INDEX(06а_Оценки!$N$4:$N$203,MATCH(K169,06а_Оценки!$A$4:$A$203,0)),"")="READY",IFERROR(INDEX(06а_Оценки!$B$4:$B$203,MATCH(K169,06а_Оценки!$A$4:$A$203,0)),"")=C169,IFERROR(INDEX(06а_Оценки!$E$4:$E$203,MATCH(K169,06а_Оценки!$A$4:$A$203,0)),"")=J169)),O169&lt;&gt;"",COUNTIF(13_Источники!$A$4:$A$203,O169)=1,P169&lt;&gt;"",R169&lt;&gt;""),"READY","INCOMPLETE / LINK")))</f>
        <v/>
      </c>
      <c r="O169" s="4"/>
      <c r="P169" s="4"/>
      <c r="Q169" s="4"/>
      <c r="R169" s="4"/>
      <c r="S169" s="4"/>
      <c r="T169" s="4"/>
      <c r="U169" s="4"/>
      <c r="V169" s="4"/>
    </row>
    <row r="170" customFormat="false" ht="15" hidden="false" customHeight="false" outlineLevel="0" collapsed="false">
      <c r="A170" s="4"/>
      <c r="B170" s="4"/>
      <c r="C170" s="4"/>
      <c r="D170" s="6"/>
      <c r="E170" s="4"/>
      <c r="F170" s="4"/>
      <c r="G170" s="4"/>
      <c r="H170" s="4"/>
      <c r="I170" s="4"/>
      <c r="J170" s="4"/>
      <c r="K170" s="4"/>
      <c r="L170" s="7" t="str">
        <f aca="false">IF(N170="READY",IF(V170="KAC",IFERROR(INDEX(06_КАЦ!$R$4:$R$203,MATCH(K170,06_КАЦ!$A$4:$A$203,0)),""),IFERROR(INDEX(06а_Оценки!$F$4:$F$203,MATCH(K170,06а_Оценки!$A$4:$A$203,0)),"")),"")</f>
        <v/>
      </c>
      <c r="M170" s="7" t="str">
        <f aca="false">IF(N170="READY",ROUND(I170*L170,2),"")</f>
        <v/>
      </c>
      <c r="N170" s="5" t="str">
        <f aca="false">IF(A170="","",IF(Q170="NOT_APPLICABLE",IF(AND(COUNTIF(A$4:A$203,A170)=1,H170="OUTSIDE",R170&lt;&gt;"",O170&lt;&gt;"",COUNTIF(13_Источники!$A$4:$A$203,O170)=1),"NOT_APPLICABLE","INCOMPLETE / EXCLUSION"),IF(AND(COUNTIF(A$4:A$203,A170)=1,COUNTIF(02_WBS!$A$4:$A$200,B170)=1,C170&lt;&gt;"",COUNTIF(03_Пакеты!$A$4:$A$203,C170)=1,IFERROR(INDEX(03_Пакеты!$B$4:$B$203,MATCH(C170,03_Пакеты!$A$4:$A$203,0)),"")=B170,E170&lt;&gt;"",F170&lt;&gt;"",F170&lt;&gt;"UNKNOWN",G170&lt;&gt;"",G170&lt;&gt;"UNKNOWN",OR(H170="REMAINING",H170="SUNK",H170="OUTSIDE"),ISNUMBER(I170),I170&gt;=0,OR(AND(I170&gt;0,Q170="KNOWN"),AND(I170=0,Q170="ZERO_CONFIRMED")),J170&lt;&gt;"",K170&lt;&gt;"",OR(AND(V170="KAC",COUNTIF(06_КАЦ!$A$4:$A$203,K170)=1,IFERROR(INDEX(06_КАЦ!$V$4:$V$203,MATCH(K170,06_КАЦ!$A$4:$A$203,0)),"")="SELECTED_READY",IFERROR(INDEX(06_КАЦ!$D$4:$D$203,MATCH(K170,06_КАЦ!$A$4:$A$203,0)),"")=C170,IFERROR(INDEX(06_КАЦ!$F$4:$F$203,MATCH(K170,06_КАЦ!$A$4:$A$203,0)),"")=J170),AND(V170="DIRECT",COUNTIF(06а_Оценки!$A$4:$A$203,K170)=1,IFERROR(INDEX(06а_Оценки!$N$4:$N$203,MATCH(K170,06а_Оценки!$A$4:$A$203,0)),"")="READY",IFERROR(INDEX(06а_Оценки!$B$4:$B$203,MATCH(K170,06а_Оценки!$A$4:$A$203,0)),"")=C170,IFERROR(INDEX(06а_Оценки!$E$4:$E$203,MATCH(K170,06а_Оценки!$A$4:$A$203,0)),"")=J170)),O170&lt;&gt;"",COUNTIF(13_Источники!$A$4:$A$203,O170)=1,P170&lt;&gt;"",R170&lt;&gt;""),"READY","INCOMPLETE / LINK")))</f>
        <v/>
      </c>
      <c r="O170" s="4"/>
      <c r="P170" s="4"/>
      <c r="Q170" s="4"/>
      <c r="R170" s="4"/>
      <c r="S170" s="4"/>
      <c r="T170" s="4"/>
      <c r="U170" s="4"/>
      <c r="V170" s="4"/>
    </row>
    <row r="171" customFormat="false" ht="15" hidden="false" customHeight="false" outlineLevel="0" collapsed="false">
      <c r="A171" s="4"/>
      <c r="B171" s="4"/>
      <c r="C171" s="4"/>
      <c r="D171" s="6"/>
      <c r="E171" s="4"/>
      <c r="F171" s="4"/>
      <c r="G171" s="4"/>
      <c r="H171" s="4"/>
      <c r="I171" s="4"/>
      <c r="J171" s="4"/>
      <c r="K171" s="4"/>
      <c r="L171" s="7" t="str">
        <f aca="false">IF(N171="READY",IF(V171="KAC",IFERROR(INDEX(06_КАЦ!$R$4:$R$203,MATCH(K171,06_КАЦ!$A$4:$A$203,0)),""),IFERROR(INDEX(06а_Оценки!$F$4:$F$203,MATCH(K171,06а_Оценки!$A$4:$A$203,0)),"")),"")</f>
        <v/>
      </c>
      <c r="M171" s="7" t="str">
        <f aca="false">IF(N171="READY",ROUND(I171*L171,2),"")</f>
        <v/>
      </c>
      <c r="N171" s="5" t="str">
        <f aca="false">IF(A171="","",IF(Q171="NOT_APPLICABLE",IF(AND(COUNTIF(A$4:A$203,A171)=1,H171="OUTSIDE",R171&lt;&gt;"",O171&lt;&gt;"",COUNTIF(13_Источники!$A$4:$A$203,O171)=1),"NOT_APPLICABLE","INCOMPLETE / EXCLUSION"),IF(AND(COUNTIF(A$4:A$203,A171)=1,COUNTIF(02_WBS!$A$4:$A$200,B171)=1,C171&lt;&gt;"",COUNTIF(03_Пакеты!$A$4:$A$203,C171)=1,IFERROR(INDEX(03_Пакеты!$B$4:$B$203,MATCH(C171,03_Пакеты!$A$4:$A$203,0)),"")=B171,E171&lt;&gt;"",F171&lt;&gt;"",F171&lt;&gt;"UNKNOWN",G171&lt;&gt;"",G171&lt;&gt;"UNKNOWN",OR(H171="REMAINING",H171="SUNK",H171="OUTSIDE"),ISNUMBER(I171),I171&gt;=0,OR(AND(I171&gt;0,Q171="KNOWN"),AND(I171=0,Q171="ZERO_CONFIRMED")),J171&lt;&gt;"",K171&lt;&gt;"",OR(AND(V171="KAC",COUNTIF(06_КАЦ!$A$4:$A$203,K171)=1,IFERROR(INDEX(06_КАЦ!$V$4:$V$203,MATCH(K171,06_КАЦ!$A$4:$A$203,0)),"")="SELECTED_READY",IFERROR(INDEX(06_КАЦ!$D$4:$D$203,MATCH(K171,06_КАЦ!$A$4:$A$203,0)),"")=C171,IFERROR(INDEX(06_КАЦ!$F$4:$F$203,MATCH(K171,06_КАЦ!$A$4:$A$203,0)),"")=J171),AND(V171="DIRECT",COUNTIF(06а_Оценки!$A$4:$A$203,K171)=1,IFERROR(INDEX(06а_Оценки!$N$4:$N$203,MATCH(K171,06а_Оценки!$A$4:$A$203,0)),"")="READY",IFERROR(INDEX(06а_Оценки!$B$4:$B$203,MATCH(K171,06а_Оценки!$A$4:$A$203,0)),"")=C171,IFERROR(INDEX(06а_Оценки!$E$4:$E$203,MATCH(K171,06а_Оценки!$A$4:$A$203,0)),"")=J171)),O171&lt;&gt;"",COUNTIF(13_Источники!$A$4:$A$203,O171)=1,P171&lt;&gt;"",R171&lt;&gt;""),"READY","INCOMPLETE / LINK")))</f>
        <v/>
      </c>
      <c r="O171" s="4"/>
      <c r="P171" s="4"/>
      <c r="Q171" s="4"/>
      <c r="R171" s="4"/>
      <c r="S171" s="4"/>
      <c r="T171" s="4"/>
      <c r="U171" s="4"/>
      <c r="V171" s="4"/>
    </row>
    <row r="172" customFormat="false" ht="15" hidden="false" customHeight="false" outlineLevel="0" collapsed="false">
      <c r="A172" s="4"/>
      <c r="B172" s="4"/>
      <c r="C172" s="4"/>
      <c r="D172" s="6"/>
      <c r="E172" s="4"/>
      <c r="F172" s="4"/>
      <c r="G172" s="4"/>
      <c r="H172" s="4"/>
      <c r="I172" s="4"/>
      <c r="J172" s="4"/>
      <c r="K172" s="4"/>
      <c r="L172" s="7" t="str">
        <f aca="false">IF(N172="READY",IF(V172="KAC",IFERROR(INDEX(06_КАЦ!$R$4:$R$203,MATCH(K172,06_КАЦ!$A$4:$A$203,0)),""),IFERROR(INDEX(06а_Оценки!$F$4:$F$203,MATCH(K172,06а_Оценки!$A$4:$A$203,0)),"")),"")</f>
        <v/>
      </c>
      <c r="M172" s="7" t="str">
        <f aca="false">IF(N172="READY",ROUND(I172*L172,2),"")</f>
        <v/>
      </c>
      <c r="N172" s="5" t="str">
        <f aca="false">IF(A172="","",IF(Q172="NOT_APPLICABLE",IF(AND(COUNTIF(A$4:A$203,A172)=1,H172="OUTSIDE",R172&lt;&gt;"",O172&lt;&gt;"",COUNTIF(13_Источники!$A$4:$A$203,O172)=1),"NOT_APPLICABLE","INCOMPLETE / EXCLUSION"),IF(AND(COUNTIF(A$4:A$203,A172)=1,COUNTIF(02_WBS!$A$4:$A$200,B172)=1,C172&lt;&gt;"",COUNTIF(03_Пакеты!$A$4:$A$203,C172)=1,IFERROR(INDEX(03_Пакеты!$B$4:$B$203,MATCH(C172,03_Пакеты!$A$4:$A$203,0)),"")=B172,E172&lt;&gt;"",F172&lt;&gt;"",F172&lt;&gt;"UNKNOWN",G172&lt;&gt;"",G172&lt;&gt;"UNKNOWN",OR(H172="REMAINING",H172="SUNK",H172="OUTSIDE"),ISNUMBER(I172),I172&gt;=0,OR(AND(I172&gt;0,Q172="KNOWN"),AND(I172=0,Q172="ZERO_CONFIRMED")),J172&lt;&gt;"",K172&lt;&gt;"",OR(AND(V172="KAC",COUNTIF(06_КАЦ!$A$4:$A$203,K172)=1,IFERROR(INDEX(06_КАЦ!$V$4:$V$203,MATCH(K172,06_КАЦ!$A$4:$A$203,0)),"")="SELECTED_READY",IFERROR(INDEX(06_КАЦ!$D$4:$D$203,MATCH(K172,06_КАЦ!$A$4:$A$203,0)),"")=C172,IFERROR(INDEX(06_КАЦ!$F$4:$F$203,MATCH(K172,06_КАЦ!$A$4:$A$203,0)),"")=J172),AND(V172="DIRECT",COUNTIF(06а_Оценки!$A$4:$A$203,K172)=1,IFERROR(INDEX(06а_Оценки!$N$4:$N$203,MATCH(K172,06а_Оценки!$A$4:$A$203,0)),"")="READY",IFERROR(INDEX(06а_Оценки!$B$4:$B$203,MATCH(K172,06а_Оценки!$A$4:$A$203,0)),"")=C172,IFERROR(INDEX(06а_Оценки!$E$4:$E$203,MATCH(K172,06а_Оценки!$A$4:$A$203,0)),"")=J172)),O172&lt;&gt;"",COUNTIF(13_Источники!$A$4:$A$203,O172)=1,P172&lt;&gt;"",R172&lt;&gt;""),"READY","INCOMPLETE / LINK")))</f>
        <v/>
      </c>
      <c r="O172" s="4"/>
      <c r="P172" s="4"/>
      <c r="Q172" s="4"/>
      <c r="R172" s="4"/>
      <c r="S172" s="4"/>
      <c r="T172" s="4"/>
      <c r="U172" s="4"/>
      <c r="V172" s="4"/>
    </row>
    <row r="173" customFormat="false" ht="15" hidden="false" customHeight="false" outlineLevel="0" collapsed="false">
      <c r="A173" s="4"/>
      <c r="B173" s="4"/>
      <c r="C173" s="4"/>
      <c r="D173" s="6"/>
      <c r="E173" s="4"/>
      <c r="F173" s="4"/>
      <c r="G173" s="4"/>
      <c r="H173" s="4"/>
      <c r="I173" s="4"/>
      <c r="J173" s="4"/>
      <c r="K173" s="4"/>
      <c r="L173" s="7" t="str">
        <f aca="false">IF(N173="READY",IF(V173="KAC",IFERROR(INDEX(06_КАЦ!$R$4:$R$203,MATCH(K173,06_КАЦ!$A$4:$A$203,0)),""),IFERROR(INDEX(06а_Оценки!$F$4:$F$203,MATCH(K173,06а_Оценки!$A$4:$A$203,0)),"")),"")</f>
        <v/>
      </c>
      <c r="M173" s="7" t="str">
        <f aca="false">IF(N173="READY",ROUND(I173*L173,2),"")</f>
        <v/>
      </c>
      <c r="N173" s="5" t="str">
        <f aca="false">IF(A173="","",IF(Q173="NOT_APPLICABLE",IF(AND(COUNTIF(A$4:A$203,A173)=1,H173="OUTSIDE",R173&lt;&gt;"",O173&lt;&gt;"",COUNTIF(13_Источники!$A$4:$A$203,O173)=1),"NOT_APPLICABLE","INCOMPLETE / EXCLUSION"),IF(AND(COUNTIF(A$4:A$203,A173)=1,COUNTIF(02_WBS!$A$4:$A$200,B173)=1,C173&lt;&gt;"",COUNTIF(03_Пакеты!$A$4:$A$203,C173)=1,IFERROR(INDEX(03_Пакеты!$B$4:$B$203,MATCH(C173,03_Пакеты!$A$4:$A$203,0)),"")=B173,E173&lt;&gt;"",F173&lt;&gt;"",F173&lt;&gt;"UNKNOWN",G173&lt;&gt;"",G173&lt;&gt;"UNKNOWN",OR(H173="REMAINING",H173="SUNK",H173="OUTSIDE"),ISNUMBER(I173),I173&gt;=0,OR(AND(I173&gt;0,Q173="KNOWN"),AND(I173=0,Q173="ZERO_CONFIRMED")),J173&lt;&gt;"",K173&lt;&gt;"",OR(AND(V173="KAC",COUNTIF(06_КАЦ!$A$4:$A$203,K173)=1,IFERROR(INDEX(06_КАЦ!$V$4:$V$203,MATCH(K173,06_КАЦ!$A$4:$A$203,0)),"")="SELECTED_READY",IFERROR(INDEX(06_КАЦ!$D$4:$D$203,MATCH(K173,06_КАЦ!$A$4:$A$203,0)),"")=C173,IFERROR(INDEX(06_КАЦ!$F$4:$F$203,MATCH(K173,06_КАЦ!$A$4:$A$203,0)),"")=J173),AND(V173="DIRECT",COUNTIF(06а_Оценки!$A$4:$A$203,K173)=1,IFERROR(INDEX(06а_Оценки!$N$4:$N$203,MATCH(K173,06а_Оценки!$A$4:$A$203,0)),"")="READY",IFERROR(INDEX(06а_Оценки!$B$4:$B$203,MATCH(K173,06а_Оценки!$A$4:$A$203,0)),"")=C173,IFERROR(INDEX(06а_Оценки!$E$4:$E$203,MATCH(K173,06а_Оценки!$A$4:$A$203,0)),"")=J173)),O173&lt;&gt;"",COUNTIF(13_Источники!$A$4:$A$203,O173)=1,P173&lt;&gt;"",R173&lt;&gt;""),"READY","INCOMPLETE / LINK")))</f>
        <v/>
      </c>
      <c r="O173" s="4"/>
      <c r="P173" s="4"/>
      <c r="Q173" s="4"/>
      <c r="R173" s="4"/>
      <c r="S173" s="4"/>
      <c r="T173" s="4"/>
      <c r="U173" s="4"/>
      <c r="V173" s="4"/>
    </row>
    <row r="174" customFormat="false" ht="15" hidden="false" customHeight="false" outlineLevel="0" collapsed="false">
      <c r="A174" s="4"/>
      <c r="B174" s="4"/>
      <c r="C174" s="4"/>
      <c r="D174" s="6"/>
      <c r="E174" s="4"/>
      <c r="F174" s="4"/>
      <c r="G174" s="4"/>
      <c r="H174" s="4"/>
      <c r="I174" s="4"/>
      <c r="J174" s="4"/>
      <c r="K174" s="4"/>
      <c r="L174" s="7" t="str">
        <f aca="false">IF(N174="READY",IF(V174="KAC",IFERROR(INDEX(06_КАЦ!$R$4:$R$203,MATCH(K174,06_КАЦ!$A$4:$A$203,0)),""),IFERROR(INDEX(06а_Оценки!$F$4:$F$203,MATCH(K174,06а_Оценки!$A$4:$A$203,0)),"")),"")</f>
        <v/>
      </c>
      <c r="M174" s="7" t="str">
        <f aca="false">IF(N174="READY",ROUND(I174*L174,2),"")</f>
        <v/>
      </c>
      <c r="N174" s="5" t="str">
        <f aca="false">IF(A174="","",IF(Q174="NOT_APPLICABLE",IF(AND(COUNTIF(A$4:A$203,A174)=1,H174="OUTSIDE",R174&lt;&gt;"",O174&lt;&gt;"",COUNTIF(13_Источники!$A$4:$A$203,O174)=1),"NOT_APPLICABLE","INCOMPLETE / EXCLUSION"),IF(AND(COUNTIF(A$4:A$203,A174)=1,COUNTIF(02_WBS!$A$4:$A$200,B174)=1,C174&lt;&gt;"",COUNTIF(03_Пакеты!$A$4:$A$203,C174)=1,IFERROR(INDEX(03_Пакеты!$B$4:$B$203,MATCH(C174,03_Пакеты!$A$4:$A$203,0)),"")=B174,E174&lt;&gt;"",F174&lt;&gt;"",F174&lt;&gt;"UNKNOWN",G174&lt;&gt;"",G174&lt;&gt;"UNKNOWN",OR(H174="REMAINING",H174="SUNK",H174="OUTSIDE"),ISNUMBER(I174),I174&gt;=0,OR(AND(I174&gt;0,Q174="KNOWN"),AND(I174=0,Q174="ZERO_CONFIRMED")),J174&lt;&gt;"",K174&lt;&gt;"",OR(AND(V174="KAC",COUNTIF(06_КАЦ!$A$4:$A$203,K174)=1,IFERROR(INDEX(06_КАЦ!$V$4:$V$203,MATCH(K174,06_КАЦ!$A$4:$A$203,0)),"")="SELECTED_READY",IFERROR(INDEX(06_КАЦ!$D$4:$D$203,MATCH(K174,06_КАЦ!$A$4:$A$203,0)),"")=C174,IFERROR(INDEX(06_КАЦ!$F$4:$F$203,MATCH(K174,06_КАЦ!$A$4:$A$203,0)),"")=J174),AND(V174="DIRECT",COUNTIF(06а_Оценки!$A$4:$A$203,K174)=1,IFERROR(INDEX(06а_Оценки!$N$4:$N$203,MATCH(K174,06а_Оценки!$A$4:$A$203,0)),"")="READY",IFERROR(INDEX(06а_Оценки!$B$4:$B$203,MATCH(K174,06а_Оценки!$A$4:$A$203,0)),"")=C174,IFERROR(INDEX(06а_Оценки!$E$4:$E$203,MATCH(K174,06а_Оценки!$A$4:$A$203,0)),"")=J174)),O174&lt;&gt;"",COUNTIF(13_Источники!$A$4:$A$203,O174)=1,P174&lt;&gt;"",R174&lt;&gt;""),"READY","INCOMPLETE / LINK")))</f>
        <v/>
      </c>
      <c r="O174" s="4"/>
      <c r="P174" s="4"/>
      <c r="Q174" s="4"/>
      <c r="R174" s="4"/>
      <c r="S174" s="4"/>
      <c r="T174" s="4"/>
      <c r="U174" s="4"/>
      <c r="V174" s="4"/>
    </row>
    <row r="175" customFormat="false" ht="15" hidden="false" customHeight="false" outlineLevel="0" collapsed="false">
      <c r="A175" s="4"/>
      <c r="B175" s="4"/>
      <c r="C175" s="4"/>
      <c r="D175" s="6"/>
      <c r="E175" s="4"/>
      <c r="F175" s="4"/>
      <c r="G175" s="4"/>
      <c r="H175" s="4"/>
      <c r="I175" s="4"/>
      <c r="J175" s="4"/>
      <c r="K175" s="4"/>
      <c r="L175" s="7" t="str">
        <f aca="false">IF(N175="READY",IF(V175="KAC",IFERROR(INDEX(06_КАЦ!$R$4:$R$203,MATCH(K175,06_КАЦ!$A$4:$A$203,0)),""),IFERROR(INDEX(06а_Оценки!$F$4:$F$203,MATCH(K175,06а_Оценки!$A$4:$A$203,0)),"")),"")</f>
        <v/>
      </c>
      <c r="M175" s="7" t="str">
        <f aca="false">IF(N175="READY",ROUND(I175*L175,2),"")</f>
        <v/>
      </c>
      <c r="N175" s="5" t="str">
        <f aca="false">IF(A175="","",IF(Q175="NOT_APPLICABLE",IF(AND(COUNTIF(A$4:A$203,A175)=1,H175="OUTSIDE",R175&lt;&gt;"",O175&lt;&gt;"",COUNTIF(13_Источники!$A$4:$A$203,O175)=1),"NOT_APPLICABLE","INCOMPLETE / EXCLUSION"),IF(AND(COUNTIF(A$4:A$203,A175)=1,COUNTIF(02_WBS!$A$4:$A$200,B175)=1,C175&lt;&gt;"",COUNTIF(03_Пакеты!$A$4:$A$203,C175)=1,IFERROR(INDEX(03_Пакеты!$B$4:$B$203,MATCH(C175,03_Пакеты!$A$4:$A$203,0)),"")=B175,E175&lt;&gt;"",F175&lt;&gt;"",F175&lt;&gt;"UNKNOWN",G175&lt;&gt;"",G175&lt;&gt;"UNKNOWN",OR(H175="REMAINING",H175="SUNK",H175="OUTSIDE"),ISNUMBER(I175),I175&gt;=0,OR(AND(I175&gt;0,Q175="KNOWN"),AND(I175=0,Q175="ZERO_CONFIRMED")),J175&lt;&gt;"",K175&lt;&gt;"",OR(AND(V175="KAC",COUNTIF(06_КАЦ!$A$4:$A$203,K175)=1,IFERROR(INDEX(06_КАЦ!$V$4:$V$203,MATCH(K175,06_КАЦ!$A$4:$A$203,0)),"")="SELECTED_READY",IFERROR(INDEX(06_КАЦ!$D$4:$D$203,MATCH(K175,06_КАЦ!$A$4:$A$203,0)),"")=C175,IFERROR(INDEX(06_КАЦ!$F$4:$F$203,MATCH(K175,06_КАЦ!$A$4:$A$203,0)),"")=J175),AND(V175="DIRECT",COUNTIF(06а_Оценки!$A$4:$A$203,K175)=1,IFERROR(INDEX(06а_Оценки!$N$4:$N$203,MATCH(K175,06а_Оценки!$A$4:$A$203,0)),"")="READY",IFERROR(INDEX(06а_Оценки!$B$4:$B$203,MATCH(K175,06а_Оценки!$A$4:$A$203,0)),"")=C175,IFERROR(INDEX(06а_Оценки!$E$4:$E$203,MATCH(K175,06а_Оценки!$A$4:$A$203,0)),"")=J175)),O175&lt;&gt;"",COUNTIF(13_Источники!$A$4:$A$203,O175)=1,P175&lt;&gt;"",R175&lt;&gt;""),"READY","INCOMPLETE / LINK")))</f>
        <v/>
      </c>
      <c r="O175" s="4"/>
      <c r="P175" s="4"/>
      <c r="Q175" s="4"/>
      <c r="R175" s="4"/>
      <c r="S175" s="4"/>
      <c r="T175" s="4"/>
      <c r="U175" s="4"/>
      <c r="V175" s="4"/>
    </row>
    <row r="176" customFormat="false" ht="15" hidden="false" customHeight="false" outlineLevel="0" collapsed="false">
      <c r="A176" s="4"/>
      <c r="B176" s="4"/>
      <c r="C176" s="4"/>
      <c r="D176" s="6"/>
      <c r="E176" s="4"/>
      <c r="F176" s="4"/>
      <c r="G176" s="4"/>
      <c r="H176" s="4"/>
      <c r="I176" s="4"/>
      <c r="J176" s="4"/>
      <c r="K176" s="4"/>
      <c r="L176" s="7" t="str">
        <f aca="false">IF(N176="READY",IF(V176="KAC",IFERROR(INDEX(06_КАЦ!$R$4:$R$203,MATCH(K176,06_КАЦ!$A$4:$A$203,0)),""),IFERROR(INDEX(06а_Оценки!$F$4:$F$203,MATCH(K176,06а_Оценки!$A$4:$A$203,0)),"")),"")</f>
        <v/>
      </c>
      <c r="M176" s="7" t="str">
        <f aca="false">IF(N176="READY",ROUND(I176*L176,2),"")</f>
        <v/>
      </c>
      <c r="N176" s="5" t="str">
        <f aca="false">IF(A176="","",IF(Q176="NOT_APPLICABLE",IF(AND(COUNTIF(A$4:A$203,A176)=1,H176="OUTSIDE",R176&lt;&gt;"",O176&lt;&gt;"",COUNTIF(13_Источники!$A$4:$A$203,O176)=1),"NOT_APPLICABLE","INCOMPLETE / EXCLUSION"),IF(AND(COUNTIF(A$4:A$203,A176)=1,COUNTIF(02_WBS!$A$4:$A$200,B176)=1,C176&lt;&gt;"",COUNTIF(03_Пакеты!$A$4:$A$203,C176)=1,IFERROR(INDEX(03_Пакеты!$B$4:$B$203,MATCH(C176,03_Пакеты!$A$4:$A$203,0)),"")=B176,E176&lt;&gt;"",F176&lt;&gt;"",F176&lt;&gt;"UNKNOWN",G176&lt;&gt;"",G176&lt;&gt;"UNKNOWN",OR(H176="REMAINING",H176="SUNK",H176="OUTSIDE"),ISNUMBER(I176),I176&gt;=0,OR(AND(I176&gt;0,Q176="KNOWN"),AND(I176=0,Q176="ZERO_CONFIRMED")),J176&lt;&gt;"",K176&lt;&gt;"",OR(AND(V176="KAC",COUNTIF(06_КАЦ!$A$4:$A$203,K176)=1,IFERROR(INDEX(06_КАЦ!$V$4:$V$203,MATCH(K176,06_КАЦ!$A$4:$A$203,0)),"")="SELECTED_READY",IFERROR(INDEX(06_КАЦ!$D$4:$D$203,MATCH(K176,06_КАЦ!$A$4:$A$203,0)),"")=C176,IFERROR(INDEX(06_КАЦ!$F$4:$F$203,MATCH(K176,06_КАЦ!$A$4:$A$203,0)),"")=J176),AND(V176="DIRECT",COUNTIF(06а_Оценки!$A$4:$A$203,K176)=1,IFERROR(INDEX(06а_Оценки!$N$4:$N$203,MATCH(K176,06а_Оценки!$A$4:$A$203,0)),"")="READY",IFERROR(INDEX(06а_Оценки!$B$4:$B$203,MATCH(K176,06а_Оценки!$A$4:$A$203,0)),"")=C176,IFERROR(INDEX(06а_Оценки!$E$4:$E$203,MATCH(K176,06а_Оценки!$A$4:$A$203,0)),"")=J176)),O176&lt;&gt;"",COUNTIF(13_Источники!$A$4:$A$203,O176)=1,P176&lt;&gt;"",R176&lt;&gt;""),"READY","INCOMPLETE / LINK")))</f>
        <v/>
      </c>
      <c r="O176" s="4"/>
      <c r="P176" s="4"/>
      <c r="Q176" s="4"/>
      <c r="R176" s="4"/>
      <c r="S176" s="4"/>
      <c r="T176" s="4"/>
      <c r="U176" s="4"/>
      <c r="V176" s="4"/>
    </row>
    <row r="177" customFormat="false" ht="15" hidden="false" customHeight="false" outlineLevel="0" collapsed="false">
      <c r="A177" s="4"/>
      <c r="B177" s="4"/>
      <c r="C177" s="4"/>
      <c r="D177" s="6"/>
      <c r="E177" s="4"/>
      <c r="F177" s="4"/>
      <c r="G177" s="4"/>
      <c r="H177" s="4"/>
      <c r="I177" s="4"/>
      <c r="J177" s="4"/>
      <c r="K177" s="4"/>
      <c r="L177" s="7" t="str">
        <f aca="false">IF(N177="READY",IF(V177="KAC",IFERROR(INDEX(06_КАЦ!$R$4:$R$203,MATCH(K177,06_КАЦ!$A$4:$A$203,0)),""),IFERROR(INDEX(06а_Оценки!$F$4:$F$203,MATCH(K177,06а_Оценки!$A$4:$A$203,0)),"")),"")</f>
        <v/>
      </c>
      <c r="M177" s="7" t="str">
        <f aca="false">IF(N177="READY",ROUND(I177*L177,2),"")</f>
        <v/>
      </c>
      <c r="N177" s="5" t="str">
        <f aca="false">IF(A177="","",IF(Q177="NOT_APPLICABLE",IF(AND(COUNTIF(A$4:A$203,A177)=1,H177="OUTSIDE",R177&lt;&gt;"",O177&lt;&gt;"",COUNTIF(13_Источники!$A$4:$A$203,O177)=1),"NOT_APPLICABLE","INCOMPLETE / EXCLUSION"),IF(AND(COUNTIF(A$4:A$203,A177)=1,COUNTIF(02_WBS!$A$4:$A$200,B177)=1,C177&lt;&gt;"",COUNTIF(03_Пакеты!$A$4:$A$203,C177)=1,IFERROR(INDEX(03_Пакеты!$B$4:$B$203,MATCH(C177,03_Пакеты!$A$4:$A$203,0)),"")=B177,E177&lt;&gt;"",F177&lt;&gt;"",F177&lt;&gt;"UNKNOWN",G177&lt;&gt;"",G177&lt;&gt;"UNKNOWN",OR(H177="REMAINING",H177="SUNK",H177="OUTSIDE"),ISNUMBER(I177),I177&gt;=0,OR(AND(I177&gt;0,Q177="KNOWN"),AND(I177=0,Q177="ZERO_CONFIRMED")),J177&lt;&gt;"",K177&lt;&gt;"",OR(AND(V177="KAC",COUNTIF(06_КАЦ!$A$4:$A$203,K177)=1,IFERROR(INDEX(06_КАЦ!$V$4:$V$203,MATCH(K177,06_КАЦ!$A$4:$A$203,0)),"")="SELECTED_READY",IFERROR(INDEX(06_КАЦ!$D$4:$D$203,MATCH(K177,06_КАЦ!$A$4:$A$203,0)),"")=C177,IFERROR(INDEX(06_КАЦ!$F$4:$F$203,MATCH(K177,06_КАЦ!$A$4:$A$203,0)),"")=J177),AND(V177="DIRECT",COUNTIF(06а_Оценки!$A$4:$A$203,K177)=1,IFERROR(INDEX(06а_Оценки!$N$4:$N$203,MATCH(K177,06а_Оценки!$A$4:$A$203,0)),"")="READY",IFERROR(INDEX(06а_Оценки!$B$4:$B$203,MATCH(K177,06а_Оценки!$A$4:$A$203,0)),"")=C177,IFERROR(INDEX(06а_Оценки!$E$4:$E$203,MATCH(K177,06а_Оценки!$A$4:$A$203,0)),"")=J177)),O177&lt;&gt;"",COUNTIF(13_Источники!$A$4:$A$203,O177)=1,P177&lt;&gt;"",R177&lt;&gt;""),"READY","INCOMPLETE / LINK")))</f>
        <v/>
      </c>
      <c r="O177" s="4"/>
      <c r="P177" s="4"/>
      <c r="Q177" s="4"/>
      <c r="R177" s="4"/>
      <c r="S177" s="4"/>
      <c r="T177" s="4"/>
      <c r="U177" s="4"/>
      <c r="V177" s="4"/>
    </row>
    <row r="178" customFormat="false" ht="15" hidden="false" customHeight="false" outlineLevel="0" collapsed="false">
      <c r="A178" s="4"/>
      <c r="B178" s="4"/>
      <c r="C178" s="4"/>
      <c r="D178" s="6"/>
      <c r="E178" s="4"/>
      <c r="F178" s="4"/>
      <c r="G178" s="4"/>
      <c r="H178" s="4"/>
      <c r="I178" s="4"/>
      <c r="J178" s="4"/>
      <c r="K178" s="4"/>
      <c r="L178" s="7" t="str">
        <f aca="false">IF(N178="READY",IF(V178="KAC",IFERROR(INDEX(06_КАЦ!$R$4:$R$203,MATCH(K178,06_КАЦ!$A$4:$A$203,0)),""),IFERROR(INDEX(06а_Оценки!$F$4:$F$203,MATCH(K178,06а_Оценки!$A$4:$A$203,0)),"")),"")</f>
        <v/>
      </c>
      <c r="M178" s="7" t="str">
        <f aca="false">IF(N178="READY",ROUND(I178*L178,2),"")</f>
        <v/>
      </c>
      <c r="N178" s="5" t="str">
        <f aca="false">IF(A178="","",IF(Q178="NOT_APPLICABLE",IF(AND(COUNTIF(A$4:A$203,A178)=1,H178="OUTSIDE",R178&lt;&gt;"",O178&lt;&gt;"",COUNTIF(13_Источники!$A$4:$A$203,O178)=1),"NOT_APPLICABLE","INCOMPLETE / EXCLUSION"),IF(AND(COUNTIF(A$4:A$203,A178)=1,COUNTIF(02_WBS!$A$4:$A$200,B178)=1,C178&lt;&gt;"",COUNTIF(03_Пакеты!$A$4:$A$203,C178)=1,IFERROR(INDEX(03_Пакеты!$B$4:$B$203,MATCH(C178,03_Пакеты!$A$4:$A$203,0)),"")=B178,E178&lt;&gt;"",F178&lt;&gt;"",F178&lt;&gt;"UNKNOWN",G178&lt;&gt;"",G178&lt;&gt;"UNKNOWN",OR(H178="REMAINING",H178="SUNK",H178="OUTSIDE"),ISNUMBER(I178),I178&gt;=0,OR(AND(I178&gt;0,Q178="KNOWN"),AND(I178=0,Q178="ZERO_CONFIRMED")),J178&lt;&gt;"",K178&lt;&gt;"",OR(AND(V178="KAC",COUNTIF(06_КАЦ!$A$4:$A$203,K178)=1,IFERROR(INDEX(06_КАЦ!$V$4:$V$203,MATCH(K178,06_КАЦ!$A$4:$A$203,0)),"")="SELECTED_READY",IFERROR(INDEX(06_КАЦ!$D$4:$D$203,MATCH(K178,06_КАЦ!$A$4:$A$203,0)),"")=C178,IFERROR(INDEX(06_КАЦ!$F$4:$F$203,MATCH(K178,06_КАЦ!$A$4:$A$203,0)),"")=J178),AND(V178="DIRECT",COUNTIF(06а_Оценки!$A$4:$A$203,K178)=1,IFERROR(INDEX(06а_Оценки!$N$4:$N$203,MATCH(K178,06а_Оценки!$A$4:$A$203,0)),"")="READY",IFERROR(INDEX(06а_Оценки!$B$4:$B$203,MATCH(K178,06а_Оценки!$A$4:$A$203,0)),"")=C178,IFERROR(INDEX(06а_Оценки!$E$4:$E$203,MATCH(K178,06а_Оценки!$A$4:$A$203,0)),"")=J178)),O178&lt;&gt;"",COUNTIF(13_Источники!$A$4:$A$203,O178)=1,P178&lt;&gt;"",R178&lt;&gt;""),"READY","INCOMPLETE / LINK")))</f>
        <v/>
      </c>
      <c r="O178" s="4"/>
      <c r="P178" s="4"/>
      <c r="Q178" s="4"/>
      <c r="R178" s="4"/>
      <c r="S178" s="4"/>
      <c r="T178" s="4"/>
      <c r="U178" s="4"/>
      <c r="V178" s="4"/>
    </row>
    <row r="179" customFormat="false" ht="15" hidden="false" customHeight="false" outlineLevel="0" collapsed="false">
      <c r="A179" s="4"/>
      <c r="B179" s="4"/>
      <c r="C179" s="4"/>
      <c r="D179" s="6"/>
      <c r="E179" s="4"/>
      <c r="F179" s="4"/>
      <c r="G179" s="4"/>
      <c r="H179" s="4"/>
      <c r="I179" s="4"/>
      <c r="J179" s="4"/>
      <c r="K179" s="4"/>
      <c r="L179" s="7" t="str">
        <f aca="false">IF(N179="READY",IF(V179="KAC",IFERROR(INDEX(06_КАЦ!$R$4:$R$203,MATCH(K179,06_КАЦ!$A$4:$A$203,0)),""),IFERROR(INDEX(06а_Оценки!$F$4:$F$203,MATCH(K179,06а_Оценки!$A$4:$A$203,0)),"")),"")</f>
        <v/>
      </c>
      <c r="M179" s="7" t="str">
        <f aca="false">IF(N179="READY",ROUND(I179*L179,2),"")</f>
        <v/>
      </c>
      <c r="N179" s="5" t="str">
        <f aca="false">IF(A179="","",IF(Q179="NOT_APPLICABLE",IF(AND(COUNTIF(A$4:A$203,A179)=1,H179="OUTSIDE",R179&lt;&gt;"",O179&lt;&gt;"",COUNTIF(13_Источники!$A$4:$A$203,O179)=1),"NOT_APPLICABLE","INCOMPLETE / EXCLUSION"),IF(AND(COUNTIF(A$4:A$203,A179)=1,COUNTIF(02_WBS!$A$4:$A$200,B179)=1,C179&lt;&gt;"",COUNTIF(03_Пакеты!$A$4:$A$203,C179)=1,IFERROR(INDEX(03_Пакеты!$B$4:$B$203,MATCH(C179,03_Пакеты!$A$4:$A$203,0)),"")=B179,E179&lt;&gt;"",F179&lt;&gt;"",F179&lt;&gt;"UNKNOWN",G179&lt;&gt;"",G179&lt;&gt;"UNKNOWN",OR(H179="REMAINING",H179="SUNK",H179="OUTSIDE"),ISNUMBER(I179),I179&gt;=0,OR(AND(I179&gt;0,Q179="KNOWN"),AND(I179=0,Q179="ZERO_CONFIRMED")),J179&lt;&gt;"",K179&lt;&gt;"",OR(AND(V179="KAC",COUNTIF(06_КАЦ!$A$4:$A$203,K179)=1,IFERROR(INDEX(06_КАЦ!$V$4:$V$203,MATCH(K179,06_КАЦ!$A$4:$A$203,0)),"")="SELECTED_READY",IFERROR(INDEX(06_КАЦ!$D$4:$D$203,MATCH(K179,06_КАЦ!$A$4:$A$203,0)),"")=C179,IFERROR(INDEX(06_КАЦ!$F$4:$F$203,MATCH(K179,06_КАЦ!$A$4:$A$203,0)),"")=J179),AND(V179="DIRECT",COUNTIF(06а_Оценки!$A$4:$A$203,K179)=1,IFERROR(INDEX(06а_Оценки!$N$4:$N$203,MATCH(K179,06а_Оценки!$A$4:$A$203,0)),"")="READY",IFERROR(INDEX(06а_Оценки!$B$4:$B$203,MATCH(K179,06а_Оценки!$A$4:$A$203,0)),"")=C179,IFERROR(INDEX(06а_Оценки!$E$4:$E$203,MATCH(K179,06а_Оценки!$A$4:$A$203,0)),"")=J179)),O179&lt;&gt;"",COUNTIF(13_Источники!$A$4:$A$203,O179)=1,P179&lt;&gt;"",R179&lt;&gt;""),"READY","INCOMPLETE / LINK")))</f>
        <v/>
      </c>
      <c r="O179" s="4"/>
      <c r="P179" s="4"/>
      <c r="Q179" s="4"/>
      <c r="R179" s="4"/>
      <c r="S179" s="4"/>
      <c r="T179" s="4"/>
      <c r="U179" s="4"/>
      <c r="V179" s="4"/>
    </row>
    <row r="180" customFormat="false" ht="15" hidden="false" customHeight="false" outlineLevel="0" collapsed="false">
      <c r="A180" s="4"/>
      <c r="B180" s="4"/>
      <c r="C180" s="4"/>
      <c r="D180" s="6"/>
      <c r="E180" s="4"/>
      <c r="F180" s="4"/>
      <c r="G180" s="4"/>
      <c r="H180" s="4"/>
      <c r="I180" s="4"/>
      <c r="J180" s="4"/>
      <c r="K180" s="4"/>
      <c r="L180" s="7" t="str">
        <f aca="false">IF(N180="READY",IF(V180="KAC",IFERROR(INDEX(06_КАЦ!$R$4:$R$203,MATCH(K180,06_КАЦ!$A$4:$A$203,0)),""),IFERROR(INDEX(06а_Оценки!$F$4:$F$203,MATCH(K180,06а_Оценки!$A$4:$A$203,0)),"")),"")</f>
        <v/>
      </c>
      <c r="M180" s="7" t="str">
        <f aca="false">IF(N180="READY",ROUND(I180*L180,2),"")</f>
        <v/>
      </c>
      <c r="N180" s="5" t="str">
        <f aca="false">IF(A180="","",IF(Q180="NOT_APPLICABLE",IF(AND(COUNTIF(A$4:A$203,A180)=1,H180="OUTSIDE",R180&lt;&gt;"",O180&lt;&gt;"",COUNTIF(13_Источники!$A$4:$A$203,O180)=1),"NOT_APPLICABLE","INCOMPLETE / EXCLUSION"),IF(AND(COUNTIF(A$4:A$203,A180)=1,COUNTIF(02_WBS!$A$4:$A$200,B180)=1,C180&lt;&gt;"",COUNTIF(03_Пакеты!$A$4:$A$203,C180)=1,IFERROR(INDEX(03_Пакеты!$B$4:$B$203,MATCH(C180,03_Пакеты!$A$4:$A$203,0)),"")=B180,E180&lt;&gt;"",F180&lt;&gt;"",F180&lt;&gt;"UNKNOWN",G180&lt;&gt;"",G180&lt;&gt;"UNKNOWN",OR(H180="REMAINING",H180="SUNK",H180="OUTSIDE"),ISNUMBER(I180),I180&gt;=0,OR(AND(I180&gt;0,Q180="KNOWN"),AND(I180=0,Q180="ZERO_CONFIRMED")),J180&lt;&gt;"",K180&lt;&gt;"",OR(AND(V180="KAC",COUNTIF(06_КАЦ!$A$4:$A$203,K180)=1,IFERROR(INDEX(06_КАЦ!$V$4:$V$203,MATCH(K180,06_КАЦ!$A$4:$A$203,0)),"")="SELECTED_READY",IFERROR(INDEX(06_КАЦ!$D$4:$D$203,MATCH(K180,06_КАЦ!$A$4:$A$203,0)),"")=C180,IFERROR(INDEX(06_КАЦ!$F$4:$F$203,MATCH(K180,06_КАЦ!$A$4:$A$203,0)),"")=J180),AND(V180="DIRECT",COUNTIF(06а_Оценки!$A$4:$A$203,K180)=1,IFERROR(INDEX(06а_Оценки!$N$4:$N$203,MATCH(K180,06а_Оценки!$A$4:$A$203,0)),"")="READY",IFERROR(INDEX(06а_Оценки!$B$4:$B$203,MATCH(K180,06а_Оценки!$A$4:$A$203,0)),"")=C180,IFERROR(INDEX(06а_Оценки!$E$4:$E$203,MATCH(K180,06а_Оценки!$A$4:$A$203,0)),"")=J180)),O180&lt;&gt;"",COUNTIF(13_Источники!$A$4:$A$203,O180)=1,P180&lt;&gt;"",R180&lt;&gt;""),"READY","INCOMPLETE / LINK")))</f>
        <v/>
      </c>
      <c r="O180" s="4"/>
      <c r="P180" s="4"/>
      <c r="Q180" s="4"/>
      <c r="R180" s="4"/>
      <c r="S180" s="4"/>
      <c r="T180" s="4"/>
      <c r="U180" s="4"/>
      <c r="V180" s="4"/>
    </row>
    <row r="181" customFormat="false" ht="15" hidden="false" customHeight="false" outlineLevel="0" collapsed="false">
      <c r="A181" s="4"/>
      <c r="B181" s="4"/>
      <c r="C181" s="4"/>
      <c r="D181" s="6"/>
      <c r="E181" s="4"/>
      <c r="F181" s="4"/>
      <c r="G181" s="4"/>
      <c r="H181" s="4"/>
      <c r="I181" s="4"/>
      <c r="J181" s="4"/>
      <c r="K181" s="4"/>
      <c r="L181" s="7" t="str">
        <f aca="false">IF(N181="READY",IF(V181="KAC",IFERROR(INDEX(06_КАЦ!$R$4:$R$203,MATCH(K181,06_КАЦ!$A$4:$A$203,0)),""),IFERROR(INDEX(06а_Оценки!$F$4:$F$203,MATCH(K181,06а_Оценки!$A$4:$A$203,0)),"")),"")</f>
        <v/>
      </c>
      <c r="M181" s="7" t="str">
        <f aca="false">IF(N181="READY",ROUND(I181*L181,2),"")</f>
        <v/>
      </c>
      <c r="N181" s="5" t="str">
        <f aca="false">IF(A181="","",IF(Q181="NOT_APPLICABLE",IF(AND(COUNTIF(A$4:A$203,A181)=1,H181="OUTSIDE",R181&lt;&gt;"",O181&lt;&gt;"",COUNTIF(13_Источники!$A$4:$A$203,O181)=1),"NOT_APPLICABLE","INCOMPLETE / EXCLUSION"),IF(AND(COUNTIF(A$4:A$203,A181)=1,COUNTIF(02_WBS!$A$4:$A$200,B181)=1,C181&lt;&gt;"",COUNTIF(03_Пакеты!$A$4:$A$203,C181)=1,IFERROR(INDEX(03_Пакеты!$B$4:$B$203,MATCH(C181,03_Пакеты!$A$4:$A$203,0)),"")=B181,E181&lt;&gt;"",F181&lt;&gt;"",F181&lt;&gt;"UNKNOWN",G181&lt;&gt;"",G181&lt;&gt;"UNKNOWN",OR(H181="REMAINING",H181="SUNK",H181="OUTSIDE"),ISNUMBER(I181),I181&gt;=0,OR(AND(I181&gt;0,Q181="KNOWN"),AND(I181=0,Q181="ZERO_CONFIRMED")),J181&lt;&gt;"",K181&lt;&gt;"",OR(AND(V181="KAC",COUNTIF(06_КАЦ!$A$4:$A$203,K181)=1,IFERROR(INDEX(06_КАЦ!$V$4:$V$203,MATCH(K181,06_КАЦ!$A$4:$A$203,0)),"")="SELECTED_READY",IFERROR(INDEX(06_КАЦ!$D$4:$D$203,MATCH(K181,06_КАЦ!$A$4:$A$203,0)),"")=C181,IFERROR(INDEX(06_КАЦ!$F$4:$F$203,MATCH(K181,06_КАЦ!$A$4:$A$203,0)),"")=J181),AND(V181="DIRECT",COUNTIF(06а_Оценки!$A$4:$A$203,K181)=1,IFERROR(INDEX(06а_Оценки!$N$4:$N$203,MATCH(K181,06а_Оценки!$A$4:$A$203,0)),"")="READY",IFERROR(INDEX(06а_Оценки!$B$4:$B$203,MATCH(K181,06а_Оценки!$A$4:$A$203,0)),"")=C181,IFERROR(INDEX(06а_Оценки!$E$4:$E$203,MATCH(K181,06а_Оценки!$A$4:$A$203,0)),"")=J181)),O181&lt;&gt;"",COUNTIF(13_Источники!$A$4:$A$203,O181)=1,P181&lt;&gt;"",R181&lt;&gt;""),"READY","INCOMPLETE / LINK")))</f>
        <v/>
      </c>
      <c r="O181" s="4"/>
      <c r="P181" s="4"/>
      <c r="Q181" s="4"/>
      <c r="R181" s="4"/>
      <c r="S181" s="4"/>
      <c r="T181" s="4"/>
      <c r="U181" s="4"/>
      <c r="V181" s="4"/>
    </row>
    <row r="182" customFormat="false" ht="15" hidden="false" customHeight="false" outlineLevel="0" collapsed="false">
      <c r="A182" s="4"/>
      <c r="B182" s="4"/>
      <c r="C182" s="4"/>
      <c r="D182" s="6"/>
      <c r="E182" s="4"/>
      <c r="F182" s="4"/>
      <c r="G182" s="4"/>
      <c r="H182" s="4"/>
      <c r="I182" s="4"/>
      <c r="J182" s="4"/>
      <c r="K182" s="4"/>
      <c r="L182" s="7" t="str">
        <f aca="false">IF(N182="READY",IF(V182="KAC",IFERROR(INDEX(06_КАЦ!$R$4:$R$203,MATCH(K182,06_КАЦ!$A$4:$A$203,0)),""),IFERROR(INDEX(06а_Оценки!$F$4:$F$203,MATCH(K182,06а_Оценки!$A$4:$A$203,0)),"")),"")</f>
        <v/>
      </c>
      <c r="M182" s="7" t="str">
        <f aca="false">IF(N182="READY",ROUND(I182*L182,2),"")</f>
        <v/>
      </c>
      <c r="N182" s="5" t="str">
        <f aca="false">IF(A182="","",IF(Q182="NOT_APPLICABLE",IF(AND(COUNTIF(A$4:A$203,A182)=1,H182="OUTSIDE",R182&lt;&gt;"",O182&lt;&gt;"",COUNTIF(13_Источники!$A$4:$A$203,O182)=1),"NOT_APPLICABLE","INCOMPLETE / EXCLUSION"),IF(AND(COUNTIF(A$4:A$203,A182)=1,COUNTIF(02_WBS!$A$4:$A$200,B182)=1,C182&lt;&gt;"",COUNTIF(03_Пакеты!$A$4:$A$203,C182)=1,IFERROR(INDEX(03_Пакеты!$B$4:$B$203,MATCH(C182,03_Пакеты!$A$4:$A$203,0)),"")=B182,E182&lt;&gt;"",F182&lt;&gt;"",F182&lt;&gt;"UNKNOWN",G182&lt;&gt;"",G182&lt;&gt;"UNKNOWN",OR(H182="REMAINING",H182="SUNK",H182="OUTSIDE"),ISNUMBER(I182),I182&gt;=0,OR(AND(I182&gt;0,Q182="KNOWN"),AND(I182=0,Q182="ZERO_CONFIRMED")),J182&lt;&gt;"",K182&lt;&gt;"",OR(AND(V182="KAC",COUNTIF(06_КАЦ!$A$4:$A$203,K182)=1,IFERROR(INDEX(06_КАЦ!$V$4:$V$203,MATCH(K182,06_КАЦ!$A$4:$A$203,0)),"")="SELECTED_READY",IFERROR(INDEX(06_КАЦ!$D$4:$D$203,MATCH(K182,06_КАЦ!$A$4:$A$203,0)),"")=C182,IFERROR(INDEX(06_КАЦ!$F$4:$F$203,MATCH(K182,06_КАЦ!$A$4:$A$203,0)),"")=J182),AND(V182="DIRECT",COUNTIF(06а_Оценки!$A$4:$A$203,K182)=1,IFERROR(INDEX(06а_Оценки!$N$4:$N$203,MATCH(K182,06а_Оценки!$A$4:$A$203,0)),"")="READY",IFERROR(INDEX(06а_Оценки!$B$4:$B$203,MATCH(K182,06а_Оценки!$A$4:$A$203,0)),"")=C182,IFERROR(INDEX(06а_Оценки!$E$4:$E$203,MATCH(K182,06а_Оценки!$A$4:$A$203,0)),"")=J182)),O182&lt;&gt;"",COUNTIF(13_Источники!$A$4:$A$203,O182)=1,P182&lt;&gt;"",R182&lt;&gt;""),"READY","INCOMPLETE / LINK")))</f>
        <v/>
      </c>
      <c r="O182" s="4"/>
      <c r="P182" s="4"/>
      <c r="Q182" s="4"/>
      <c r="R182" s="4"/>
      <c r="S182" s="4"/>
      <c r="T182" s="4"/>
      <c r="U182" s="4"/>
      <c r="V182" s="4"/>
    </row>
    <row r="183" customFormat="false" ht="15" hidden="false" customHeight="false" outlineLevel="0" collapsed="false">
      <c r="A183" s="4"/>
      <c r="B183" s="4"/>
      <c r="C183" s="4"/>
      <c r="D183" s="6"/>
      <c r="E183" s="4"/>
      <c r="F183" s="4"/>
      <c r="G183" s="4"/>
      <c r="H183" s="4"/>
      <c r="I183" s="4"/>
      <c r="J183" s="4"/>
      <c r="K183" s="4"/>
      <c r="L183" s="7" t="str">
        <f aca="false">IF(N183="READY",IF(V183="KAC",IFERROR(INDEX(06_КАЦ!$R$4:$R$203,MATCH(K183,06_КАЦ!$A$4:$A$203,0)),""),IFERROR(INDEX(06а_Оценки!$F$4:$F$203,MATCH(K183,06а_Оценки!$A$4:$A$203,0)),"")),"")</f>
        <v/>
      </c>
      <c r="M183" s="7" t="str">
        <f aca="false">IF(N183="READY",ROUND(I183*L183,2),"")</f>
        <v/>
      </c>
      <c r="N183" s="5" t="str">
        <f aca="false">IF(A183="","",IF(Q183="NOT_APPLICABLE",IF(AND(COUNTIF(A$4:A$203,A183)=1,H183="OUTSIDE",R183&lt;&gt;"",O183&lt;&gt;"",COUNTIF(13_Источники!$A$4:$A$203,O183)=1),"NOT_APPLICABLE","INCOMPLETE / EXCLUSION"),IF(AND(COUNTIF(A$4:A$203,A183)=1,COUNTIF(02_WBS!$A$4:$A$200,B183)=1,C183&lt;&gt;"",COUNTIF(03_Пакеты!$A$4:$A$203,C183)=1,IFERROR(INDEX(03_Пакеты!$B$4:$B$203,MATCH(C183,03_Пакеты!$A$4:$A$203,0)),"")=B183,E183&lt;&gt;"",F183&lt;&gt;"",F183&lt;&gt;"UNKNOWN",G183&lt;&gt;"",G183&lt;&gt;"UNKNOWN",OR(H183="REMAINING",H183="SUNK",H183="OUTSIDE"),ISNUMBER(I183),I183&gt;=0,OR(AND(I183&gt;0,Q183="KNOWN"),AND(I183=0,Q183="ZERO_CONFIRMED")),J183&lt;&gt;"",K183&lt;&gt;"",OR(AND(V183="KAC",COUNTIF(06_КАЦ!$A$4:$A$203,K183)=1,IFERROR(INDEX(06_КАЦ!$V$4:$V$203,MATCH(K183,06_КАЦ!$A$4:$A$203,0)),"")="SELECTED_READY",IFERROR(INDEX(06_КАЦ!$D$4:$D$203,MATCH(K183,06_КАЦ!$A$4:$A$203,0)),"")=C183,IFERROR(INDEX(06_КАЦ!$F$4:$F$203,MATCH(K183,06_КАЦ!$A$4:$A$203,0)),"")=J183),AND(V183="DIRECT",COUNTIF(06а_Оценки!$A$4:$A$203,K183)=1,IFERROR(INDEX(06а_Оценки!$N$4:$N$203,MATCH(K183,06а_Оценки!$A$4:$A$203,0)),"")="READY",IFERROR(INDEX(06а_Оценки!$B$4:$B$203,MATCH(K183,06а_Оценки!$A$4:$A$203,0)),"")=C183,IFERROR(INDEX(06а_Оценки!$E$4:$E$203,MATCH(K183,06а_Оценки!$A$4:$A$203,0)),"")=J183)),O183&lt;&gt;"",COUNTIF(13_Источники!$A$4:$A$203,O183)=1,P183&lt;&gt;"",R183&lt;&gt;""),"READY","INCOMPLETE / LINK")))</f>
        <v/>
      </c>
      <c r="O183" s="4"/>
      <c r="P183" s="4"/>
      <c r="Q183" s="4"/>
      <c r="R183" s="4"/>
      <c r="S183" s="4"/>
      <c r="T183" s="4"/>
      <c r="U183" s="4"/>
      <c r="V183" s="4"/>
    </row>
    <row r="184" customFormat="false" ht="15" hidden="false" customHeight="false" outlineLevel="0" collapsed="false">
      <c r="A184" s="4"/>
      <c r="B184" s="4"/>
      <c r="C184" s="4"/>
      <c r="D184" s="6"/>
      <c r="E184" s="4"/>
      <c r="F184" s="4"/>
      <c r="G184" s="4"/>
      <c r="H184" s="4"/>
      <c r="I184" s="4"/>
      <c r="J184" s="4"/>
      <c r="K184" s="4"/>
      <c r="L184" s="7" t="str">
        <f aca="false">IF(N184="READY",IF(V184="KAC",IFERROR(INDEX(06_КАЦ!$R$4:$R$203,MATCH(K184,06_КАЦ!$A$4:$A$203,0)),""),IFERROR(INDEX(06а_Оценки!$F$4:$F$203,MATCH(K184,06а_Оценки!$A$4:$A$203,0)),"")),"")</f>
        <v/>
      </c>
      <c r="M184" s="7" t="str">
        <f aca="false">IF(N184="READY",ROUND(I184*L184,2),"")</f>
        <v/>
      </c>
      <c r="N184" s="5" t="str">
        <f aca="false">IF(A184="","",IF(Q184="NOT_APPLICABLE",IF(AND(COUNTIF(A$4:A$203,A184)=1,H184="OUTSIDE",R184&lt;&gt;"",O184&lt;&gt;"",COUNTIF(13_Источники!$A$4:$A$203,O184)=1),"NOT_APPLICABLE","INCOMPLETE / EXCLUSION"),IF(AND(COUNTIF(A$4:A$203,A184)=1,COUNTIF(02_WBS!$A$4:$A$200,B184)=1,C184&lt;&gt;"",COUNTIF(03_Пакеты!$A$4:$A$203,C184)=1,IFERROR(INDEX(03_Пакеты!$B$4:$B$203,MATCH(C184,03_Пакеты!$A$4:$A$203,0)),"")=B184,E184&lt;&gt;"",F184&lt;&gt;"",F184&lt;&gt;"UNKNOWN",G184&lt;&gt;"",G184&lt;&gt;"UNKNOWN",OR(H184="REMAINING",H184="SUNK",H184="OUTSIDE"),ISNUMBER(I184),I184&gt;=0,OR(AND(I184&gt;0,Q184="KNOWN"),AND(I184=0,Q184="ZERO_CONFIRMED")),J184&lt;&gt;"",K184&lt;&gt;"",OR(AND(V184="KAC",COUNTIF(06_КАЦ!$A$4:$A$203,K184)=1,IFERROR(INDEX(06_КАЦ!$V$4:$V$203,MATCH(K184,06_КАЦ!$A$4:$A$203,0)),"")="SELECTED_READY",IFERROR(INDEX(06_КАЦ!$D$4:$D$203,MATCH(K184,06_КАЦ!$A$4:$A$203,0)),"")=C184,IFERROR(INDEX(06_КАЦ!$F$4:$F$203,MATCH(K184,06_КАЦ!$A$4:$A$203,0)),"")=J184),AND(V184="DIRECT",COUNTIF(06а_Оценки!$A$4:$A$203,K184)=1,IFERROR(INDEX(06а_Оценки!$N$4:$N$203,MATCH(K184,06а_Оценки!$A$4:$A$203,0)),"")="READY",IFERROR(INDEX(06а_Оценки!$B$4:$B$203,MATCH(K184,06а_Оценки!$A$4:$A$203,0)),"")=C184,IFERROR(INDEX(06а_Оценки!$E$4:$E$203,MATCH(K184,06а_Оценки!$A$4:$A$203,0)),"")=J184)),O184&lt;&gt;"",COUNTIF(13_Источники!$A$4:$A$203,O184)=1,P184&lt;&gt;"",R184&lt;&gt;""),"READY","INCOMPLETE / LINK")))</f>
        <v/>
      </c>
      <c r="O184" s="4"/>
      <c r="P184" s="4"/>
      <c r="Q184" s="4"/>
      <c r="R184" s="4"/>
      <c r="S184" s="4"/>
      <c r="T184" s="4"/>
      <c r="U184" s="4"/>
      <c r="V184" s="4"/>
    </row>
    <row r="185" customFormat="false" ht="15" hidden="false" customHeight="false" outlineLevel="0" collapsed="false">
      <c r="A185" s="4"/>
      <c r="B185" s="4"/>
      <c r="C185" s="4"/>
      <c r="D185" s="6"/>
      <c r="E185" s="4"/>
      <c r="F185" s="4"/>
      <c r="G185" s="4"/>
      <c r="H185" s="4"/>
      <c r="I185" s="4"/>
      <c r="J185" s="4"/>
      <c r="K185" s="4"/>
      <c r="L185" s="7" t="str">
        <f aca="false">IF(N185="READY",IF(V185="KAC",IFERROR(INDEX(06_КАЦ!$R$4:$R$203,MATCH(K185,06_КАЦ!$A$4:$A$203,0)),""),IFERROR(INDEX(06а_Оценки!$F$4:$F$203,MATCH(K185,06а_Оценки!$A$4:$A$203,0)),"")),"")</f>
        <v/>
      </c>
      <c r="M185" s="7" t="str">
        <f aca="false">IF(N185="READY",ROUND(I185*L185,2),"")</f>
        <v/>
      </c>
      <c r="N185" s="5" t="str">
        <f aca="false">IF(A185="","",IF(Q185="NOT_APPLICABLE",IF(AND(COUNTIF(A$4:A$203,A185)=1,H185="OUTSIDE",R185&lt;&gt;"",O185&lt;&gt;"",COUNTIF(13_Источники!$A$4:$A$203,O185)=1),"NOT_APPLICABLE","INCOMPLETE / EXCLUSION"),IF(AND(COUNTIF(A$4:A$203,A185)=1,COUNTIF(02_WBS!$A$4:$A$200,B185)=1,C185&lt;&gt;"",COUNTIF(03_Пакеты!$A$4:$A$203,C185)=1,IFERROR(INDEX(03_Пакеты!$B$4:$B$203,MATCH(C185,03_Пакеты!$A$4:$A$203,0)),"")=B185,E185&lt;&gt;"",F185&lt;&gt;"",F185&lt;&gt;"UNKNOWN",G185&lt;&gt;"",G185&lt;&gt;"UNKNOWN",OR(H185="REMAINING",H185="SUNK",H185="OUTSIDE"),ISNUMBER(I185),I185&gt;=0,OR(AND(I185&gt;0,Q185="KNOWN"),AND(I185=0,Q185="ZERO_CONFIRMED")),J185&lt;&gt;"",K185&lt;&gt;"",OR(AND(V185="KAC",COUNTIF(06_КАЦ!$A$4:$A$203,K185)=1,IFERROR(INDEX(06_КАЦ!$V$4:$V$203,MATCH(K185,06_КАЦ!$A$4:$A$203,0)),"")="SELECTED_READY",IFERROR(INDEX(06_КАЦ!$D$4:$D$203,MATCH(K185,06_КАЦ!$A$4:$A$203,0)),"")=C185,IFERROR(INDEX(06_КАЦ!$F$4:$F$203,MATCH(K185,06_КАЦ!$A$4:$A$203,0)),"")=J185),AND(V185="DIRECT",COUNTIF(06а_Оценки!$A$4:$A$203,K185)=1,IFERROR(INDEX(06а_Оценки!$N$4:$N$203,MATCH(K185,06а_Оценки!$A$4:$A$203,0)),"")="READY",IFERROR(INDEX(06а_Оценки!$B$4:$B$203,MATCH(K185,06а_Оценки!$A$4:$A$203,0)),"")=C185,IFERROR(INDEX(06а_Оценки!$E$4:$E$203,MATCH(K185,06а_Оценки!$A$4:$A$203,0)),"")=J185)),O185&lt;&gt;"",COUNTIF(13_Источники!$A$4:$A$203,O185)=1,P185&lt;&gt;"",R185&lt;&gt;""),"READY","INCOMPLETE / LINK")))</f>
        <v/>
      </c>
      <c r="O185" s="4"/>
      <c r="P185" s="4"/>
      <c r="Q185" s="4"/>
      <c r="R185" s="4"/>
      <c r="S185" s="4"/>
      <c r="T185" s="4"/>
      <c r="U185" s="4"/>
      <c r="V185" s="4"/>
    </row>
    <row r="186" customFormat="false" ht="15" hidden="false" customHeight="false" outlineLevel="0" collapsed="false">
      <c r="A186" s="4"/>
      <c r="B186" s="4"/>
      <c r="C186" s="4"/>
      <c r="D186" s="6"/>
      <c r="E186" s="4"/>
      <c r="F186" s="4"/>
      <c r="G186" s="4"/>
      <c r="H186" s="4"/>
      <c r="I186" s="4"/>
      <c r="J186" s="4"/>
      <c r="K186" s="4"/>
      <c r="L186" s="7" t="str">
        <f aca="false">IF(N186="READY",IF(V186="KAC",IFERROR(INDEX(06_КАЦ!$R$4:$R$203,MATCH(K186,06_КАЦ!$A$4:$A$203,0)),""),IFERROR(INDEX(06а_Оценки!$F$4:$F$203,MATCH(K186,06а_Оценки!$A$4:$A$203,0)),"")),"")</f>
        <v/>
      </c>
      <c r="M186" s="7" t="str">
        <f aca="false">IF(N186="READY",ROUND(I186*L186,2),"")</f>
        <v/>
      </c>
      <c r="N186" s="5" t="str">
        <f aca="false">IF(A186="","",IF(Q186="NOT_APPLICABLE",IF(AND(COUNTIF(A$4:A$203,A186)=1,H186="OUTSIDE",R186&lt;&gt;"",O186&lt;&gt;"",COUNTIF(13_Источники!$A$4:$A$203,O186)=1),"NOT_APPLICABLE","INCOMPLETE / EXCLUSION"),IF(AND(COUNTIF(A$4:A$203,A186)=1,COUNTIF(02_WBS!$A$4:$A$200,B186)=1,C186&lt;&gt;"",COUNTIF(03_Пакеты!$A$4:$A$203,C186)=1,IFERROR(INDEX(03_Пакеты!$B$4:$B$203,MATCH(C186,03_Пакеты!$A$4:$A$203,0)),"")=B186,E186&lt;&gt;"",F186&lt;&gt;"",F186&lt;&gt;"UNKNOWN",G186&lt;&gt;"",G186&lt;&gt;"UNKNOWN",OR(H186="REMAINING",H186="SUNK",H186="OUTSIDE"),ISNUMBER(I186),I186&gt;=0,OR(AND(I186&gt;0,Q186="KNOWN"),AND(I186=0,Q186="ZERO_CONFIRMED")),J186&lt;&gt;"",K186&lt;&gt;"",OR(AND(V186="KAC",COUNTIF(06_КАЦ!$A$4:$A$203,K186)=1,IFERROR(INDEX(06_КАЦ!$V$4:$V$203,MATCH(K186,06_КАЦ!$A$4:$A$203,0)),"")="SELECTED_READY",IFERROR(INDEX(06_КАЦ!$D$4:$D$203,MATCH(K186,06_КАЦ!$A$4:$A$203,0)),"")=C186,IFERROR(INDEX(06_КАЦ!$F$4:$F$203,MATCH(K186,06_КАЦ!$A$4:$A$203,0)),"")=J186),AND(V186="DIRECT",COUNTIF(06а_Оценки!$A$4:$A$203,K186)=1,IFERROR(INDEX(06а_Оценки!$N$4:$N$203,MATCH(K186,06а_Оценки!$A$4:$A$203,0)),"")="READY",IFERROR(INDEX(06а_Оценки!$B$4:$B$203,MATCH(K186,06а_Оценки!$A$4:$A$203,0)),"")=C186,IFERROR(INDEX(06а_Оценки!$E$4:$E$203,MATCH(K186,06а_Оценки!$A$4:$A$203,0)),"")=J186)),O186&lt;&gt;"",COUNTIF(13_Источники!$A$4:$A$203,O186)=1,P186&lt;&gt;"",R186&lt;&gt;""),"READY","INCOMPLETE / LINK")))</f>
        <v/>
      </c>
      <c r="O186" s="4"/>
      <c r="P186" s="4"/>
      <c r="Q186" s="4"/>
      <c r="R186" s="4"/>
      <c r="S186" s="4"/>
      <c r="T186" s="4"/>
      <c r="U186" s="4"/>
      <c r="V186" s="4"/>
    </row>
    <row r="187" customFormat="false" ht="15" hidden="false" customHeight="false" outlineLevel="0" collapsed="false">
      <c r="A187" s="4"/>
      <c r="B187" s="4"/>
      <c r="C187" s="4"/>
      <c r="D187" s="6"/>
      <c r="E187" s="4"/>
      <c r="F187" s="4"/>
      <c r="G187" s="4"/>
      <c r="H187" s="4"/>
      <c r="I187" s="4"/>
      <c r="J187" s="4"/>
      <c r="K187" s="4"/>
      <c r="L187" s="7" t="str">
        <f aca="false">IF(N187="READY",IF(V187="KAC",IFERROR(INDEX(06_КАЦ!$R$4:$R$203,MATCH(K187,06_КАЦ!$A$4:$A$203,0)),""),IFERROR(INDEX(06а_Оценки!$F$4:$F$203,MATCH(K187,06а_Оценки!$A$4:$A$203,0)),"")),"")</f>
        <v/>
      </c>
      <c r="M187" s="7" t="str">
        <f aca="false">IF(N187="READY",ROUND(I187*L187,2),"")</f>
        <v/>
      </c>
      <c r="N187" s="5" t="str">
        <f aca="false">IF(A187="","",IF(Q187="NOT_APPLICABLE",IF(AND(COUNTIF(A$4:A$203,A187)=1,H187="OUTSIDE",R187&lt;&gt;"",O187&lt;&gt;"",COUNTIF(13_Источники!$A$4:$A$203,O187)=1),"NOT_APPLICABLE","INCOMPLETE / EXCLUSION"),IF(AND(COUNTIF(A$4:A$203,A187)=1,COUNTIF(02_WBS!$A$4:$A$200,B187)=1,C187&lt;&gt;"",COUNTIF(03_Пакеты!$A$4:$A$203,C187)=1,IFERROR(INDEX(03_Пакеты!$B$4:$B$203,MATCH(C187,03_Пакеты!$A$4:$A$203,0)),"")=B187,E187&lt;&gt;"",F187&lt;&gt;"",F187&lt;&gt;"UNKNOWN",G187&lt;&gt;"",G187&lt;&gt;"UNKNOWN",OR(H187="REMAINING",H187="SUNK",H187="OUTSIDE"),ISNUMBER(I187),I187&gt;=0,OR(AND(I187&gt;0,Q187="KNOWN"),AND(I187=0,Q187="ZERO_CONFIRMED")),J187&lt;&gt;"",K187&lt;&gt;"",OR(AND(V187="KAC",COUNTIF(06_КАЦ!$A$4:$A$203,K187)=1,IFERROR(INDEX(06_КАЦ!$V$4:$V$203,MATCH(K187,06_КАЦ!$A$4:$A$203,0)),"")="SELECTED_READY",IFERROR(INDEX(06_КАЦ!$D$4:$D$203,MATCH(K187,06_КАЦ!$A$4:$A$203,0)),"")=C187,IFERROR(INDEX(06_КАЦ!$F$4:$F$203,MATCH(K187,06_КАЦ!$A$4:$A$203,0)),"")=J187),AND(V187="DIRECT",COUNTIF(06а_Оценки!$A$4:$A$203,K187)=1,IFERROR(INDEX(06а_Оценки!$N$4:$N$203,MATCH(K187,06а_Оценки!$A$4:$A$203,0)),"")="READY",IFERROR(INDEX(06а_Оценки!$B$4:$B$203,MATCH(K187,06а_Оценки!$A$4:$A$203,0)),"")=C187,IFERROR(INDEX(06а_Оценки!$E$4:$E$203,MATCH(K187,06а_Оценки!$A$4:$A$203,0)),"")=J187)),O187&lt;&gt;"",COUNTIF(13_Источники!$A$4:$A$203,O187)=1,P187&lt;&gt;"",R187&lt;&gt;""),"READY","INCOMPLETE / LINK")))</f>
        <v/>
      </c>
      <c r="O187" s="4"/>
      <c r="P187" s="4"/>
      <c r="Q187" s="4"/>
      <c r="R187" s="4"/>
      <c r="S187" s="4"/>
      <c r="T187" s="4"/>
      <c r="U187" s="4"/>
      <c r="V187" s="4"/>
    </row>
    <row r="188" customFormat="false" ht="15" hidden="false" customHeight="false" outlineLevel="0" collapsed="false">
      <c r="A188" s="4"/>
      <c r="B188" s="4"/>
      <c r="C188" s="4"/>
      <c r="D188" s="6"/>
      <c r="E188" s="4"/>
      <c r="F188" s="4"/>
      <c r="G188" s="4"/>
      <c r="H188" s="4"/>
      <c r="I188" s="4"/>
      <c r="J188" s="4"/>
      <c r="K188" s="4"/>
      <c r="L188" s="7" t="str">
        <f aca="false">IF(N188="READY",IF(V188="KAC",IFERROR(INDEX(06_КАЦ!$R$4:$R$203,MATCH(K188,06_КАЦ!$A$4:$A$203,0)),""),IFERROR(INDEX(06а_Оценки!$F$4:$F$203,MATCH(K188,06а_Оценки!$A$4:$A$203,0)),"")),"")</f>
        <v/>
      </c>
      <c r="M188" s="7" t="str">
        <f aca="false">IF(N188="READY",ROUND(I188*L188,2),"")</f>
        <v/>
      </c>
      <c r="N188" s="5" t="str">
        <f aca="false">IF(A188="","",IF(Q188="NOT_APPLICABLE",IF(AND(COUNTIF(A$4:A$203,A188)=1,H188="OUTSIDE",R188&lt;&gt;"",O188&lt;&gt;"",COUNTIF(13_Источники!$A$4:$A$203,O188)=1),"NOT_APPLICABLE","INCOMPLETE / EXCLUSION"),IF(AND(COUNTIF(A$4:A$203,A188)=1,COUNTIF(02_WBS!$A$4:$A$200,B188)=1,C188&lt;&gt;"",COUNTIF(03_Пакеты!$A$4:$A$203,C188)=1,IFERROR(INDEX(03_Пакеты!$B$4:$B$203,MATCH(C188,03_Пакеты!$A$4:$A$203,0)),"")=B188,E188&lt;&gt;"",F188&lt;&gt;"",F188&lt;&gt;"UNKNOWN",G188&lt;&gt;"",G188&lt;&gt;"UNKNOWN",OR(H188="REMAINING",H188="SUNK",H188="OUTSIDE"),ISNUMBER(I188),I188&gt;=0,OR(AND(I188&gt;0,Q188="KNOWN"),AND(I188=0,Q188="ZERO_CONFIRMED")),J188&lt;&gt;"",K188&lt;&gt;"",OR(AND(V188="KAC",COUNTIF(06_КАЦ!$A$4:$A$203,K188)=1,IFERROR(INDEX(06_КАЦ!$V$4:$V$203,MATCH(K188,06_КАЦ!$A$4:$A$203,0)),"")="SELECTED_READY",IFERROR(INDEX(06_КАЦ!$D$4:$D$203,MATCH(K188,06_КАЦ!$A$4:$A$203,0)),"")=C188,IFERROR(INDEX(06_КАЦ!$F$4:$F$203,MATCH(K188,06_КАЦ!$A$4:$A$203,0)),"")=J188),AND(V188="DIRECT",COUNTIF(06а_Оценки!$A$4:$A$203,K188)=1,IFERROR(INDEX(06а_Оценки!$N$4:$N$203,MATCH(K188,06а_Оценки!$A$4:$A$203,0)),"")="READY",IFERROR(INDEX(06а_Оценки!$B$4:$B$203,MATCH(K188,06а_Оценки!$A$4:$A$203,0)),"")=C188,IFERROR(INDEX(06а_Оценки!$E$4:$E$203,MATCH(K188,06а_Оценки!$A$4:$A$203,0)),"")=J188)),O188&lt;&gt;"",COUNTIF(13_Источники!$A$4:$A$203,O188)=1,P188&lt;&gt;"",R188&lt;&gt;""),"READY","INCOMPLETE / LINK")))</f>
        <v/>
      </c>
      <c r="O188" s="4"/>
      <c r="P188" s="4"/>
      <c r="Q188" s="4"/>
      <c r="R188" s="4"/>
      <c r="S188" s="4"/>
      <c r="T188" s="4"/>
      <c r="U188" s="4"/>
      <c r="V188" s="4"/>
    </row>
    <row r="189" customFormat="false" ht="15" hidden="false" customHeight="false" outlineLevel="0" collapsed="false">
      <c r="A189" s="4"/>
      <c r="B189" s="4"/>
      <c r="C189" s="4"/>
      <c r="D189" s="6"/>
      <c r="E189" s="4"/>
      <c r="F189" s="4"/>
      <c r="G189" s="4"/>
      <c r="H189" s="4"/>
      <c r="I189" s="4"/>
      <c r="J189" s="4"/>
      <c r="K189" s="4"/>
      <c r="L189" s="7" t="str">
        <f aca="false">IF(N189="READY",IF(V189="KAC",IFERROR(INDEX(06_КАЦ!$R$4:$R$203,MATCH(K189,06_КАЦ!$A$4:$A$203,0)),""),IFERROR(INDEX(06а_Оценки!$F$4:$F$203,MATCH(K189,06а_Оценки!$A$4:$A$203,0)),"")),"")</f>
        <v/>
      </c>
      <c r="M189" s="7" t="str">
        <f aca="false">IF(N189="READY",ROUND(I189*L189,2),"")</f>
        <v/>
      </c>
      <c r="N189" s="5" t="str">
        <f aca="false">IF(A189="","",IF(Q189="NOT_APPLICABLE",IF(AND(COUNTIF(A$4:A$203,A189)=1,H189="OUTSIDE",R189&lt;&gt;"",O189&lt;&gt;"",COUNTIF(13_Источники!$A$4:$A$203,O189)=1),"NOT_APPLICABLE","INCOMPLETE / EXCLUSION"),IF(AND(COUNTIF(A$4:A$203,A189)=1,COUNTIF(02_WBS!$A$4:$A$200,B189)=1,C189&lt;&gt;"",COUNTIF(03_Пакеты!$A$4:$A$203,C189)=1,IFERROR(INDEX(03_Пакеты!$B$4:$B$203,MATCH(C189,03_Пакеты!$A$4:$A$203,0)),"")=B189,E189&lt;&gt;"",F189&lt;&gt;"",F189&lt;&gt;"UNKNOWN",G189&lt;&gt;"",G189&lt;&gt;"UNKNOWN",OR(H189="REMAINING",H189="SUNK",H189="OUTSIDE"),ISNUMBER(I189),I189&gt;=0,OR(AND(I189&gt;0,Q189="KNOWN"),AND(I189=0,Q189="ZERO_CONFIRMED")),J189&lt;&gt;"",K189&lt;&gt;"",OR(AND(V189="KAC",COUNTIF(06_КАЦ!$A$4:$A$203,K189)=1,IFERROR(INDEX(06_КАЦ!$V$4:$V$203,MATCH(K189,06_КАЦ!$A$4:$A$203,0)),"")="SELECTED_READY",IFERROR(INDEX(06_КАЦ!$D$4:$D$203,MATCH(K189,06_КАЦ!$A$4:$A$203,0)),"")=C189,IFERROR(INDEX(06_КАЦ!$F$4:$F$203,MATCH(K189,06_КАЦ!$A$4:$A$203,0)),"")=J189),AND(V189="DIRECT",COUNTIF(06а_Оценки!$A$4:$A$203,K189)=1,IFERROR(INDEX(06а_Оценки!$N$4:$N$203,MATCH(K189,06а_Оценки!$A$4:$A$203,0)),"")="READY",IFERROR(INDEX(06а_Оценки!$B$4:$B$203,MATCH(K189,06а_Оценки!$A$4:$A$203,0)),"")=C189,IFERROR(INDEX(06а_Оценки!$E$4:$E$203,MATCH(K189,06а_Оценки!$A$4:$A$203,0)),"")=J189)),O189&lt;&gt;"",COUNTIF(13_Источники!$A$4:$A$203,O189)=1,P189&lt;&gt;"",R189&lt;&gt;""),"READY","INCOMPLETE / LINK")))</f>
        <v/>
      </c>
      <c r="O189" s="4"/>
      <c r="P189" s="4"/>
      <c r="Q189" s="4"/>
      <c r="R189" s="4"/>
      <c r="S189" s="4"/>
      <c r="T189" s="4"/>
      <c r="U189" s="4"/>
      <c r="V189" s="4"/>
    </row>
    <row r="190" customFormat="false" ht="15" hidden="false" customHeight="false" outlineLevel="0" collapsed="false">
      <c r="A190" s="4"/>
      <c r="B190" s="4"/>
      <c r="C190" s="4"/>
      <c r="D190" s="6"/>
      <c r="E190" s="4"/>
      <c r="F190" s="4"/>
      <c r="G190" s="4"/>
      <c r="H190" s="4"/>
      <c r="I190" s="4"/>
      <c r="J190" s="4"/>
      <c r="K190" s="4"/>
      <c r="L190" s="7" t="str">
        <f aca="false">IF(N190="READY",IF(V190="KAC",IFERROR(INDEX(06_КАЦ!$R$4:$R$203,MATCH(K190,06_КАЦ!$A$4:$A$203,0)),""),IFERROR(INDEX(06а_Оценки!$F$4:$F$203,MATCH(K190,06а_Оценки!$A$4:$A$203,0)),"")),"")</f>
        <v/>
      </c>
      <c r="M190" s="7" t="str">
        <f aca="false">IF(N190="READY",ROUND(I190*L190,2),"")</f>
        <v/>
      </c>
      <c r="N190" s="5" t="str">
        <f aca="false">IF(A190="","",IF(Q190="NOT_APPLICABLE",IF(AND(COUNTIF(A$4:A$203,A190)=1,H190="OUTSIDE",R190&lt;&gt;"",O190&lt;&gt;"",COUNTIF(13_Источники!$A$4:$A$203,O190)=1),"NOT_APPLICABLE","INCOMPLETE / EXCLUSION"),IF(AND(COUNTIF(A$4:A$203,A190)=1,COUNTIF(02_WBS!$A$4:$A$200,B190)=1,C190&lt;&gt;"",COUNTIF(03_Пакеты!$A$4:$A$203,C190)=1,IFERROR(INDEX(03_Пакеты!$B$4:$B$203,MATCH(C190,03_Пакеты!$A$4:$A$203,0)),"")=B190,E190&lt;&gt;"",F190&lt;&gt;"",F190&lt;&gt;"UNKNOWN",G190&lt;&gt;"",G190&lt;&gt;"UNKNOWN",OR(H190="REMAINING",H190="SUNK",H190="OUTSIDE"),ISNUMBER(I190),I190&gt;=0,OR(AND(I190&gt;0,Q190="KNOWN"),AND(I190=0,Q190="ZERO_CONFIRMED")),J190&lt;&gt;"",K190&lt;&gt;"",OR(AND(V190="KAC",COUNTIF(06_КАЦ!$A$4:$A$203,K190)=1,IFERROR(INDEX(06_КАЦ!$V$4:$V$203,MATCH(K190,06_КАЦ!$A$4:$A$203,0)),"")="SELECTED_READY",IFERROR(INDEX(06_КАЦ!$D$4:$D$203,MATCH(K190,06_КАЦ!$A$4:$A$203,0)),"")=C190,IFERROR(INDEX(06_КАЦ!$F$4:$F$203,MATCH(K190,06_КАЦ!$A$4:$A$203,0)),"")=J190),AND(V190="DIRECT",COUNTIF(06а_Оценки!$A$4:$A$203,K190)=1,IFERROR(INDEX(06а_Оценки!$N$4:$N$203,MATCH(K190,06а_Оценки!$A$4:$A$203,0)),"")="READY",IFERROR(INDEX(06а_Оценки!$B$4:$B$203,MATCH(K190,06а_Оценки!$A$4:$A$203,0)),"")=C190,IFERROR(INDEX(06а_Оценки!$E$4:$E$203,MATCH(K190,06а_Оценки!$A$4:$A$203,0)),"")=J190)),O190&lt;&gt;"",COUNTIF(13_Источники!$A$4:$A$203,O190)=1,P190&lt;&gt;"",R190&lt;&gt;""),"READY","INCOMPLETE / LINK")))</f>
        <v/>
      </c>
      <c r="O190" s="4"/>
      <c r="P190" s="4"/>
      <c r="Q190" s="4"/>
      <c r="R190" s="4"/>
      <c r="S190" s="4"/>
      <c r="T190" s="4"/>
      <c r="U190" s="4"/>
      <c r="V190" s="4"/>
    </row>
    <row r="191" customFormat="false" ht="15" hidden="false" customHeight="false" outlineLevel="0" collapsed="false">
      <c r="A191" s="4"/>
      <c r="B191" s="4"/>
      <c r="C191" s="4"/>
      <c r="D191" s="6"/>
      <c r="E191" s="4"/>
      <c r="F191" s="4"/>
      <c r="G191" s="4"/>
      <c r="H191" s="4"/>
      <c r="I191" s="4"/>
      <c r="J191" s="4"/>
      <c r="K191" s="4"/>
      <c r="L191" s="7" t="str">
        <f aca="false">IF(N191="READY",IF(V191="KAC",IFERROR(INDEX(06_КАЦ!$R$4:$R$203,MATCH(K191,06_КАЦ!$A$4:$A$203,0)),""),IFERROR(INDEX(06а_Оценки!$F$4:$F$203,MATCH(K191,06а_Оценки!$A$4:$A$203,0)),"")),"")</f>
        <v/>
      </c>
      <c r="M191" s="7" t="str">
        <f aca="false">IF(N191="READY",ROUND(I191*L191,2),"")</f>
        <v/>
      </c>
      <c r="N191" s="5" t="str">
        <f aca="false">IF(A191="","",IF(Q191="NOT_APPLICABLE",IF(AND(COUNTIF(A$4:A$203,A191)=1,H191="OUTSIDE",R191&lt;&gt;"",O191&lt;&gt;"",COUNTIF(13_Источники!$A$4:$A$203,O191)=1),"NOT_APPLICABLE","INCOMPLETE / EXCLUSION"),IF(AND(COUNTIF(A$4:A$203,A191)=1,COUNTIF(02_WBS!$A$4:$A$200,B191)=1,C191&lt;&gt;"",COUNTIF(03_Пакеты!$A$4:$A$203,C191)=1,IFERROR(INDEX(03_Пакеты!$B$4:$B$203,MATCH(C191,03_Пакеты!$A$4:$A$203,0)),"")=B191,E191&lt;&gt;"",F191&lt;&gt;"",F191&lt;&gt;"UNKNOWN",G191&lt;&gt;"",G191&lt;&gt;"UNKNOWN",OR(H191="REMAINING",H191="SUNK",H191="OUTSIDE"),ISNUMBER(I191),I191&gt;=0,OR(AND(I191&gt;0,Q191="KNOWN"),AND(I191=0,Q191="ZERO_CONFIRMED")),J191&lt;&gt;"",K191&lt;&gt;"",OR(AND(V191="KAC",COUNTIF(06_КАЦ!$A$4:$A$203,K191)=1,IFERROR(INDEX(06_КАЦ!$V$4:$V$203,MATCH(K191,06_КАЦ!$A$4:$A$203,0)),"")="SELECTED_READY",IFERROR(INDEX(06_КАЦ!$D$4:$D$203,MATCH(K191,06_КАЦ!$A$4:$A$203,0)),"")=C191,IFERROR(INDEX(06_КАЦ!$F$4:$F$203,MATCH(K191,06_КАЦ!$A$4:$A$203,0)),"")=J191),AND(V191="DIRECT",COUNTIF(06а_Оценки!$A$4:$A$203,K191)=1,IFERROR(INDEX(06а_Оценки!$N$4:$N$203,MATCH(K191,06а_Оценки!$A$4:$A$203,0)),"")="READY",IFERROR(INDEX(06а_Оценки!$B$4:$B$203,MATCH(K191,06а_Оценки!$A$4:$A$203,0)),"")=C191,IFERROR(INDEX(06а_Оценки!$E$4:$E$203,MATCH(K191,06а_Оценки!$A$4:$A$203,0)),"")=J191)),O191&lt;&gt;"",COUNTIF(13_Источники!$A$4:$A$203,O191)=1,P191&lt;&gt;"",R191&lt;&gt;""),"READY","INCOMPLETE / LINK")))</f>
        <v/>
      </c>
      <c r="O191" s="4"/>
      <c r="P191" s="4"/>
      <c r="Q191" s="4"/>
      <c r="R191" s="4"/>
      <c r="S191" s="4"/>
      <c r="T191" s="4"/>
      <c r="U191" s="4"/>
      <c r="V191" s="4"/>
    </row>
    <row r="192" customFormat="false" ht="15" hidden="false" customHeight="false" outlineLevel="0" collapsed="false">
      <c r="A192" s="4"/>
      <c r="B192" s="4"/>
      <c r="C192" s="4"/>
      <c r="D192" s="6"/>
      <c r="E192" s="4"/>
      <c r="F192" s="4"/>
      <c r="G192" s="4"/>
      <c r="H192" s="4"/>
      <c r="I192" s="4"/>
      <c r="J192" s="4"/>
      <c r="K192" s="4"/>
      <c r="L192" s="7" t="str">
        <f aca="false">IF(N192="READY",IF(V192="KAC",IFERROR(INDEX(06_КАЦ!$R$4:$R$203,MATCH(K192,06_КАЦ!$A$4:$A$203,0)),""),IFERROR(INDEX(06а_Оценки!$F$4:$F$203,MATCH(K192,06а_Оценки!$A$4:$A$203,0)),"")),"")</f>
        <v/>
      </c>
      <c r="M192" s="7" t="str">
        <f aca="false">IF(N192="READY",ROUND(I192*L192,2),"")</f>
        <v/>
      </c>
      <c r="N192" s="5" t="str">
        <f aca="false">IF(A192="","",IF(Q192="NOT_APPLICABLE",IF(AND(COUNTIF(A$4:A$203,A192)=1,H192="OUTSIDE",R192&lt;&gt;"",O192&lt;&gt;"",COUNTIF(13_Источники!$A$4:$A$203,O192)=1),"NOT_APPLICABLE","INCOMPLETE / EXCLUSION"),IF(AND(COUNTIF(A$4:A$203,A192)=1,COUNTIF(02_WBS!$A$4:$A$200,B192)=1,C192&lt;&gt;"",COUNTIF(03_Пакеты!$A$4:$A$203,C192)=1,IFERROR(INDEX(03_Пакеты!$B$4:$B$203,MATCH(C192,03_Пакеты!$A$4:$A$203,0)),"")=B192,E192&lt;&gt;"",F192&lt;&gt;"",F192&lt;&gt;"UNKNOWN",G192&lt;&gt;"",G192&lt;&gt;"UNKNOWN",OR(H192="REMAINING",H192="SUNK",H192="OUTSIDE"),ISNUMBER(I192),I192&gt;=0,OR(AND(I192&gt;0,Q192="KNOWN"),AND(I192=0,Q192="ZERO_CONFIRMED")),J192&lt;&gt;"",K192&lt;&gt;"",OR(AND(V192="KAC",COUNTIF(06_КАЦ!$A$4:$A$203,K192)=1,IFERROR(INDEX(06_КАЦ!$V$4:$V$203,MATCH(K192,06_КАЦ!$A$4:$A$203,0)),"")="SELECTED_READY",IFERROR(INDEX(06_КАЦ!$D$4:$D$203,MATCH(K192,06_КАЦ!$A$4:$A$203,0)),"")=C192,IFERROR(INDEX(06_КАЦ!$F$4:$F$203,MATCH(K192,06_КАЦ!$A$4:$A$203,0)),"")=J192),AND(V192="DIRECT",COUNTIF(06а_Оценки!$A$4:$A$203,K192)=1,IFERROR(INDEX(06а_Оценки!$N$4:$N$203,MATCH(K192,06а_Оценки!$A$4:$A$203,0)),"")="READY",IFERROR(INDEX(06а_Оценки!$B$4:$B$203,MATCH(K192,06а_Оценки!$A$4:$A$203,0)),"")=C192,IFERROR(INDEX(06а_Оценки!$E$4:$E$203,MATCH(K192,06а_Оценки!$A$4:$A$203,0)),"")=J192)),O192&lt;&gt;"",COUNTIF(13_Источники!$A$4:$A$203,O192)=1,P192&lt;&gt;"",R192&lt;&gt;""),"READY","INCOMPLETE / LINK")))</f>
        <v/>
      </c>
      <c r="O192" s="4"/>
      <c r="P192" s="4"/>
      <c r="Q192" s="4"/>
      <c r="R192" s="4"/>
      <c r="S192" s="4"/>
      <c r="T192" s="4"/>
      <c r="U192" s="4"/>
      <c r="V192" s="4"/>
    </row>
    <row r="193" customFormat="false" ht="15" hidden="false" customHeight="false" outlineLevel="0" collapsed="false">
      <c r="A193" s="4"/>
      <c r="B193" s="4"/>
      <c r="C193" s="4"/>
      <c r="D193" s="6"/>
      <c r="E193" s="4"/>
      <c r="F193" s="4"/>
      <c r="G193" s="4"/>
      <c r="H193" s="4"/>
      <c r="I193" s="4"/>
      <c r="J193" s="4"/>
      <c r="K193" s="4"/>
      <c r="L193" s="7" t="str">
        <f aca="false">IF(N193="READY",IF(V193="KAC",IFERROR(INDEX(06_КАЦ!$R$4:$R$203,MATCH(K193,06_КАЦ!$A$4:$A$203,0)),""),IFERROR(INDEX(06а_Оценки!$F$4:$F$203,MATCH(K193,06а_Оценки!$A$4:$A$203,0)),"")),"")</f>
        <v/>
      </c>
      <c r="M193" s="7" t="str">
        <f aca="false">IF(N193="READY",ROUND(I193*L193,2),"")</f>
        <v/>
      </c>
      <c r="N193" s="5" t="str">
        <f aca="false">IF(A193="","",IF(Q193="NOT_APPLICABLE",IF(AND(COUNTIF(A$4:A$203,A193)=1,H193="OUTSIDE",R193&lt;&gt;"",O193&lt;&gt;"",COUNTIF(13_Источники!$A$4:$A$203,O193)=1),"NOT_APPLICABLE","INCOMPLETE / EXCLUSION"),IF(AND(COUNTIF(A$4:A$203,A193)=1,COUNTIF(02_WBS!$A$4:$A$200,B193)=1,C193&lt;&gt;"",COUNTIF(03_Пакеты!$A$4:$A$203,C193)=1,IFERROR(INDEX(03_Пакеты!$B$4:$B$203,MATCH(C193,03_Пакеты!$A$4:$A$203,0)),"")=B193,E193&lt;&gt;"",F193&lt;&gt;"",F193&lt;&gt;"UNKNOWN",G193&lt;&gt;"",G193&lt;&gt;"UNKNOWN",OR(H193="REMAINING",H193="SUNK",H193="OUTSIDE"),ISNUMBER(I193),I193&gt;=0,OR(AND(I193&gt;0,Q193="KNOWN"),AND(I193=0,Q193="ZERO_CONFIRMED")),J193&lt;&gt;"",K193&lt;&gt;"",OR(AND(V193="KAC",COUNTIF(06_КАЦ!$A$4:$A$203,K193)=1,IFERROR(INDEX(06_КАЦ!$V$4:$V$203,MATCH(K193,06_КАЦ!$A$4:$A$203,0)),"")="SELECTED_READY",IFERROR(INDEX(06_КАЦ!$D$4:$D$203,MATCH(K193,06_КАЦ!$A$4:$A$203,0)),"")=C193,IFERROR(INDEX(06_КАЦ!$F$4:$F$203,MATCH(K193,06_КАЦ!$A$4:$A$203,0)),"")=J193),AND(V193="DIRECT",COUNTIF(06а_Оценки!$A$4:$A$203,K193)=1,IFERROR(INDEX(06а_Оценки!$N$4:$N$203,MATCH(K193,06а_Оценки!$A$4:$A$203,0)),"")="READY",IFERROR(INDEX(06а_Оценки!$B$4:$B$203,MATCH(K193,06а_Оценки!$A$4:$A$203,0)),"")=C193,IFERROR(INDEX(06а_Оценки!$E$4:$E$203,MATCH(K193,06а_Оценки!$A$4:$A$203,0)),"")=J193)),O193&lt;&gt;"",COUNTIF(13_Источники!$A$4:$A$203,O193)=1,P193&lt;&gt;"",R193&lt;&gt;""),"READY","INCOMPLETE / LINK")))</f>
        <v/>
      </c>
      <c r="O193" s="4"/>
      <c r="P193" s="4"/>
      <c r="Q193" s="4"/>
      <c r="R193" s="4"/>
      <c r="S193" s="4"/>
      <c r="T193" s="4"/>
      <c r="U193" s="4"/>
      <c r="V193" s="4"/>
    </row>
    <row r="194" customFormat="false" ht="15" hidden="false" customHeight="false" outlineLevel="0" collapsed="false">
      <c r="A194" s="4"/>
      <c r="B194" s="4"/>
      <c r="C194" s="4"/>
      <c r="D194" s="6"/>
      <c r="E194" s="4"/>
      <c r="F194" s="4"/>
      <c r="G194" s="4"/>
      <c r="H194" s="4"/>
      <c r="I194" s="4"/>
      <c r="J194" s="4"/>
      <c r="K194" s="4"/>
      <c r="L194" s="7" t="str">
        <f aca="false">IF(N194="READY",IF(V194="KAC",IFERROR(INDEX(06_КАЦ!$R$4:$R$203,MATCH(K194,06_КАЦ!$A$4:$A$203,0)),""),IFERROR(INDEX(06а_Оценки!$F$4:$F$203,MATCH(K194,06а_Оценки!$A$4:$A$203,0)),"")),"")</f>
        <v/>
      </c>
      <c r="M194" s="7" t="str">
        <f aca="false">IF(N194="READY",ROUND(I194*L194,2),"")</f>
        <v/>
      </c>
      <c r="N194" s="5" t="str">
        <f aca="false">IF(A194="","",IF(Q194="NOT_APPLICABLE",IF(AND(COUNTIF(A$4:A$203,A194)=1,H194="OUTSIDE",R194&lt;&gt;"",O194&lt;&gt;"",COUNTIF(13_Источники!$A$4:$A$203,O194)=1),"NOT_APPLICABLE","INCOMPLETE / EXCLUSION"),IF(AND(COUNTIF(A$4:A$203,A194)=1,COUNTIF(02_WBS!$A$4:$A$200,B194)=1,C194&lt;&gt;"",COUNTIF(03_Пакеты!$A$4:$A$203,C194)=1,IFERROR(INDEX(03_Пакеты!$B$4:$B$203,MATCH(C194,03_Пакеты!$A$4:$A$203,0)),"")=B194,E194&lt;&gt;"",F194&lt;&gt;"",F194&lt;&gt;"UNKNOWN",G194&lt;&gt;"",G194&lt;&gt;"UNKNOWN",OR(H194="REMAINING",H194="SUNK",H194="OUTSIDE"),ISNUMBER(I194),I194&gt;=0,OR(AND(I194&gt;0,Q194="KNOWN"),AND(I194=0,Q194="ZERO_CONFIRMED")),J194&lt;&gt;"",K194&lt;&gt;"",OR(AND(V194="KAC",COUNTIF(06_КАЦ!$A$4:$A$203,K194)=1,IFERROR(INDEX(06_КАЦ!$V$4:$V$203,MATCH(K194,06_КАЦ!$A$4:$A$203,0)),"")="SELECTED_READY",IFERROR(INDEX(06_КАЦ!$D$4:$D$203,MATCH(K194,06_КАЦ!$A$4:$A$203,0)),"")=C194,IFERROR(INDEX(06_КАЦ!$F$4:$F$203,MATCH(K194,06_КАЦ!$A$4:$A$203,0)),"")=J194),AND(V194="DIRECT",COUNTIF(06а_Оценки!$A$4:$A$203,K194)=1,IFERROR(INDEX(06а_Оценки!$N$4:$N$203,MATCH(K194,06а_Оценки!$A$4:$A$203,0)),"")="READY",IFERROR(INDEX(06а_Оценки!$B$4:$B$203,MATCH(K194,06а_Оценки!$A$4:$A$203,0)),"")=C194,IFERROR(INDEX(06а_Оценки!$E$4:$E$203,MATCH(K194,06а_Оценки!$A$4:$A$203,0)),"")=J194)),O194&lt;&gt;"",COUNTIF(13_Источники!$A$4:$A$203,O194)=1,P194&lt;&gt;"",R194&lt;&gt;""),"READY","INCOMPLETE / LINK")))</f>
        <v/>
      </c>
      <c r="O194" s="4"/>
      <c r="P194" s="4"/>
      <c r="Q194" s="4"/>
      <c r="R194" s="4"/>
      <c r="S194" s="4"/>
      <c r="T194" s="4"/>
      <c r="U194" s="4"/>
      <c r="V194" s="4"/>
    </row>
    <row r="195" customFormat="false" ht="15" hidden="false" customHeight="false" outlineLevel="0" collapsed="false">
      <c r="A195" s="4"/>
      <c r="B195" s="4"/>
      <c r="C195" s="4"/>
      <c r="D195" s="6"/>
      <c r="E195" s="4"/>
      <c r="F195" s="4"/>
      <c r="G195" s="4"/>
      <c r="H195" s="4"/>
      <c r="I195" s="4"/>
      <c r="J195" s="4"/>
      <c r="K195" s="4"/>
      <c r="L195" s="7" t="str">
        <f aca="false">IF(N195="READY",IF(V195="KAC",IFERROR(INDEX(06_КАЦ!$R$4:$R$203,MATCH(K195,06_КАЦ!$A$4:$A$203,0)),""),IFERROR(INDEX(06а_Оценки!$F$4:$F$203,MATCH(K195,06а_Оценки!$A$4:$A$203,0)),"")),"")</f>
        <v/>
      </c>
      <c r="M195" s="7" t="str">
        <f aca="false">IF(N195="READY",ROUND(I195*L195,2),"")</f>
        <v/>
      </c>
      <c r="N195" s="5" t="str">
        <f aca="false">IF(A195="","",IF(Q195="NOT_APPLICABLE",IF(AND(COUNTIF(A$4:A$203,A195)=1,H195="OUTSIDE",R195&lt;&gt;"",O195&lt;&gt;"",COUNTIF(13_Источники!$A$4:$A$203,O195)=1),"NOT_APPLICABLE","INCOMPLETE / EXCLUSION"),IF(AND(COUNTIF(A$4:A$203,A195)=1,COUNTIF(02_WBS!$A$4:$A$200,B195)=1,C195&lt;&gt;"",COUNTIF(03_Пакеты!$A$4:$A$203,C195)=1,IFERROR(INDEX(03_Пакеты!$B$4:$B$203,MATCH(C195,03_Пакеты!$A$4:$A$203,0)),"")=B195,E195&lt;&gt;"",F195&lt;&gt;"",F195&lt;&gt;"UNKNOWN",G195&lt;&gt;"",G195&lt;&gt;"UNKNOWN",OR(H195="REMAINING",H195="SUNK",H195="OUTSIDE"),ISNUMBER(I195),I195&gt;=0,OR(AND(I195&gt;0,Q195="KNOWN"),AND(I195=0,Q195="ZERO_CONFIRMED")),J195&lt;&gt;"",K195&lt;&gt;"",OR(AND(V195="KAC",COUNTIF(06_КАЦ!$A$4:$A$203,K195)=1,IFERROR(INDEX(06_КАЦ!$V$4:$V$203,MATCH(K195,06_КАЦ!$A$4:$A$203,0)),"")="SELECTED_READY",IFERROR(INDEX(06_КАЦ!$D$4:$D$203,MATCH(K195,06_КАЦ!$A$4:$A$203,0)),"")=C195,IFERROR(INDEX(06_КАЦ!$F$4:$F$203,MATCH(K195,06_КАЦ!$A$4:$A$203,0)),"")=J195),AND(V195="DIRECT",COUNTIF(06а_Оценки!$A$4:$A$203,K195)=1,IFERROR(INDEX(06а_Оценки!$N$4:$N$203,MATCH(K195,06а_Оценки!$A$4:$A$203,0)),"")="READY",IFERROR(INDEX(06а_Оценки!$B$4:$B$203,MATCH(K195,06а_Оценки!$A$4:$A$203,0)),"")=C195,IFERROR(INDEX(06а_Оценки!$E$4:$E$203,MATCH(K195,06а_Оценки!$A$4:$A$203,0)),"")=J195)),O195&lt;&gt;"",COUNTIF(13_Источники!$A$4:$A$203,O195)=1,P195&lt;&gt;"",R195&lt;&gt;""),"READY","INCOMPLETE / LINK")))</f>
        <v/>
      </c>
      <c r="O195" s="4"/>
      <c r="P195" s="4"/>
      <c r="Q195" s="4"/>
      <c r="R195" s="4"/>
      <c r="S195" s="4"/>
      <c r="T195" s="4"/>
      <c r="U195" s="4"/>
      <c r="V195" s="4"/>
    </row>
    <row r="196" customFormat="false" ht="15" hidden="false" customHeight="false" outlineLevel="0" collapsed="false">
      <c r="A196" s="4"/>
      <c r="B196" s="4"/>
      <c r="C196" s="4"/>
      <c r="D196" s="6"/>
      <c r="E196" s="4"/>
      <c r="F196" s="4"/>
      <c r="G196" s="4"/>
      <c r="H196" s="4"/>
      <c r="I196" s="4"/>
      <c r="J196" s="4"/>
      <c r="K196" s="4"/>
      <c r="L196" s="7" t="str">
        <f aca="false">IF(N196="READY",IF(V196="KAC",IFERROR(INDEX(06_КАЦ!$R$4:$R$203,MATCH(K196,06_КАЦ!$A$4:$A$203,0)),""),IFERROR(INDEX(06а_Оценки!$F$4:$F$203,MATCH(K196,06а_Оценки!$A$4:$A$203,0)),"")),"")</f>
        <v/>
      </c>
      <c r="M196" s="7" t="str">
        <f aca="false">IF(N196="READY",ROUND(I196*L196,2),"")</f>
        <v/>
      </c>
      <c r="N196" s="5" t="str">
        <f aca="false">IF(A196="","",IF(Q196="NOT_APPLICABLE",IF(AND(COUNTIF(A$4:A$203,A196)=1,H196="OUTSIDE",R196&lt;&gt;"",O196&lt;&gt;"",COUNTIF(13_Источники!$A$4:$A$203,O196)=1),"NOT_APPLICABLE","INCOMPLETE / EXCLUSION"),IF(AND(COUNTIF(A$4:A$203,A196)=1,COUNTIF(02_WBS!$A$4:$A$200,B196)=1,C196&lt;&gt;"",COUNTIF(03_Пакеты!$A$4:$A$203,C196)=1,IFERROR(INDEX(03_Пакеты!$B$4:$B$203,MATCH(C196,03_Пакеты!$A$4:$A$203,0)),"")=B196,E196&lt;&gt;"",F196&lt;&gt;"",F196&lt;&gt;"UNKNOWN",G196&lt;&gt;"",G196&lt;&gt;"UNKNOWN",OR(H196="REMAINING",H196="SUNK",H196="OUTSIDE"),ISNUMBER(I196),I196&gt;=0,OR(AND(I196&gt;0,Q196="KNOWN"),AND(I196=0,Q196="ZERO_CONFIRMED")),J196&lt;&gt;"",K196&lt;&gt;"",OR(AND(V196="KAC",COUNTIF(06_КАЦ!$A$4:$A$203,K196)=1,IFERROR(INDEX(06_КАЦ!$V$4:$V$203,MATCH(K196,06_КАЦ!$A$4:$A$203,0)),"")="SELECTED_READY",IFERROR(INDEX(06_КАЦ!$D$4:$D$203,MATCH(K196,06_КАЦ!$A$4:$A$203,0)),"")=C196,IFERROR(INDEX(06_КАЦ!$F$4:$F$203,MATCH(K196,06_КАЦ!$A$4:$A$203,0)),"")=J196),AND(V196="DIRECT",COUNTIF(06а_Оценки!$A$4:$A$203,K196)=1,IFERROR(INDEX(06а_Оценки!$N$4:$N$203,MATCH(K196,06а_Оценки!$A$4:$A$203,0)),"")="READY",IFERROR(INDEX(06а_Оценки!$B$4:$B$203,MATCH(K196,06а_Оценки!$A$4:$A$203,0)),"")=C196,IFERROR(INDEX(06а_Оценки!$E$4:$E$203,MATCH(K196,06а_Оценки!$A$4:$A$203,0)),"")=J196)),O196&lt;&gt;"",COUNTIF(13_Источники!$A$4:$A$203,O196)=1,P196&lt;&gt;"",R196&lt;&gt;""),"READY","INCOMPLETE / LINK")))</f>
        <v/>
      </c>
      <c r="O196" s="4"/>
      <c r="P196" s="4"/>
      <c r="Q196" s="4"/>
      <c r="R196" s="4"/>
      <c r="S196" s="4"/>
      <c r="T196" s="4"/>
      <c r="U196" s="4"/>
      <c r="V196" s="4"/>
    </row>
    <row r="197" customFormat="false" ht="15" hidden="false" customHeight="false" outlineLevel="0" collapsed="false">
      <c r="A197" s="4"/>
      <c r="B197" s="4"/>
      <c r="C197" s="4"/>
      <c r="D197" s="6"/>
      <c r="E197" s="4"/>
      <c r="F197" s="4"/>
      <c r="G197" s="4"/>
      <c r="H197" s="4"/>
      <c r="I197" s="4"/>
      <c r="J197" s="4"/>
      <c r="K197" s="4"/>
      <c r="L197" s="7" t="str">
        <f aca="false">IF(N197="READY",IF(V197="KAC",IFERROR(INDEX(06_КАЦ!$R$4:$R$203,MATCH(K197,06_КАЦ!$A$4:$A$203,0)),""),IFERROR(INDEX(06а_Оценки!$F$4:$F$203,MATCH(K197,06а_Оценки!$A$4:$A$203,0)),"")),"")</f>
        <v/>
      </c>
      <c r="M197" s="7" t="str">
        <f aca="false">IF(N197="READY",ROUND(I197*L197,2),"")</f>
        <v/>
      </c>
      <c r="N197" s="5" t="str">
        <f aca="false">IF(A197="","",IF(Q197="NOT_APPLICABLE",IF(AND(COUNTIF(A$4:A$203,A197)=1,H197="OUTSIDE",R197&lt;&gt;"",O197&lt;&gt;"",COUNTIF(13_Источники!$A$4:$A$203,O197)=1),"NOT_APPLICABLE","INCOMPLETE / EXCLUSION"),IF(AND(COUNTIF(A$4:A$203,A197)=1,COUNTIF(02_WBS!$A$4:$A$200,B197)=1,C197&lt;&gt;"",COUNTIF(03_Пакеты!$A$4:$A$203,C197)=1,IFERROR(INDEX(03_Пакеты!$B$4:$B$203,MATCH(C197,03_Пакеты!$A$4:$A$203,0)),"")=B197,E197&lt;&gt;"",F197&lt;&gt;"",F197&lt;&gt;"UNKNOWN",G197&lt;&gt;"",G197&lt;&gt;"UNKNOWN",OR(H197="REMAINING",H197="SUNK",H197="OUTSIDE"),ISNUMBER(I197),I197&gt;=0,OR(AND(I197&gt;0,Q197="KNOWN"),AND(I197=0,Q197="ZERO_CONFIRMED")),J197&lt;&gt;"",K197&lt;&gt;"",OR(AND(V197="KAC",COUNTIF(06_КАЦ!$A$4:$A$203,K197)=1,IFERROR(INDEX(06_КАЦ!$V$4:$V$203,MATCH(K197,06_КАЦ!$A$4:$A$203,0)),"")="SELECTED_READY",IFERROR(INDEX(06_КАЦ!$D$4:$D$203,MATCH(K197,06_КАЦ!$A$4:$A$203,0)),"")=C197,IFERROR(INDEX(06_КАЦ!$F$4:$F$203,MATCH(K197,06_КАЦ!$A$4:$A$203,0)),"")=J197),AND(V197="DIRECT",COUNTIF(06а_Оценки!$A$4:$A$203,K197)=1,IFERROR(INDEX(06а_Оценки!$N$4:$N$203,MATCH(K197,06а_Оценки!$A$4:$A$203,0)),"")="READY",IFERROR(INDEX(06а_Оценки!$B$4:$B$203,MATCH(K197,06а_Оценки!$A$4:$A$203,0)),"")=C197,IFERROR(INDEX(06а_Оценки!$E$4:$E$203,MATCH(K197,06а_Оценки!$A$4:$A$203,0)),"")=J197)),O197&lt;&gt;"",COUNTIF(13_Источники!$A$4:$A$203,O197)=1,P197&lt;&gt;"",R197&lt;&gt;""),"READY","INCOMPLETE / LINK")))</f>
        <v/>
      </c>
      <c r="O197" s="4"/>
      <c r="P197" s="4"/>
      <c r="Q197" s="4"/>
      <c r="R197" s="4"/>
      <c r="S197" s="4"/>
      <c r="T197" s="4"/>
      <c r="U197" s="4"/>
      <c r="V197" s="4"/>
    </row>
    <row r="198" customFormat="false" ht="15" hidden="false" customHeight="false" outlineLevel="0" collapsed="false">
      <c r="A198" s="4"/>
      <c r="B198" s="4"/>
      <c r="C198" s="4"/>
      <c r="D198" s="6"/>
      <c r="E198" s="4"/>
      <c r="F198" s="4"/>
      <c r="G198" s="4"/>
      <c r="H198" s="4"/>
      <c r="I198" s="4"/>
      <c r="J198" s="4"/>
      <c r="K198" s="4"/>
      <c r="L198" s="7" t="str">
        <f aca="false">IF(N198="READY",IF(V198="KAC",IFERROR(INDEX(06_КАЦ!$R$4:$R$203,MATCH(K198,06_КАЦ!$A$4:$A$203,0)),""),IFERROR(INDEX(06а_Оценки!$F$4:$F$203,MATCH(K198,06а_Оценки!$A$4:$A$203,0)),"")),"")</f>
        <v/>
      </c>
      <c r="M198" s="7" t="str">
        <f aca="false">IF(N198="READY",ROUND(I198*L198,2),"")</f>
        <v/>
      </c>
      <c r="N198" s="5" t="str">
        <f aca="false">IF(A198="","",IF(Q198="NOT_APPLICABLE",IF(AND(COUNTIF(A$4:A$203,A198)=1,H198="OUTSIDE",R198&lt;&gt;"",O198&lt;&gt;"",COUNTIF(13_Источники!$A$4:$A$203,O198)=1),"NOT_APPLICABLE","INCOMPLETE / EXCLUSION"),IF(AND(COUNTIF(A$4:A$203,A198)=1,COUNTIF(02_WBS!$A$4:$A$200,B198)=1,C198&lt;&gt;"",COUNTIF(03_Пакеты!$A$4:$A$203,C198)=1,IFERROR(INDEX(03_Пакеты!$B$4:$B$203,MATCH(C198,03_Пакеты!$A$4:$A$203,0)),"")=B198,E198&lt;&gt;"",F198&lt;&gt;"",F198&lt;&gt;"UNKNOWN",G198&lt;&gt;"",G198&lt;&gt;"UNKNOWN",OR(H198="REMAINING",H198="SUNK",H198="OUTSIDE"),ISNUMBER(I198),I198&gt;=0,OR(AND(I198&gt;0,Q198="KNOWN"),AND(I198=0,Q198="ZERO_CONFIRMED")),J198&lt;&gt;"",K198&lt;&gt;"",OR(AND(V198="KAC",COUNTIF(06_КАЦ!$A$4:$A$203,K198)=1,IFERROR(INDEX(06_КАЦ!$V$4:$V$203,MATCH(K198,06_КАЦ!$A$4:$A$203,0)),"")="SELECTED_READY",IFERROR(INDEX(06_КАЦ!$D$4:$D$203,MATCH(K198,06_КАЦ!$A$4:$A$203,0)),"")=C198,IFERROR(INDEX(06_КАЦ!$F$4:$F$203,MATCH(K198,06_КАЦ!$A$4:$A$203,0)),"")=J198),AND(V198="DIRECT",COUNTIF(06а_Оценки!$A$4:$A$203,K198)=1,IFERROR(INDEX(06а_Оценки!$N$4:$N$203,MATCH(K198,06а_Оценки!$A$4:$A$203,0)),"")="READY",IFERROR(INDEX(06а_Оценки!$B$4:$B$203,MATCH(K198,06а_Оценки!$A$4:$A$203,0)),"")=C198,IFERROR(INDEX(06а_Оценки!$E$4:$E$203,MATCH(K198,06а_Оценки!$A$4:$A$203,0)),"")=J198)),O198&lt;&gt;"",COUNTIF(13_Источники!$A$4:$A$203,O198)=1,P198&lt;&gt;"",R198&lt;&gt;""),"READY","INCOMPLETE / LINK")))</f>
        <v/>
      </c>
      <c r="O198" s="4"/>
      <c r="P198" s="4"/>
      <c r="Q198" s="4"/>
      <c r="R198" s="4"/>
      <c r="S198" s="4"/>
      <c r="T198" s="4"/>
      <c r="U198" s="4"/>
      <c r="V198" s="4"/>
    </row>
    <row r="199" customFormat="false" ht="15" hidden="false" customHeight="false" outlineLevel="0" collapsed="false">
      <c r="A199" s="4"/>
      <c r="B199" s="4"/>
      <c r="C199" s="4"/>
      <c r="D199" s="6"/>
      <c r="E199" s="4"/>
      <c r="F199" s="4"/>
      <c r="G199" s="4"/>
      <c r="H199" s="4"/>
      <c r="I199" s="4"/>
      <c r="J199" s="4"/>
      <c r="K199" s="4"/>
      <c r="L199" s="7" t="str">
        <f aca="false">IF(N199="READY",IF(V199="KAC",IFERROR(INDEX(06_КАЦ!$R$4:$R$203,MATCH(K199,06_КАЦ!$A$4:$A$203,0)),""),IFERROR(INDEX(06а_Оценки!$F$4:$F$203,MATCH(K199,06а_Оценки!$A$4:$A$203,0)),"")),"")</f>
        <v/>
      </c>
      <c r="M199" s="7" t="str">
        <f aca="false">IF(N199="READY",ROUND(I199*L199,2),"")</f>
        <v/>
      </c>
      <c r="N199" s="5" t="str">
        <f aca="false">IF(A199="","",IF(Q199="NOT_APPLICABLE",IF(AND(COUNTIF(A$4:A$203,A199)=1,H199="OUTSIDE",R199&lt;&gt;"",O199&lt;&gt;"",COUNTIF(13_Источники!$A$4:$A$203,O199)=1),"NOT_APPLICABLE","INCOMPLETE / EXCLUSION"),IF(AND(COUNTIF(A$4:A$203,A199)=1,COUNTIF(02_WBS!$A$4:$A$200,B199)=1,C199&lt;&gt;"",COUNTIF(03_Пакеты!$A$4:$A$203,C199)=1,IFERROR(INDEX(03_Пакеты!$B$4:$B$203,MATCH(C199,03_Пакеты!$A$4:$A$203,0)),"")=B199,E199&lt;&gt;"",F199&lt;&gt;"",F199&lt;&gt;"UNKNOWN",G199&lt;&gt;"",G199&lt;&gt;"UNKNOWN",OR(H199="REMAINING",H199="SUNK",H199="OUTSIDE"),ISNUMBER(I199),I199&gt;=0,OR(AND(I199&gt;0,Q199="KNOWN"),AND(I199=0,Q199="ZERO_CONFIRMED")),J199&lt;&gt;"",K199&lt;&gt;"",OR(AND(V199="KAC",COUNTIF(06_КАЦ!$A$4:$A$203,K199)=1,IFERROR(INDEX(06_КАЦ!$V$4:$V$203,MATCH(K199,06_КАЦ!$A$4:$A$203,0)),"")="SELECTED_READY",IFERROR(INDEX(06_КАЦ!$D$4:$D$203,MATCH(K199,06_КАЦ!$A$4:$A$203,0)),"")=C199,IFERROR(INDEX(06_КАЦ!$F$4:$F$203,MATCH(K199,06_КАЦ!$A$4:$A$203,0)),"")=J199),AND(V199="DIRECT",COUNTIF(06а_Оценки!$A$4:$A$203,K199)=1,IFERROR(INDEX(06а_Оценки!$N$4:$N$203,MATCH(K199,06а_Оценки!$A$4:$A$203,0)),"")="READY",IFERROR(INDEX(06а_Оценки!$B$4:$B$203,MATCH(K199,06а_Оценки!$A$4:$A$203,0)),"")=C199,IFERROR(INDEX(06а_Оценки!$E$4:$E$203,MATCH(K199,06а_Оценки!$A$4:$A$203,0)),"")=J199)),O199&lt;&gt;"",COUNTIF(13_Источники!$A$4:$A$203,O199)=1,P199&lt;&gt;"",R199&lt;&gt;""),"READY","INCOMPLETE / LINK")))</f>
        <v/>
      </c>
      <c r="O199" s="4"/>
      <c r="P199" s="4"/>
      <c r="Q199" s="4"/>
      <c r="R199" s="4"/>
      <c r="S199" s="4"/>
      <c r="T199" s="4"/>
      <c r="U199" s="4"/>
      <c r="V199" s="4"/>
    </row>
    <row r="200" customFormat="false" ht="15" hidden="false" customHeight="false" outlineLevel="0" collapsed="false">
      <c r="A200" s="4"/>
      <c r="B200" s="4"/>
      <c r="C200" s="4"/>
      <c r="D200" s="6"/>
      <c r="E200" s="4"/>
      <c r="F200" s="4"/>
      <c r="G200" s="4"/>
      <c r="H200" s="4"/>
      <c r="I200" s="4"/>
      <c r="J200" s="4"/>
      <c r="K200" s="4"/>
      <c r="L200" s="7" t="str">
        <f aca="false">IF(N200="READY",IF(V200="KAC",IFERROR(INDEX(06_КАЦ!$R$4:$R$203,MATCH(K200,06_КАЦ!$A$4:$A$203,0)),""),IFERROR(INDEX(06а_Оценки!$F$4:$F$203,MATCH(K200,06а_Оценки!$A$4:$A$203,0)),"")),"")</f>
        <v/>
      </c>
      <c r="M200" s="7" t="str">
        <f aca="false">IF(N200="READY",ROUND(I200*L200,2),"")</f>
        <v/>
      </c>
      <c r="N200" s="5" t="str">
        <f aca="false">IF(A200="","",IF(Q200="NOT_APPLICABLE",IF(AND(COUNTIF(A$4:A$203,A200)=1,H200="OUTSIDE",R200&lt;&gt;"",O200&lt;&gt;"",COUNTIF(13_Источники!$A$4:$A$203,O200)=1),"NOT_APPLICABLE","INCOMPLETE / EXCLUSION"),IF(AND(COUNTIF(A$4:A$203,A200)=1,COUNTIF(02_WBS!$A$4:$A$200,B200)=1,C200&lt;&gt;"",COUNTIF(03_Пакеты!$A$4:$A$203,C200)=1,IFERROR(INDEX(03_Пакеты!$B$4:$B$203,MATCH(C200,03_Пакеты!$A$4:$A$203,0)),"")=B200,E200&lt;&gt;"",F200&lt;&gt;"",F200&lt;&gt;"UNKNOWN",G200&lt;&gt;"",G200&lt;&gt;"UNKNOWN",OR(H200="REMAINING",H200="SUNK",H200="OUTSIDE"),ISNUMBER(I200),I200&gt;=0,OR(AND(I200&gt;0,Q200="KNOWN"),AND(I200=0,Q200="ZERO_CONFIRMED")),J200&lt;&gt;"",K200&lt;&gt;"",OR(AND(V200="KAC",COUNTIF(06_КАЦ!$A$4:$A$203,K200)=1,IFERROR(INDEX(06_КАЦ!$V$4:$V$203,MATCH(K200,06_КАЦ!$A$4:$A$203,0)),"")="SELECTED_READY",IFERROR(INDEX(06_КАЦ!$D$4:$D$203,MATCH(K200,06_КАЦ!$A$4:$A$203,0)),"")=C200,IFERROR(INDEX(06_КАЦ!$F$4:$F$203,MATCH(K200,06_КАЦ!$A$4:$A$203,0)),"")=J200),AND(V200="DIRECT",COUNTIF(06а_Оценки!$A$4:$A$203,K200)=1,IFERROR(INDEX(06а_Оценки!$N$4:$N$203,MATCH(K200,06а_Оценки!$A$4:$A$203,0)),"")="READY",IFERROR(INDEX(06а_Оценки!$B$4:$B$203,MATCH(K200,06а_Оценки!$A$4:$A$203,0)),"")=C200,IFERROR(INDEX(06а_Оценки!$E$4:$E$203,MATCH(K200,06а_Оценки!$A$4:$A$203,0)),"")=J200)),O200&lt;&gt;"",COUNTIF(13_Источники!$A$4:$A$203,O200)=1,P200&lt;&gt;"",R200&lt;&gt;""),"READY","INCOMPLETE / LINK")))</f>
        <v/>
      </c>
      <c r="O200" s="4"/>
      <c r="P200" s="4"/>
      <c r="Q200" s="4"/>
      <c r="R200" s="4"/>
      <c r="S200" s="4"/>
      <c r="T200" s="4"/>
      <c r="U200" s="4"/>
      <c r="V200" s="4"/>
    </row>
    <row r="201" customFormat="false" ht="15" hidden="false" customHeight="false" outlineLevel="0" collapsed="false">
      <c r="A201" s="4"/>
      <c r="B201" s="4"/>
      <c r="C201" s="4"/>
      <c r="D201" s="6"/>
      <c r="E201" s="4"/>
      <c r="F201" s="4"/>
      <c r="G201" s="4"/>
      <c r="H201" s="4"/>
      <c r="I201" s="4"/>
      <c r="J201" s="4"/>
      <c r="K201" s="4"/>
      <c r="L201" s="7" t="str">
        <f aca="false">IF(N201="READY",IF(V201="KAC",IFERROR(INDEX(06_КАЦ!$R$4:$R$203,MATCH(K201,06_КАЦ!$A$4:$A$203,0)),""),IFERROR(INDEX(06а_Оценки!$F$4:$F$203,MATCH(K201,06а_Оценки!$A$4:$A$203,0)),"")),"")</f>
        <v/>
      </c>
      <c r="M201" s="7" t="str">
        <f aca="false">IF(N201="READY",ROUND(I201*L201,2),"")</f>
        <v/>
      </c>
      <c r="N201" s="5" t="str">
        <f aca="false">IF(A201="","",IF(Q201="NOT_APPLICABLE",IF(AND(COUNTIF(A$4:A$203,A201)=1,H201="OUTSIDE",R201&lt;&gt;"",O201&lt;&gt;"",COUNTIF(13_Источники!$A$4:$A$203,O201)=1),"NOT_APPLICABLE","INCOMPLETE / EXCLUSION"),IF(AND(COUNTIF(A$4:A$203,A201)=1,COUNTIF(02_WBS!$A$4:$A$200,B201)=1,C201&lt;&gt;"",COUNTIF(03_Пакеты!$A$4:$A$203,C201)=1,IFERROR(INDEX(03_Пакеты!$B$4:$B$203,MATCH(C201,03_Пакеты!$A$4:$A$203,0)),"")=B201,E201&lt;&gt;"",F201&lt;&gt;"",F201&lt;&gt;"UNKNOWN",G201&lt;&gt;"",G201&lt;&gt;"UNKNOWN",OR(H201="REMAINING",H201="SUNK",H201="OUTSIDE"),ISNUMBER(I201),I201&gt;=0,OR(AND(I201&gt;0,Q201="KNOWN"),AND(I201=0,Q201="ZERO_CONFIRMED")),J201&lt;&gt;"",K201&lt;&gt;"",OR(AND(V201="KAC",COUNTIF(06_КАЦ!$A$4:$A$203,K201)=1,IFERROR(INDEX(06_КАЦ!$V$4:$V$203,MATCH(K201,06_КАЦ!$A$4:$A$203,0)),"")="SELECTED_READY",IFERROR(INDEX(06_КАЦ!$D$4:$D$203,MATCH(K201,06_КАЦ!$A$4:$A$203,0)),"")=C201,IFERROR(INDEX(06_КАЦ!$F$4:$F$203,MATCH(K201,06_КАЦ!$A$4:$A$203,0)),"")=J201),AND(V201="DIRECT",COUNTIF(06а_Оценки!$A$4:$A$203,K201)=1,IFERROR(INDEX(06а_Оценки!$N$4:$N$203,MATCH(K201,06а_Оценки!$A$4:$A$203,0)),"")="READY",IFERROR(INDEX(06а_Оценки!$B$4:$B$203,MATCH(K201,06а_Оценки!$A$4:$A$203,0)),"")=C201,IFERROR(INDEX(06а_Оценки!$E$4:$E$203,MATCH(K201,06а_Оценки!$A$4:$A$203,0)),"")=J201)),O201&lt;&gt;"",COUNTIF(13_Источники!$A$4:$A$203,O201)=1,P201&lt;&gt;"",R201&lt;&gt;""),"READY","INCOMPLETE / LINK")))</f>
        <v/>
      </c>
      <c r="O201" s="4"/>
      <c r="P201" s="4"/>
      <c r="Q201" s="4"/>
      <c r="R201" s="4"/>
      <c r="S201" s="4"/>
      <c r="T201" s="4"/>
      <c r="U201" s="4"/>
      <c r="V201" s="4"/>
    </row>
    <row r="202" customFormat="false" ht="15" hidden="false" customHeight="false" outlineLevel="0" collapsed="false">
      <c r="A202" s="4"/>
      <c r="B202" s="4"/>
      <c r="C202" s="4"/>
      <c r="D202" s="6"/>
      <c r="E202" s="4"/>
      <c r="F202" s="4"/>
      <c r="G202" s="4"/>
      <c r="H202" s="4"/>
      <c r="I202" s="4"/>
      <c r="J202" s="4"/>
      <c r="K202" s="4"/>
      <c r="L202" s="7" t="str">
        <f aca="false">IF(N202="READY",IF(V202="KAC",IFERROR(INDEX(06_КАЦ!$R$4:$R$203,MATCH(K202,06_КАЦ!$A$4:$A$203,0)),""),IFERROR(INDEX(06а_Оценки!$F$4:$F$203,MATCH(K202,06а_Оценки!$A$4:$A$203,0)),"")),"")</f>
        <v/>
      </c>
      <c r="M202" s="7" t="str">
        <f aca="false">IF(N202="READY",ROUND(I202*L202,2),"")</f>
        <v/>
      </c>
      <c r="N202" s="5" t="str">
        <f aca="false">IF(A202="","",IF(Q202="NOT_APPLICABLE",IF(AND(COUNTIF(A$4:A$203,A202)=1,H202="OUTSIDE",R202&lt;&gt;"",O202&lt;&gt;"",COUNTIF(13_Источники!$A$4:$A$203,O202)=1),"NOT_APPLICABLE","INCOMPLETE / EXCLUSION"),IF(AND(COUNTIF(A$4:A$203,A202)=1,COUNTIF(02_WBS!$A$4:$A$200,B202)=1,C202&lt;&gt;"",COUNTIF(03_Пакеты!$A$4:$A$203,C202)=1,IFERROR(INDEX(03_Пакеты!$B$4:$B$203,MATCH(C202,03_Пакеты!$A$4:$A$203,0)),"")=B202,E202&lt;&gt;"",F202&lt;&gt;"",F202&lt;&gt;"UNKNOWN",G202&lt;&gt;"",G202&lt;&gt;"UNKNOWN",OR(H202="REMAINING",H202="SUNK",H202="OUTSIDE"),ISNUMBER(I202),I202&gt;=0,OR(AND(I202&gt;0,Q202="KNOWN"),AND(I202=0,Q202="ZERO_CONFIRMED")),J202&lt;&gt;"",K202&lt;&gt;"",OR(AND(V202="KAC",COUNTIF(06_КАЦ!$A$4:$A$203,K202)=1,IFERROR(INDEX(06_КАЦ!$V$4:$V$203,MATCH(K202,06_КАЦ!$A$4:$A$203,0)),"")="SELECTED_READY",IFERROR(INDEX(06_КАЦ!$D$4:$D$203,MATCH(K202,06_КАЦ!$A$4:$A$203,0)),"")=C202,IFERROR(INDEX(06_КАЦ!$F$4:$F$203,MATCH(K202,06_КАЦ!$A$4:$A$203,0)),"")=J202),AND(V202="DIRECT",COUNTIF(06а_Оценки!$A$4:$A$203,K202)=1,IFERROR(INDEX(06а_Оценки!$N$4:$N$203,MATCH(K202,06а_Оценки!$A$4:$A$203,0)),"")="READY",IFERROR(INDEX(06а_Оценки!$B$4:$B$203,MATCH(K202,06а_Оценки!$A$4:$A$203,0)),"")=C202,IFERROR(INDEX(06а_Оценки!$E$4:$E$203,MATCH(K202,06а_Оценки!$A$4:$A$203,0)),"")=J202)),O202&lt;&gt;"",COUNTIF(13_Источники!$A$4:$A$203,O202)=1,P202&lt;&gt;"",R202&lt;&gt;""),"READY","INCOMPLETE / LINK")))</f>
        <v/>
      </c>
      <c r="O202" s="4"/>
      <c r="P202" s="4"/>
      <c r="Q202" s="4"/>
      <c r="R202" s="4"/>
      <c r="S202" s="4"/>
      <c r="T202" s="4"/>
      <c r="U202" s="4"/>
      <c r="V202" s="4"/>
    </row>
    <row r="203" customFormat="false" ht="15" hidden="false" customHeight="false" outlineLevel="0" collapsed="false">
      <c r="A203" s="4"/>
      <c r="B203" s="4"/>
      <c r="C203" s="4"/>
      <c r="D203" s="6"/>
      <c r="E203" s="4"/>
      <c r="F203" s="4"/>
      <c r="G203" s="4"/>
      <c r="H203" s="4"/>
      <c r="I203" s="4"/>
      <c r="J203" s="4"/>
      <c r="K203" s="4"/>
      <c r="L203" s="7" t="str">
        <f aca="false">IF(N203="READY",IF(V203="KAC",IFERROR(INDEX(06_КАЦ!$R$4:$R$203,MATCH(K203,06_КАЦ!$A$4:$A$203,0)),""),IFERROR(INDEX(06а_Оценки!$F$4:$F$203,MATCH(K203,06а_Оценки!$A$4:$A$203,0)),"")),"")</f>
        <v/>
      </c>
      <c r="M203" s="7" t="str">
        <f aca="false">IF(N203="READY",ROUND(I203*L203,2),"")</f>
        <v/>
      </c>
      <c r="N203" s="5" t="str">
        <f aca="false">IF(A203="","",IF(Q203="NOT_APPLICABLE",IF(AND(COUNTIF(A$4:A$203,A203)=1,H203="OUTSIDE",R203&lt;&gt;"",O203&lt;&gt;"",COUNTIF(13_Источники!$A$4:$A$203,O203)=1),"NOT_APPLICABLE","INCOMPLETE / EXCLUSION"),IF(AND(COUNTIF(A$4:A$203,A203)=1,COUNTIF(02_WBS!$A$4:$A$200,B203)=1,C203&lt;&gt;"",COUNTIF(03_Пакеты!$A$4:$A$203,C203)=1,IFERROR(INDEX(03_Пакеты!$B$4:$B$203,MATCH(C203,03_Пакеты!$A$4:$A$203,0)),"")=B203,E203&lt;&gt;"",F203&lt;&gt;"",F203&lt;&gt;"UNKNOWN",G203&lt;&gt;"",G203&lt;&gt;"UNKNOWN",OR(H203="REMAINING",H203="SUNK",H203="OUTSIDE"),ISNUMBER(I203),I203&gt;=0,OR(AND(I203&gt;0,Q203="KNOWN"),AND(I203=0,Q203="ZERO_CONFIRMED")),J203&lt;&gt;"",K203&lt;&gt;"",OR(AND(V203="KAC",COUNTIF(06_КАЦ!$A$4:$A$203,K203)=1,IFERROR(INDEX(06_КАЦ!$V$4:$V$203,MATCH(K203,06_КАЦ!$A$4:$A$203,0)),"")="SELECTED_READY",IFERROR(INDEX(06_КАЦ!$D$4:$D$203,MATCH(K203,06_КАЦ!$A$4:$A$203,0)),"")=C203,IFERROR(INDEX(06_КАЦ!$F$4:$F$203,MATCH(K203,06_КАЦ!$A$4:$A$203,0)),"")=J203),AND(V203="DIRECT",COUNTIF(06а_Оценки!$A$4:$A$203,K203)=1,IFERROR(INDEX(06а_Оценки!$N$4:$N$203,MATCH(K203,06а_Оценки!$A$4:$A$203,0)),"")="READY",IFERROR(INDEX(06а_Оценки!$B$4:$B$203,MATCH(K203,06а_Оценки!$A$4:$A$203,0)),"")=C203,IFERROR(INDEX(06а_Оценки!$E$4:$E$203,MATCH(K203,06а_Оценки!$A$4:$A$203,0)),"")=J203)),O203&lt;&gt;"",COUNTIF(13_Источники!$A$4:$A$203,O203)=1,P203&lt;&gt;"",R203&lt;&gt;""),"READY","INCOMPLETE / LINK")))</f>
        <v/>
      </c>
      <c r="O203" s="4"/>
      <c r="P203" s="4"/>
      <c r="Q203" s="4"/>
      <c r="R203" s="4"/>
      <c r="S203" s="4"/>
      <c r="T203" s="4"/>
      <c r="U203" s="4"/>
      <c r="V203" s="4"/>
    </row>
  </sheetData>
  <autoFilter ref="A3:V203"/>
  <mergeCells count="2">
    <mergeCell ref="A1:V1"/>
    <mergeCell ref="A2:V2"/>
  </mergeCells>
  <dataValidations count="7">
    <dataValidation allowBlank="true" error="Требуется допустимое число." errorStyle="stop" operator="greaterThanOrEqual" showDropDown="false" showErrorMessage="true" showInputMessage="false" sqref="I4:I203" type="decimal">
      <formula1>0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E4:E203" type="list">
      <formula1>"EQUIPMENT,MATERIAL,LABOUR,FABRICATION,SUBCONTRACT,DESIGN,SURVEY,TEST,LOGISTICS,FEES,RESERVE"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F4:F203" type="list">
      <formula1>"EXISTING,NEW,MODIFY,REPAIR,UNKNOWN"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G4:G203" type="list">
      <formula1>"OWNER,YARD,SUPPLIER,UNKNOWN"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H4:H203" type="list">
      <formula1>"REMAINING,SUNK,OUTSIDE"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Q4:Q203" type="list">
      <formula1>"UNKNOWN,KNOWN,ZERO_CONFIRMED,NOT_APPLICABLE"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V4:V203" type="list">
      <formula1>"KAC,DIRECT"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4" min="4" style="0" width="28"/>
  </cols>
  <sheetData>
    <row r="1" customFormat="false" ht="33.75" hidden="false" customHeight="true" outlineLevel="0" collapsed="false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8" hidden="false" customHeight="true" outlineLevel="0" collapsed="false">
      <c r="A3" s="3" t="s">
        <v>638</v>
      </c>
      <c r="B3" s="3" t="s">
        <v>481</v>
      </c>
      <c r="C3" s="3" t="s">
        <v>639</v>
      </c>
      <c r="D3" s="3" t="s">
        <v>640</v>
      </c>
      <c r="E3" s="3" t="s">
        <v>486</v>
      </c>
      <c r="F3" s="3" t="s">
        <v>555</v>
      </c>
      <c r="G3" s="3" t="s">
        <v>641</v>
      </c>
      <c r="H3" s="3" t="s">
        <v>642</v>
      </c>
      <c r="I3" s="3" t="s">
        <v>643</v>
      </c>
      <c r="J3" s="3" t="s">
        <v>510</v>
      </c>
      <c r="K3" s="3" t="s">
        <v>644</v>
      </c>
      <c r="L3" s="3" t="s">
        <v>645</v>
      </c>
      <c r="M3" s="3" t="s">
        <v>646</v>
      </c>
      <c r="N3" s="3" t="s">
        <v>514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 t="str">
        <f aca="false">IF(A4="","",IF(AND(COUNTIF(A$4:A$203,A4)=1,B4&lt;&gt;"",COUNTIF(03_Пакеты!$A$4:$A$203,B4)=1,C4&lt;&gt;"",E4&lt;&gt;"",ISNUMBER(F4),F4&gt;=0,G4&lt;&gt;"",G4=01_Основания!$B$8,H4&lt;&gt;"",H4=01_Основания!$B$9,I4&lt;&gt;"",J4&lt;&gt;"",COUNTIF(13_Источники!$A$4:$A$203,J4)=1,K4&lt;&gt;"",M4&lt;&gt;"",01_Основания!$B$10&lt;&gt;"",OR(AND(F4&gt;0,L4="KNOWN"),AND(F4=0,L4="ZERO_CONFIRMED"))),"READY","INCOMPLETE / BASIS"))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tr">
        <f aca="false">IF(A5="","",IF(AND(COUNTIF(A$4:A$203,A5)=1,B5&lt;&gt;"",COUNTIF(03_Пакеты!$A$4:$A$203,B5)=1,C5&lt;&gt;"",E5&lt;&gt;"",ISNUMBER(F5),F5&gt;=0,G5&lt;&gt;"",G5=01_Основания!$B$8,H5&lt;&gt;"",H5=01_Основания!$B$9,I5&lt;&gt;"",J5&lt;&gt;"",COUNTIF(13_Источники!$A$4:$A$203,J5)=1,K5&lt;&gt;"",M5&lt;&gt;"",01_Основания!$B$10&lt;&gt;"",OR(AND(F5&gt;0,L5="KNOWN"),AND(F5=0,L5="ZERO_CONFIRMED"))),"READY","INCOMPLETE / BASIS"))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tr">
        <f aca="false">IF(A6="","",IF(AND(COUNTIF(A$4:A$203,A6)=1,B6&lt;&gt;"",COUNTIF(03_Пакеты!$A$4:$A$203,B6)=1,C6&lt;&gt;"",E6&lt;&gt;"",ISNUMBER(F6),F6&gt;=0,G6&lt;&gt;"",G6=01_Основания!$B$8,H6&lt;&gt;"",H6=01_Основания!$B$9,I6&lt;&gt;"",J6&lt;&gt;"",COUNTIF(13_Источники!$A$4:$A$203,J6)=1,K6&lt;&gt;"",M6&lt;&gt;"",01_Основания!$B$10&lt;&gt;"",OR(AND(F6&gt;0,L6="KNOWN"),AND(F6=0,L6="ZERO_CONFIRMED"))),"READY","INCOMPLETE / BASIS"))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tr">
        <f aca="false">IF(A7="","",IF(AND(COUNTIF(A$4:A$203,A7)=1,B7&lt;&gt;"",COUNTIF(03_Пакеты!$A$4:$A$203,B7)=1,C7&lt;&gt;"",E7&lt;&gt;"",ISNUMBER(F7),F7&gt;=0,G7&lt;&gt;"",G7=01_Основания!$B$8,H7&lt;&gt;"",H7=01_Основания!$B$9,I7&lt;&gt;"",J7&lt;&gt;"",COUNTIF(13_Источники!$A$4:$A$203,J7)=1,K7&lt;&gt;"",M7&lt;&gt;"",01_Основания!$B$10&lt;&gt;"",OR(AND(F7&gt;0,L7="KNOWN"),AND(F7=0,L7="ZERO_CONFIRMED"))),"READY","INCOMPLETE / BASIS"))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tr">
        <f aca="false">IF(A8="","",IF(AND(COUNTIF(A$4:A$203,A8)=1,B8&lt;&gt;"",COUNTIF(03_Пакеты!$A$4:$A$203,B8)=1,C8&lt;&gt;"",E8&lt;&gt;"",ISNUMBER(F8),F8&gt;=0,G8&lt;&gt;"",G8=01_Основания!$B$8,H8&lt;&gt;"",H8=01_Основания!$B$9,I8&lt;&gt;"",J8&lt;&gt;"",COUNTIF(13_Источники!$A$4:$A$203,J8)=1,K8&lt;&gt;"",M8&lt;&gt;"",01_Основания!$B$10&lt;&gt;"",OR(AND(F8&gt;0,L8="KNOWN"),AND(F8=0,L8="ZERO_CONFIRMED"))),"READY","INCOMPLETE / BASIS"))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tr">
        <f aca="false">IF(A9="","",IF(AND(COUNTIF(A$4:A$203,A9)=1,B9&lt;&gt;"",COUNTIF(03_Пакеты!$A$4:$A$203,B9)=1,C9&lt;&gt;"",E9&lt;&gt;"",ISNUMBER(F9),F9&gt;=0,G9&lt;&gt;"",G9=01_Основания!$B$8,H9&lt;&gt;"",H9=01_Основания!$B$9,I9&lt;&gt;"",J9&lt;&gt;"",COUNTIF(13_Источники!$A$4:$A$203,J9)=1,K9&lt;&gt;"",M9&lt;&gt;"",01_Основания!$B$10&lt;&gt;"",OR(AND(F9&gt;0,L9="KNOWN"),AND(F9=0,L9="ZERO_CONFIRMED"))),"READY","INCOMPLETE / BASIS"))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 t="str">
        <f aca="false">IF(A10="","",IF(AND(COUNTIF(A$4:A$203,A10)=1,B10&lt;&gt;"",COUNTIF(03_Пакеты!$A$4:$A$203,B10)=1,C10&lt;&gt;"",E10&lt;&gt;"",ISNUMBER(F10),F10&gt;=0,G10&lt;&gt;"",G10=01_Основания!$B$8,H10&lt;&gt;"",H10=01_Основания!$B$9,I10&lt;&gt;"",J10&lt;&gt;"",COUNTIF(13_Источники!$A$4:$A$203,J10)=1,K10&lt;&gt;"",M10&lt;&gt;"",01_Основания!$B$10&lt;&gt;"",OR(AND(F10&gt;0,L10="KNOWN"),AND(F10=0,L10="ZERO_CONFIRMED"))),"READY","INCOMPLETE / BASIS"))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 t="str">
        <f aca="false">IF(A11="","",IF(AND(COUNTIF(A$4:A$203,A11)=1,B11&lt;&gt;"",COUNTIF(03_Пакеты!$A$4:$A$203,B11)=1,C11&lt;&gt;"",E11&lt;&gt;"",ISNUMBER(F11),F11&gt;=0,G11&lt;&gt;"",G11=01_Основания!$B$8,H11&lt;&gt;"",H11=01_Основания!$B$9,I11&lt;&gt;"",J11&lt;&gt;"",COUNTIF(13_Источники!$A$4:$A$203,J11)=1,K11&lt;&gt;"",M11&lt;&gt;"",01_Основания!$B$10&lt;&gt;"",OR(AND(F11&gt;0,L11="KNOWN"),AND(F11=0,L11="ZERO_CONFIRMED"))),"READY","INCOMPLETE / BASIS"))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 t="str">
        <f aca="false">IF(A12="","",IF(AND(COUNTIF(A$4:A$203,A12)=1,B12&lt;&gt;"",COUNTIF(03_Пакеты!$A$4:$A$203,B12)=1,C12&lt;&gt;"",E12&lt;&gt;"",ISNUMBER(F12),F12&gt;=0,G12&lt;&gt;"",G12=01_Основания!$B$8,H12&lt;&gt;"",H12=01_Основания!$B$9,I12&lt;&gt;"",J12&lt;&gt;"",COUNTIF(13_Источники!$A$4:$A$203,J12)=1,K12&lt;&gt;"",M12&lt;&gt;"",01_Основания!$B$10&lt;&gt;"",OR(AND(F12&gt;0,L12="KNOWN"),AND(F12=0,L12="ZERO_CONFIRMED"))),"READY","INCOMPLETE / BASIS"))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tr">
        <f aca="false">IF(A13="","",IF(AND(COUNTIF(A$4:A$203,A13)=1,B13&lt;&gt;"",COUNTIF(03_Пакеты!$A$4:$A$203,B13)=1,C13&lt;&gt;"",E13&lt;&gt;"",ISNUMBER(F13),F13&gt;=0,G13&lt;&gt;"",G13=01_Основания!$B$8,H13&lt;&gt;"",H13=01_Основания!$B$9,I13&lt;&gt;"",J13&lt;&gt;"",COUNTIF(13_Источники!$A$4:$A$203,J13)=1,K13&lt;&gt;"",M13&lt;&gt;"",01_Основания!$B$10&lt;&gt;"",OR(AND(F13&gt;0,L13="KNOWN"),AND(F13=0,L13="ZERO_CONFIRMED"))),"READY","INCOMPLETE / BASIS"))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tr">
        <f aca="false">IF(A14="","",IF(AND(COUNTIF(A$4:A$203,A14)=1,B14&lt;&gt;"",COUNTIF(03_Пакеты!$A$4:$A$203,B14)=1,C14&lt;&gt;"",E14&lt;&gt;"",ISNUMBER(F14),F14&gt;=0,G14&lt;&gt;"",G14=01_Основания!$B$8,H14&lt;&gt;"",H14=01_Основания!$B$9,I14&lt;&gt;"",J14&lt;&gt;"",COUNTIF(13_Источники!$A$4:$A$203,J14)=1,K14&lt;&gt;"",M14&lt;&gt;"",01_Основания!$B$10&lt;&gt;"",OR(AND(F14&gt;0,L14="KNOWN"),AND(F14=0,L14="ZERO_CONFIRMED"))),"READY","INCOMPLETE / BASIS"))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 t="str">
        <f aca="false">IF(A15="","",IF(AND(COUNTIF(A$4:A$203,A15)=1,B15&lt;&gt;"",COUNTIF(03_Пакеты!$A$4:$A$203,B15)=1,C15&lt;&gt;"",E15&lt;&gt;"",ISNUMBER(F15),F15&gt;=0,G15&lt;&gt;"",G15=01_Основания!$B$8,H15&lt;&gt;"",H15=01_Основания!$B$9,I15&lt;&gt;"",J15&lt;&gt;"",COUNTIF(13_Источники!$A$4:$A$203,J15)=1,K15&lt;&gt;"",M15&lt;&gt;"",01_Основания!$B$10&lt;&gt;"",OR(AND(F15&gt;0,L15="KNOWN"),AND(F15=0,L15="ZERO_CONFIRMED"))),"READY","INCOMPLETE / BASIS"))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 t="str">
        <f aca="false">IF(A16="","",IF(AND(COUNTIF(A$4:A$203,A16)=1,B16&lt;&gt;"",COUNTIF(03_Пакеты!$A$4:$A$203,B16)=1,C16&lt;&gt;"",E16&lt;&gt;"",ISNUMBER(F16),F16&gt;=0,G16&lt;&gt;"",G16=01_Основания!$B$8,H16&lt;&gt;"",H16=01_Основания!$B$9,I16&lt;&gt;"",J16&lt;&gt;"",COUNTIF(13_Источники!$A$4:$A$203,J16)=1,K16&lt;&gt;"",M16&lt;&gt;"",01_Основания!$B$10&lt;&gt;"",OR(AND(F16&gt;0,L16="KNOWN"),AND(F16=0,L16="ZERO_CONFIRMED"))),"READY","INCOMPLETE / BASIS"))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 t="str">
        <f aca="false">IF(A17="","",IF(AND(COUNTIF(A$4:A$203,A17)=1,B17&lt;&gt;"",COUNTIF(03_Пакеты!$A$4:$A$203,B17)=1,C17&lt;&gt;"",E17&lt;&gt;"",ISNUMBER(F17),F17&gt;=0,G17&lt;&gt;"",G17=01_Основания!$B$8,H17&lt;&gt;"",H17=01_Основания!$B$9,I17&lt;&gt;"",J17&lt;&gt;"",COUNTIF(13_Источники!$A$4:$A$203,J17)=1,K17&lt;&gt;"",M17&lt;&gt;"",01_Основания!$B$10&lt;&gt;"",OR(AND(F17&gt;0,L17="KNOWN"),AND(F17=0,L17="ZERO_CONFIRMED"))),"READY","INCOMPLETE / BASIS"))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 t="str">
        <f aca="false">IF(A18="","",IF(AND(COUNTIF(A$4:A$203,A18)=1,B18&lt;&gt;"",COUNTIF(03_Пакеты!$A$4:$A$203,B18)=1,C18&lt;&gt;"",E18&lt;&gt;"",ISNUMBER(F18),F18&gt;=0,G18&lt;&gt;"",G18=01_Основания!$B$8,H18&lt;&gt;"",H18=01_Основания!$B$9,I18&lt;&gt;"",J18&lt;&gt;"",COUNTIF(13_Источники!$A$4:$A$203,J18)=1,K18&lt;&gt;"",M18&lt;&gt;"",01_Основания!$B$10&lt;&gt;"",OR(AND(F18&gt;0,L18="KNOWN"),AND(F18=0,L18="ZERO_CONFIRMED"))),"READY","INCOMPLETE / BASIS"))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 t="str">
        <f aca="false">IF(A19="","",IF(AND(COUNTIF(A$4:A$203,A19)=1,B19&lt;&gt;"",COUNTIF(03_Пакеты!$A$4:$A$203,B19)=1,C19&lt;&gt;"",E19&lt;&gt;"",ISNUMBER(F19),F19&gt;=0,G19&lt;&gt;"",G19=01_Основания!$B$8,H19&lt;&gt;"",H19=01_Основания!$B$9,I19&lt;&gt;"",J19&lt;&gt;"",COUNTIF(13_Источники!$A$4:$A$203,J19)=1,K19&lt;&gt;"",M19&lt;&gt;"",01_Основания!$B$10&lt;&gt;"",OR(AND(F19&gt;0,L19="KNOWN"),AND(F19=0,L19="ZERO_CONFIRMED"))),"READY","INCOMPLETE / BASIS"))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 t="str">
        <f aca="false">IF(A20="","",IF(AND(COUNTIF(A$4:A$203,A20)=1,B20&lt;&gt;"",COUNTIF(03_Пакеты!$A$4:$A$203,B20)=1,C20&lt;&gt;"",E20&lt;&gt;"",ISNUMBER(F20),F20&gt;=0,G20&lt;&gt;"",G20=01_Основания!$B$8,H20&lt;&gt;"",H20=01_Основания!$B$9,I20&lt;&gt;"",J20&lt;&gt;"",COUNTIF(13_Источники!$A$4:$A$203,J20)=1,K20&lt;&gt;"",M20&lt;&gt;"",01_Основания!$B$10&lt;&gt;"",OR(AND(F20&gt;0,L20="KNOWN"),AND(F20=0,L20="ZERO_CONFIRMED"))),"READY","INCOMPLETE / BASIS"))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 t="str">
        <f aca="false">IF(A21="","",IF(AND(COUNTIF(A$4:A$203,A21)=1,B21&lt;&gt;"",COUNTIF(03_Пакеты!$A$4:$A$203,B21)=1,C21&lt;&gt;"",E21&lt;&gt;"",ISNUMBER(F21),F21&gt;=0,G21&lt;&gt;"",G21=01_Основания!$B$8,H21&lt;&gt;"",H21=01_Основания!$B$9,I21&lt;&gt;"",J21&lt;&gt;"",COUNTIF(13_Источники!$A$4:$A$203,J21)=1,K21&lt;&gt;"",M21&lt;&gt;"",01_Основания!$B$10&lt;&gt;"",OR(AND(F21&gt;0,L21="KNOWN"),AND(F21=0,L21="ZERO_CONFIRMED"))),"READY","INCOMPLETE / BASIS"))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 t="str">
        <f aca="false">IF(A22="","",IF(AND(COUNTIF(A$4:A$203,A22)=1,B22&lt;&gt;"",COUNTIF(03_Пакеты!$A$4:$A$203,B22)=1,C22&lt;&gt;"",E22&lt;&gt;"",ISNUMBER(F22),F22&gt;=0,G22&lt;&gt;"",G22=01_Основания!$B$8,H22&lt;&gt;"",H22=01_Основания!$B$9,I22&lt;&gt;"",J22&lt;&gt;"",COUNTIF(13_Источники!$A$4:$A$203,J22)=1,K22&lt;&gt;"",M22&lt;&gt;"",01_Основания!$B$10&lt;&gt;"",OR(AND(F22&gt;0,L22="KNOWN"),AND(F22=0,L22="ZERO_CONFIRMED"))),"READY","INCOMPLETE / BASIS"))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tr">
        <f aca="false">IF(A23="","",IF(AND(COUNTIF(A$4:A$203,A23)=1,B23&lt;&gt;"",COUNTIF(03_Пакеты!$A$4:$A$203,B23)=1,C23&lt;&gt;"",E23&lt;&gt;"",ISNUMBER(F23),F23&gt;=0,G23&lt;&gt;"",G23=01_Основания!$B$8,H23&lt;&gt;"",H23=01_Основания!$B$9,I23&lt;&gt;"",J23&lt;&gt;"",COUNTIF(13_Источники!$A$4:$A$203,J23)=1,K23&lt;&gt;"",M23&lt;&gt;"",01_Основания!$B$10&lt;&gt;"",OR(AND(F23&gt;0,L23="KNOWN"),AND(F23=0,L23="ZERO_CONFIRMED"))),"READY","INCOMPLETE / BASIS"))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 t="str">
        <f aca="false">IF(A24="","",IF(AND(COUNTIF(A$4:A$203,A24)=1,B24&lt;&gt;"",COUNTIF(03_Пакеты!$A$4:$A$203,B24)=1,C24&lt;&gt;"",E24&lt;&gt;"",ISNUMBER(F24),F24&gt;=0,G24&lt;&gt;"",G24=01_Основания!$B$8,H24&lt;&gt;"",H24=01_Основания!$B$9,I24&lt;&gt;"",J24&lt;&gt;"",COUNTIF(13_Источники!$A$4:$A$203,J24)=1,K24&lt;&gt;"",M24&lt;&gt;"",01_Основания!$B$10&lt;&gt;"",OR(AND(F24&gt;0,L24="KNOWN"),AND(F24=0,L24="ZERO_CONFIRMED"))),"READY","INCOMPLETE / BASIS"))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 t="str">
        <f aca="false">IF(A25="","",IF(AND(COUNTIF(A$4:A$203,A25)=1,B25&lt;&gt;"",COUNTIF(03_Пакеты!$A$4:$A$203,B25)=1,C25&lt;&gt;"",E25&lt;&gt;"",ISNUMBER(F25),F25&gt;=0,G25&lt;&gt;"",G25=01_Основания!$B$8,H25&lt;&gt;"",H25=01_Основания!$B$9,I25&lt;&gt;"",J25&lt;&gt;"",COUNTIF(13_Источники!$A$4:$A$203,J25)=1,K25&lt;&gt;"",M25&lt;&gt;"",01_Основания!$B$10&lt;&gt;"",OR(AND(F25&gt;0,L25="KNOWN"),AND(F25=0,L25="ZERO_CONFIRMED"))),"READY","INCOMPLETE / BASIS"))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 t="str">
        <f aca="false">IF(A26="","",IF(AND(COUNTIF(A$4:A$203,A26)=1,B26&lt;&gt;"",COUNTIF(03_Пакеты!$A$4:$A$203,B26)=1,C26&lt;&gt;"",E26&lt;&gt;"",ISNUMBER(F26),F26&gt;=0,G26&lt;&gt;"",G26=01_Основания!$B$8,H26&lt;&gt;"",H26=01_Основания!$B$9,I26&lt;&gt;"",J26&lt;&gt;"",COUNTIF(13_Источники!$A$4:$A$203,J26)=1,K26&lt;&gt;"",M26&lt;&gt;"",01_Основания!$B$10&lt;&gt;"",OR(AND(F26&gt;0,L26="KNOWN"),AND(F26=0,L26="ZERO_CONFIRMED"))),"READY","INCOMPLETE / BASIS"))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 t="str">
        <f aca="false">IF(A27="","",IF(AND(COUNTIF(A$4:A$203,A27)=1,B27&lt;&gt;"",COUNTIF(03_Пакеты!$A$4:$A$203,B27)=1,C27&lt;&gt;"",E27&lt;&gt;"",ISNUMBER(F27),F27&gt;=0,G27&lt;&gt;"",G27=01_Основания!$B$8,H27&lt;&gt;"",H27=01_Основания!$B$9,I27&lt;&gt;"",J27&lt;&gt;"",COUNTIF(13_Источники!$A$4:$A$203,J27)=1,K27&lt;&gt;"",M27&lt;&gt;"",01_Основания!$B$10&lt;&gt;"",OR(AND(F27&gt;0,L27="KNOWN"),AND(F27=0,L27="ZERO_CONFIRMED"))),"READY","INCOMPLETE / BASIS"))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tr">
        <f aca="false">IF(A28="","",IF(AND(COUNTIF(A$4:A$203,A28)=1,B28&lt;&gt;"",COUNTIF(03_Пакеты!$A$4:$A$203,B28)=1,C28&lt;&gt;"",E28&lt;&gt;"",ISNUMBER(F28),F28&gt;=0,G28&lt;&gt;"",G28=01_Основания!$B$8,H28&lt;&gt;"",H28=01_Основания!$B$9,I28&lt;&gt;"",J28&lt;&gt;"",COUNTIF(13_Источники!$A$4:$A$203,J28)=1,K28&lt;&gt;"",M28&lt;&gt;"",01_Основания!$B$10&lt;&gt;"",OR(AND(F28&gt;0,L28="KNOWN"),AND(F28=0,L28="ZERO_CONFIRMED"))),"READY","INCOMPLETE / BASIS"))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 t="str">
        <f aca="false">IF(A29="","",IF(AND(COUNTIF(A$4:A$203,A29)=1,B29&lt;&gt;"",COUNTIF(03_Пакеты!$A$4:$A$203,B29)=1,C29&lt;&gt;"",E29&lt;&gt;"",ISNUMBER(F29),F29&gt;=0,G29&lt;&gt;"",G29=01_Основания!$B$8,H29&lt;&gt;"",H29=01_Основания!$B$9,I29&lt;&gt;"",J29&lt;&gt;"",COUNTIF(13_Источники!$A$4:$A$203,J29)=1,K29&lt;&gt;"",M29&lt;&gt;"",01_Основания!$B$10&lt;&gt;"",OR(AND(F29&gt;0,L29="KNOWN"),AND(F29=0,L29="ZERO_CONFIRMED"))),"READY","INCOMPLETE / BASIS"))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5" t="str">
        <f aca="false">IF(A30="","",IF(AND(COUNTIF(A$4:A$203,A30)=1,B30&lt;&gt;"",COUNTIF(03_Пакеты!$A$4:$A$203,B30)=1,C30&lt;&gt;"",E30&lt;&gt;"",ISNUMBER(F30),F30&gt;=0,G30&lt;&gt;"",G30=01_Основания!$B$8,H30&lt;&gt;"",H30=01_Основания!$B$9,I30&lt;&gt;"",J30&lt;&gt;"",COUNTIF(13_Источники!$A$4:$A$203,J30)=1,K30&lt;&gt;"",M30&lt;&gt;"",01_Основания!$B$10&lt;&gt;"",OR(AND(F30&gt;0,L30="KNOWN"),AND(F30=0,L30="ZERO_CONFIRMED"))),"READY","INCOMPLETE / BASIS"))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5" t="str">
        <f aca="false">IF(A31="","",IF(AND(COUNTIF(A$4:A$203,A31)=1,B31&lt;&gt;"",COUNTIF(03_Пакеты!$A$4:$A$203,B31)=1,C31&lt;&gt;"",E31&lt;&gt;"",ISNUMBER(F31),F31&gt;=0,G31&lt;&gt;"",G31=01_Основания!$B$8,H31&lt;&gt;"",H31=01_Основания!$B$9,I31&lt;&gt;"",J31&lt;&gt;"",COUNTIF(13_Источники!$A$4:$A$203,J31)=1,K31&lt;&gt;"",M31&lt;&gt;"",01_Основания!$B$10&lt;&gt;"",OR(AND(F31&gt;0,L31="KNOWN"),AND(F31=0,L31="ZERO_CONFIRMED"))),"READY","INCOMPLETE / BASIS"))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 t="str">
        <f aca="false">IF(A32="","",IF(AND(COUNTIF(A$4:A$203,A32)=1,B32&lt;&gt;"",COUNTIF(03_Пакеты!$A$4:$A$203,B32)=1,C32&lt;&gt;"",E32&lt;&gt;"",ISNUMBER(F32),F32&gt;=0,G32&lt;&gt;"",G32=01_Основания!$B$8,H32&lt;&gt;"",H32=01_Основания!$B$9,I32&lt;&gt;"",J32&lt;&gt;"",COUNTIF(13_Источники!$A$4:$A$203,J32)=1,K32&lt;&gt;"",M32&lt;&gt;"",01_Основания!$B$10&lt;&gt;"",OR(AND(F32&gt;0,L32="KNOWN"),AND(F32=0,L32="ZERO_CONFIRMED"))),"READY","INCOMPLETE / BASIS"))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 t="str">
        <f aca="false">IF(A33="","",IF(AND(COUNTIF(A$4:A$203,A33)=1,B33&lt;&gt;"",COUNTIF(03_Пакеты!$A$4:$A$203,B33)=1,C33&lt;&gt;"",E33&lt;&gt;"",ISNUMBER(F33),F33&gt;=0,G33&lt;&gt;"",G33=01_Основания!$B$8,H33&lt;&gt;"",H33=01_Основания!$B$9,I33&lt;&gt;"",J33&lt;&gt;"",COUNTIF(13_Источники!$A$4:$A$203,J33)=1,K33&lt;&gt;"",M33&lt;&gt;"",01_Основания!$B$10&lt;&gt;"",OR(AND(F33&gt;0,L33="KNOWN"),AND(F33=0,L33="ZERO_CONFIRMED"))),"READY","INCOMPLETE / BASIS"))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 t="str">
        <f aca="false">IF(A34="","",IF(AND(COUNTIF(A$4:A$203,A34)=1,B34&lt;&gt;"",COUNTIF(03_Пакеты!$A$4:$A$203,B34)=1,C34&lt;&gt;"",E34&lt;&gt;"",ISNUMBER(F34),F34&gt;=0,G34&lt;&gt;"",G34=01_Основания!$B$8,H34&lt;&gt;"",H34=01_Основания!$B$9,I34&lt;&gt;"",J34&lt;&gt;"",COUNTIF(13_Источники!$A$4:$A$203,J34)=1,K34&lt;&gt;"",M34&lt;&gt;"",01_Основания!$B$10&lt;&gt;"",OR(AND(F34&gt;0,L34="KNOWN"),AND(F34=0,L34="ZERO_CONFIRMED"))),"READY","INCOMPLETE / BASIS"))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 t="str">
        <f aca="false">IF(A35="","",IF(AND(COUNTIF(A$4:A$203,A35)=1,B35&lt;&gt;"",COUNTIF(03_Пакеты!$A$4:$A$203,B35)=1,C35&lt;&gt;"",E35&lt;&gt;"",ISNUMBER(F35),F35&gt;=0,G35&lt;&gt;"",G35=01_Основания!$B$8,H35&lt;&gt;"",H35=01_Основания!$B$9,I35&lt;&gt;"",J35&lt;&gt;"",COUNTIF(13_Источники!$A$4:$A$203,J35)=1,K35&lt;&gt;"",M35&lt;&gt;"",01_Основания!$B$10&lt;&gt;"",OR(AND(F35&gt;0,L35="KNOWN"),AND(F35=0,L35="ZERO_CONFIRMED"))),"READY","INCOMPLETE / BASIS"))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tr">
        <f aca="false">IF(A36="","",IF(AND(COUNTIF(A$4:A$203,A36)=1,B36&lt;&gt;"",COUNTIF(03_Пакеты!$A$4:$A$203,B36)=1,C36&lt;&gt;"",E36&lt;&gt;"",ISNUMBER(F36),F36&gt;=0,G36&lt;&gt;"",G36=01_Основания!$B$8,H36&lt;&gt;"",H36=01_Основания!$B$9,I36&lt;&gt;"",J36&lt;&gt;"",COUNTIF(13_Источники!$A$4:$A$203,J36)=1,K36&lt;&gt;"",M36&lt;&gt;"",01_Основания!$B$10&lt;&gt;"",OR(AND(F36&gt;0,L36="KNOWN"),AND(F36=0,L36="ZERO_CONFIRMED"))),"READY","INCOMPLETE / BASIS"))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 t="str">
        <f aca="false">IF(A37="","",IF(AND(COUNTIF(A$4:A$203,A37)=1,B37&lt;&gt;"",COUNTIF(03_Пакеты!$A$4:$A$203,B37)=1,C37&lt;&gt;"",E37&lt;&gt;"",ISNUMBER(F37),F37&gt;=0,G37&lt;&gt;"",G37=01_Основания!$B$8,H37&lt;&gt;"",H37=01_Основания!$B$9,I37&lt;&gt;"",J37&lt;&gt;"",COUNTIF(13_Источники!$A$4:$A$203,J37)=1,K37&lt;&gt;"",M37&lt;&gt;"",01_Основания!$B$10&lt;&gt;"",OR(AND(F37&gt;0,L37="KNOWN"),AND(F37=0,L37="ZERO_CONFIRMED"))),"READY","INCOMPLETE / BASIS"))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5" t="str">
        <f aca="false">IF(A38="","",IF(AND(COUNTIF(A$4:A$203,A38)=1,B38&lt;&gt;"",COUNTIF(03_Пакеты!$A$4:$A$203,B38)=1,C38&lt;&gt;"",E38&lt;&gt;"",ISNUMBER(F38),F38&gt;=0,G38&lt;&gt;"",G38=01_Основания!$B$8,H38&lt;&gt;"",H38=01_Основания!$B$9,I38&lt;&gt;"",J38&lt;&gt;"",COUNTIF(13_Источники!$A$4:$A$203,J38)=1,K38&lt;&gt;"",M38&lt;&gt;"",01_Основания!$B$10&lt;&gt;"",OR(AND(F38&gt;0,L38="KNOWN"),AND(F38=0,L38="ZERO_CONFIRMED"))),"READY","INCOMPLETE / BASIS"))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tr">
        <f aca="false">IF(A39="","",IF(AND(COUNTIF(A$4:A$203,A39)=1,B39&lt;&gt;"",COUNTIF(03_Пакеты!$A$4:$A$203,B39)=1,C39&lt;&gt;"",E39&lt;&gt;"",ISNUMBER(F39),F39&gt;=0,G39&lt;&gt;"",G39=01_Основания!$B$8,H39&lt;&gt;"",H39=01_Основания!$B$9,I39&lt;&gt;"",J39&lt;&gt;"",COUNTIF(13_Источники!$A$4:$A$203,J39)=1,K39&lt;&gt;"",M39&lt;&gt;"",01_Основания!$B$10&lt;&gt;"",OR(AND(F39&gt;0,L39="KNOWN"),AND(F39=0,L39="ZERO_CONFIRMED"))),"READY","INCOMPLETE / BASIS"))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 t="str">
        <f aca="false">IF(A40="","",IF(AND(COUNTIF(A$4:A$203,A40)=1,B40&lt;&gt;"",COUNTIF(03_Пакеты!$A$4:$A$203,B40)=1,C40&lt;&gt;"",E40&lt;&gt;"",ISNUMBER(F40),F40&gt;=0,G40&lt;&gt;"",G40=01_Основания!$B$8,H40&lt;&gt;"",H40=01_Основания!$B$9,I40&lt;&gt;"",J40&lt;&gt;"",COUNTIF(13_Источники!$A$4:$A$203,J40)=1,K40&lt;&gt;"",M40&lt;&gt;"",01_Основания!$B$10&lt;&gt;"",OR(AND(F40&gt;0,L40="KNOWN"),AND(F40=0,L40="ZERO_CONFIRMED"))),"READY","INCOMPLETE / BASIS"))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 t="str">
        <f aca="false">IF(A41="","",IF(AND(COUNTIF(A$4:A$203,A41)=1,B41&lt;&gt;"",COUNTIF(03_Пакеты!$A$4:$A$203,B41)=1,C41&lt;&gt;"",E41&lt;&gt;"",ISNUMBER(F41),F41&gt;=0,G41&lt;&gt;"",G41=01_Основания!$B$8,H41&lt;&gt;"",H41=01_Основания!$B$9,I41&lt;&gt;"",J41&lt;&gt;"",COUNTIF(13_Источники!$A$4:$A$203,J41)=1,K41&lt;&gt;"",M41&lt;&gt;"",01_Основания!$B$10&lt;&gt;"",OR(AND(F41&gt;0,L41="KNOWN"),AND(F41=0,L41="ZERO_CONFIRMED"))),"READY","INCOMPLETE / BASIS"))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5" t="str">
        <f aca="false">IF(A42="","",IF(AND(COUNTIF(A$4:A$203,A42)=1,B42&lt;&gt;"",COUNTIF(03_Пакеты!$A$4:$A$203,B42)=1,C42&lt;&gt;"",E42&lt;&gt;"",ISNUMBER(F42),F42&gt;=0,G42&lt;&gt;"",G42=01_Основания!$B$8,H42&lt;&gt;"",H42=01_Основания!$B$9,I42&lt;&gt;"",J42&lt;&gt;"",COUNTIF(13_Источники!$A$4:$A$203,J42)=1,K42&lt;&gt;"",M42&lt;&gt;"",01_Основания!$B$10&lt;&gt;"",OR(AND(F42&gt;0,L42="KNOWN"),AND(F42=0,L42="ZERO_CONFIRMED"))),"READY","INCOMPLETE / BASIS"))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5" t="str">
        <f aca="false">IF(A43="","",IF(AND(COUNTIF(A$4:A$203,A43)=1,B43&lt;&gt;"",COUNTIF(03_Пакеты!$A$4:$A$203,B43)=1,C43&lt;&gt;"",E43&lt;&gt;"",ISNUMBER(F43),F43&gt;=0,G43&lt;&gt;"",G43=01_Основания!$B$8,H43&lt;&gt;"",H43=01_Основания!$B$9,I43&lt;&gt;"",J43&lt;&gt;"",COUNTIF(13_Источники!$A$4:$A$203,J43)=1,K43&lt;&gt;"",M43&lt;&gt;"",01_Основания!$B$10&lt;&gt;"",OR(AND(F43&gt;0,L43="KNOWN"),AND(F43=0,L43="ZERO_CONFIRMED"))),"READY","INCOMPLETE / BASIS"))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5" t="str">
        <f aca="false">IF(A44="","",IF(AND(COUNTIF(A$4:A$203,A44)=1,B44&lt;&gt;"",COUNTIF(03_Пакеты!$A$4:$A$203,B44)=1,C44&lt;&gt;"",E44&lt;&gt;"",ISNUMBER(F44),F44&gt;=0,G44&lt;&gt;"",G44=01_Основания!$B$8,H44&lt;&gt;"",H44=01_Основания!$B$9,I44&lt;&gt;"",J44&lt;&gt;"",COUNTIF(13_Источники!$A$4:$A$203,J44)=1,K44&lt;&gt;"",M44&lt;&gt;"",01_Основания!$B$10&lt;&gt;"",OR(AND(F44&gt;0,L44="KNOWN"),AND(F44=0,L44="ZERO_CONFIRMED"))),"READY","INCOMPLETE / BASIS"))</f>
        <v/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5" t="str">
        <f aca="false">IF(A45="","",IF(AND(COUNTIF(A$4:A$203,A45)=1,B45&lt;&gt;"",COUNTIF(03_Пакеты!$A$4:$A$203,B45)=1,C45&lt;&gt;"",E45&lt;&gt;"",ISNUMBER(F45),F45&gt;=0,G45&lt;&gt;"",G45=01_Основания!$B$8,H45&lt;&gt;"",H45=01_Основания!$B$9,I45&lt;&gt;"",J45&lt;&gt;"",COUNTIF(13_Источники!$A$4:$A$203,J45)=1,K45&lt;&gt;"",M45&lt;&gt;"",01_Основания!$B$10&lt;&gt;"",OR(AND(F45&gt;0,L45="KNOWN"),AND(F45=0,L45="ZERO_CONFIRMED"))),"READY","INCOMPLETE / BASIS"))</f>
        <v/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 t="str">
        <f aca="false">IF(A46="","",IF(AND(COUNTIF(A$4:A$203,A46)=1,B46&lt;&gt;"",COUNTIF(03_Пакеты!$A$4:$A$203,B46)=1,C46&lt;&gt;"",E46&lt;&gt;"",ISNUMBER(F46),F46&gt;=0,G46&lt;&gt;"",G46=01_Основания!$B$8,H46&lt;&gt;"",H46=01_Основания!$B$9,I46&lt;&gt;"",J46&lt;&gt;"",COUNTIF(13_Источники!$A$4:$A$203,J46)=1,K46&lt;&gt;"",M46&lt;&gt;"",01_Основания!$B$10&lt;&gt;"",OR(AND(F46&gt;0,L46="KNOWN"),AND(F46=0,L46="ZERO_CONFIRMED"))),"READY","INCOMPLETE / BASIS"))</f>
        <v/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 t="str">
        <f aca="false">IF(A47="","",IF(AND(COUNTIF(A$4:A$203,A47)=1,B47&lt;&gt;"",COUNTIF(03_Пакеты!$A$4:$A$203,B47)=1,C47&lt;&gt;"",E47&lt;&gt;"",ISNUMBER(F47),F47&gt;=0,G47&lt;&gt;"",G47=01_Основания!$B$8,H47&lt;&gt;"",H47=01_Основания!$B$9,I47&lt;&gt;"",J47&lt;&gt;"",COUNTIF(13_Источники!$A$4:$A$203,J47)=1,K47&lt;&gt;"",M47&lt;&gt;"",01_Основания!$B$10&lt;&gt;"",OR(AND(F47&gt;0,L47="KNOWN"),AND(F47=0,L47="ZERO_CONFIRMED"))),"READY","INCOMPLETE / BASIS"))</f>
        <v/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" t="str">
        <f aca="false">IF(A48="","",IF(AND(COUNTIF(A$4:A$203,A48)=1,B48&lt;&gt;"",COUNTIF(03_Пакеты!$A$4:$A$203,B48)=1,C48&lt;&gt;"",E48&lt;&gt;"",ISNUMBER(F48),F48&gt;=0,G48&lt;&gt;"",G48=01_Основания!$B$8,H48&lt;&gt;"",H48=01_Основания!$B$9,I48&lt;&gt;"",J48&lt;&gt;"",COUNTIF(13_Источники!$A$4:$A$203,J48)=1,K48&lt;&gt;"",M48&lt;&gt;"",01_Основания!$B$10&lt;&gt;"",OR(AND(F48&gt;0,L48="KNOWN"),AND(F48=0,L48="ZERO_CONFIRMED"))),"READY","INCOMPLETE / BASIS"))</f>
        <v/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5" t="str">
        <f aca="false">IF(A49="","",IF(AND(COUNTIF(A$4:A$203,A49)=1,B49&lt;&gt;"",COUNTIF(03_Пакеты!$A$4:$A$203,B49)=1,C49&lt;&gt;"",E49&lt;&gt;"",ISNUMBER(F49),F49&gt;=0,G49&lt;&gt;"",G49=01_Основания!$B$8,H49&lt;&gt;"",H49=01_Основания!$B$9,I49&lt;&gt;"",J49&lt;&gt;"",COUNTIF(13_Источники!$A$4:$A$203,J49)=1,K49&lt;&gt;"",M49&lt;&gt;"",01_Основания!$B$10&lt;&gt;"",OR(AND(F49&gt;0,L49="KNOWN"),AND(F49=0,L49="ZERO_CONFIRMED"))),"READY","INCOMPLETE / BASIS"))</f>
        <v/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5" t="str">
        <f aca="false">IF(A50="","",IF(AND(COUNTIF(A$4:A$203,A50)=1,B50&lt;&gt;"",COUNTIF(03_Пакеты!$A$4:$A$203,B50)=1,C50&lt;&gt;"",E50&lt;&gt;"",ISNUMBER(F50),F50&gt;=0,G50&lt;&gt;"",G50=01_Основания!$B$8,H50&lt;&gt;"",H50=01_Основания!$B$9,I50&lt;&gt;"",J50&lt;&gt;"",COUNTIF(13_Источники!$A$4:$A$203,J50)=1,K50&lt;&gt;"",M50&lt;&gt;"",01_Основания!$B$10&lt;&gt;"",OR(AND(F50&gt;0,L50="KNOWN"),AND(F50=0,L50="ZERO_CONFIRMED"))),"READY","INCOMPLETE / BASIS"))</f>
        <v/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 t="str">
        <f aca="false">IF(A51="","",IF(AND(COUNTIF(A$4:A$203,A51)=1,B51&lt;&gt;"",COUNTIF(03_Пакеты!$A$4:$A$203,B51)=1,C51&lt;&gt;"",E51&lt;&gt;"",ISNUMBER(F51),F51&gt;=0,G51&lt;&gt;"",G51=01_Основания!$B$8,H51&lt;&gt;"",H51=01_Основания!$B$9,I51&lt;&gt;"",J51&lt;&gt;"",COUNTIF(13_Источники!$A$4:$A$203,J51)=1,K51&lt;&gt;"",M51&lt;&gt;"",01_Основания!$B$10&lt;&gt;"",OR(AND(F51&gt;0,L51="KNOWN"),AND(F51=0,L51="ZERO_CONFIRMED"))),"READY","INCOMPLETE / BASIS"))</f>
        <v/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5" t="str">
        <f aca="false">IF(A52="","",IF(AND(COUNTIF(A$4:A$203,A52)=1,B52&lt;&gt;"",COUNTIF(03_Пакеты!$A$4:$A$203,B52)=1,C52&lt;&gt;"",E52&lt;&gt;"",ISNUMBER(F52),F52&gt;=0,G52&lt;&gt;"",G52=01_Основания!$B$8,H52&lt;&gt;"",H52=01_Основания!$B$9,I52&lt;&gt;"",J52&lt;&gt;"",COUNTIF(13_Источники!$A$4:$A$203,J52)=1,K52&lt;&gt;"",M52&lt;&gt;"",01_Основания!$B$10&lt;&gt;"",OR(AND(F52&gt;0,L52="KNOWN"),AND(F52=0,L52="ZERO_CONFIRMED"))),"READY","INCOMPLETE / BASIS"))</f>
        <v/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 t="str">
        <f aca="false">IF(A53="","",IF(AND(COUNTIF(A$4:A$203,A53)=1,B53&lt;&gt;"",COUNTIF(03_Пакеты!$A$4:$A$203,B53)=1,C53&lt;&gt;"",E53&lt;&gt;"",ISNUMBER(F53),F53&gt;=0,G53&lt;&gt;"",G53=01_Основания!$B$8,H53&lt;&gt;"",H53=01_Основания!$B$9,I53&lt;&gt;"",J53&lt;&gt;"",COUNTIF(13_Источники!$A$4:$A$203,J53)=1,K53&lt;&gt;"",M53&lt;&gt;"",01_Основания!$B$10&lt;&gt;"",OR(AND(F53&gt;0,L53="KNOWN"),AND(F53=0,L53="ZERO_CONFIRMED"))),"READY","INCOMPLETE / BASIS"))</f>
        <v/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 t="str">
        <f aca="false">IF(A54="","",IF(AND(COUNTIF(A$4:A$203,A54)=1,B54&lt;&gt;"",COUNTIF(03_Пакеты!$A$4:$A$203,B54)=1,C54&lt;&gt;"",E54&lt;&gt;"",ISNUMBER(F54),F54&gt;=0,G54&lt;&gt;"",G54=01_Основания!$B$8,H54&lt;&gt;"",H54=01_Основания!$B$9,I54&lt;&gt;"",J54&lt;&gt;"",COUNTIF(13_Источники!$A$4:$A$203,J54)=1,K54&lt;&gt;"",M54&lt;&gt;"",01_Основания!$B$10&lt;&gt;"",OR(AND(F54&gt;0,L54="KNOWN"),AND(F54=0,L54="ZERO_CONFIRMED"))),"READY","INCOMPLETE / BASIS"))</f>
        <v/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5" t="str">
        <f aca="false">IF(A55="","",IF(AND(COUNTIF(A$4:A$203,A55)=1,B55&lt;&gt;"",COUNTIF(03_Пакеты!$A$4:$A$203,B55)=1,C55&lt;&gt;"",E55&lt;&gt;"",ISNUMBER(F55),F55&gt;=0,G55&lt;&gt;"",G55=01_Основания!$B$8,H55&lt;&gt;"",H55=01_Основания!$B$9,I55&lt;&gt;"",J55&lt;&gt;"",COUNTIF(13_Источники!$A$4:$A$203,J55)=1,K55&lt;&gt;"",M55&lt;&gt;"",01_Основания!$B$10&lt;&gt;"",OR(AND(F55&gt;0,L55="KNOWN"),AND(F55=0,L55="ZERO_CONFIRMED"))),"READY","INCOMPLETE / BASIS"))</f>
        <v/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 t="str">
        <f aca="false">IF(A56="","",IF(AND(COUNTIF(A$4:A$203,A56)=1,B56&lt;&gt;"",COUNTIF(03_Пакеты!$A$4:$A$203,B56)=1,C56&lt;&gt;"",E56&lt;&gt;"",ISNUMBER(F56),F56&gt;=0,G56&lt;&gt;"",G56=01_Основания!$B$8,H56&lt;&gt;"",H56=01_Основания!$B$9,I56&lt;&gt;"",J56&lt;&gt;"",COUNTIF(13_Источники!$A$4:$A$203,J56)=1,K56&lt;&gt;"",M56&lt;&gt;"",01_Основания!$B$10&lt;&gt;"",OR(AND(F56&gt;0,L56="KNOWN"),AND(F56=0,L56="ZERO_CONFIRMED"))),"READY","INCOMPLETE / BASIS"))</f>
        <v/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 t="str">
        <f aca="false">IF(A57="","",IF(AND(COUNTIF(A$4:A$203,A57)=1,B57&lt;&gt;"",COUNTIF(03_Пакеты!$A$4:$A$203,B57)=1,C57&lt;&gt;"",E57&lt;&gt;"",ISNUMBER(F57),F57&gt;=0,G57&lt;&gt;"",G57=01_Основания!$B$8,H57&lt;&gt;"",H57=01_Основания!$B$9,I57&lt;&gt;"",J57&lt;&gt;"",COUNTIF(13_Источники!$A$4:$A$203,J57)=1,K57&lt;&gt;"",M57&lt;&gt;"",01_Основания!$B$10&lt;&gt;"",OR(AND(F57&gt;0,L57="KNOWN"),AND(F57=0,L57="ZERO_CONFIRMED"))),"READY","INCOMPLETE / BASIS"))</f>
        <v/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 t="str">
        <f aca="false">IF(A58="","",IF(AND(COUNTIF(A$4:A$203,A58)=1,B58&lt;&gt;"",COUNTIF(03_Пакеты!$A$4:$A$203,B58)=1,C58&lt;&gt;"",E58&lt;&gt;"",ISNUMBER(F58),F58&gt;=0,G58&lt;&gt;"",G58=01_Основания!$B$8,H58&lt;&gt;"",H58=01_Основания!$B$9,I58&lt;&gt;"",J58&lt;&gt;"",COUNTIF(13_Источники!$A$4:$A$203,J58)=1,K58&lt;&gt;"",M58&lt;&gt;"",01_Основания!$B$10&lt;&gt;"",OR(AND(F58&gt;0,L58="KNOWN"),AND(F58=0,L58="ZERO_CONFIRMED"))),"READY","INCOMPLETE / BASIS"))</f>
        <v/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 t="str">
        <f aca="false">IF(A59="","",IF(AND(COUNTIF(A$4:A$203,A59)=1,B59&lt;&gt;"",COUNTIF(03_Пакеты!$A$4:$A$203,B59)=1,C59&lt;&gt;"",E59&lt;&gt;"",ISNUMBER(F59),F59&gt;=0,G59&lt;&gt;"",G59=01_Основания!$B$8,H59&lt;&gt;"",H59=01_Основания!$B$9,I59&lt;&gt;"",J59&lt;&gt;"",COUNTIF(13_Источники!$A$4:$A$203,J59)=1,K59&lt;&gt;"",M59&lt;&gt;"",01_Основания!$B$10&lt;&gt;"",OR(AND(F59&gt;0,L59="KNOWN"),AND(F59=0,L59="ZERO_CONFIRMED"))),"READY","INCOMPLETE / BASIS"))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 t="str">
        <f aca="false">IF(A60="","",IF(AND(COUNTIF(A$4:A$203,A60)=1,B60&lt;&gt;"",COUNTIF(03_Пакеты!$A$4:$A$203,B60)=1,C60&lt;&gt;"",E60&lt;&gt;"",ISNUMBER(F60),F60&gt;=0,G60&lt;&gt;"",G60=01_Основания!$B$8,H60&lt;&gt;"",H60=01_Основания!$B$9,I60&lt;&gt;"",J60&lt;&gt;"",COUNTIF(13_Источники!$A$4:$A$203,J60)=1,K60&lt;&gt;"",M60&lt;&gt;"",01_Основания!$B$10&lt;&gt;"",OR(AND(F60&gt;0,L60="KNOWN"),AND(F60=0,L60="ZERO_CONFIRMED"))),"READY","INCOMPLETE / BASIS"))</f>
        <v/>
      </c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 t="str">
        <f aca="false">IF(A61="","",IF(AND(COUNTIF(A$4:A$203,A61)=1,B61&lt;&gt;"",COUNTIF(03_Пакеты!$A$4:$A$203,B61)=1,C61&lt;&gt;"",E61&lt;&gt;"",ISNUMBER(F61),F61&gt;=0,G61&lt;&gt;"",G61=01_Основания!$B$8,H61&lt;&gt;"",H61=01_Основания!$B$9,I61&lt;&gt;"",J61&lt;&gt;"",COUNTIF(13_Источники!$A$4:$A$203,J61)=1,K61&lt;&gt;"",M61&lt;&gt;"",01_Основания!$B$10&lt;&gt;"",OR(AND(F61&gt;0,L61="KNOWN"),AND(F61=0,L61="ZERO_CONFIRMED"))),"READY","INCOMPLETE / BASIS"))</f>
        <v/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 t="str">
        <f aca="false">IF(A62="","",IF(AND(COUNTIF(A$4:A$203,A62)=1,B62&lt;&gt;"",COUNTIF(03_Пакеты!$A$4:$A$203,B62)=1,C62&lt;&gt;"",E62&lt;&gt;"",ISNUMBER(F62),F62&gt;=0,G62&lt;&gt;"",G62=01_Основания!$B$8,H62&lt;&gt;"",H62=01_Основания!$B$9,I62&lt;&gt;"",J62&lt;&gt;"",COUNTIF(13_Источники!$A$4:$A$203,J62)=1,K62&lt;&gt;"",M62&lt;&gt;"",01_Основания!$B$10&lt;&gt;"",OR(AND(F62&gt;0,L62="KNOWN"),AND(F62=0,L62="ZERO_CONFIRMED"))),"READY","INCOMPLETE / BASIS"))</f>
        <v/>
      </c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tr">
        <f aca="false">IF(A63="","",IF(AND(COUNTIF(A$4:A$203,A63)=1,B63&lt;&gt;"",COUNTIF(03_Пакеты!$A$4:$A$203,B63)=1,C63&lt;&gt;"",E63&lt;&gt;"",ISNUMBER(F63),F63&gt;=0,G63&lt;&gt;"",G63=01_Основания!$B$8,H63&lt;&gt;"",H63=01_Основания!$B$9,I63&lt;&gt;"",J63&lt;&gt;"",COUNTIF(13_Источники!$A$4:$A$203,J63)=1,K63&lt;&gt;"",M63&lt;&gt;"",01_Основания!$B$10&lt;&gt;"",OR(AND(F63&gt;0,L63="KNOWN"),AND(F63=0,L63="ZERO_CONFIRMED"))),"READY","INCOMPLETE / BASIS"))</f>
        <v/>
      </c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 t="str">
        <f aca="false">IF(A64="","",IF(AND(COUNTIF(A$4:A$203,A64)=1,B64&lt;&gt;"",COUNTIF(03_Пакеты!$A$4:$A$203,B64)=1,C64&lt;&gt;"",E64&lt;&gt;"",ISNUMBER(F64),F64&gt;=0,G64&lt;&gt;"",G64=01_Основания!$B$8,H64&lt;&gt;"",H64=01_Основания!$B$9,I64&lt;&gt;"",J64&lt;&gt;"",COUNTIF(13_Источники!$A$4:$A$203,J64)=1,K64&lt;&gt;"",M64&lt;&gt;"",01_Основания!$B$10&lt;&gt;"",OR(AND(F64&gt;0,L64="KNOWN"),AND(F64=0,L64="ZERO_CONFIRMED"))),"READY","INCOMPLETE / BASIS"))</f>
        <v/>
      </c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 t="str">
        <f aca="false">IF(A65="","",IF(AND(COUNTIF(A$4:A$203,A65)=1,B65&lt;&gt;"",COUNTIF(03_Пакеты!$A$4:$A$203,B65)=1,C65&lt;&gt;"",E65&lt;&gt;"",ISNUMBER(F65),F65&gt;=0,G65&lt;&gt;"",G65=01_Основания!$B$8,H65&lt;&gt;"",H65=01_Основания!$B$9,I65&lt;&gt;"",J65&lt;&gt;"",COUNTIF(13_Источники!$A$4:$A$203,J65)=1,K65&lt;&gt;"",M65&lt;&gt;"",01_Основания!$B$10&lt;&gt;"",OR(AND(F65&gt;0,L65="KNOWN"),AND(F65=0,L65="ZERO_CONFIRMED"))),"READY","INCOMPLETE / BASIS"))</f>
        <v/>
      </c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 t="str">
        <f aca="false">IF(A66="","",IF(AND(COUNTIF(A$4:A$203,A66)=1,B66&lt;&gt;"",COUNTIF(03_Пакеты!$A$4:$A$203,B66)=1,C66&lt;&gt;"",E66&lt;&gt;"",ISNUMBER(F66),F66&gt;=0,G66&lt;&gt;"",G66=01_Основания!$B$8,H66&lt;&gt;"",H66=01_Основания!$B$9,I66&lt;&gt;"",J66&lt;&gt;"",COUNTIF(13_Источники!$A$4:$A$203,J66)=1,K66&lt;&gt;"",M66&lt;&gt;"",01_Основания!$B$10&lt;&gt;"",OR(AND(F66&gt;0,L66="KNOWN"),AND(F66=0,L66="ZERO_CONFIRMED"))),"READY","INCOMPLETE / BASIS"))</f>
        <v/>
      </c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 t="str">
        <f aca="false">IF(A67="","",IF(AND(COUNTIF(A$4:A$203,A67)=1,B67&lt;&gt;"",COUNTIF(03_Пакеты!$A$4:$A$203,B67)=1,C67&lt;&gt;"",E67&lt;&gt;"",ISNUMBER(F67),F67&gt;=0,G67&lt;&gt;"",G67=01_Основания!$B$8,H67&lt;&gt;"",H67=01_Основания!$B$9,I67&lt;&gt;"",J67&lt;&gt;"",COUNTIF(13_Источники!$A$4:$A$203,J67)=1,K67&lt;&gt;"",M67&lt;&gt;"",01_Основания!$B$10&lt;&gt;"",OR(AND(F67&gt;0,L67="KNOWN"),AND(F67=0,L67="ZERO_CONFIRMED"))),"READY","INCOMPLETE / BASIS"))</f>
        <v/>
      </c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 t="str">
        <f aca="false">IF(A68="","",IF(AND(COUNTIF(A$4:A$203,A68)=1,B68&lt;&gt;"",COUNTIF(03_Пакеты!$A$4:$A$203,B68)=1,C68&lt;&gt;"",E68&lt;&gt;"",ISNUMBER(F68),F68&gt;=0,G68&lt;&gt;"",G68=01_Основания!$B$8,H68&lt;&gt;"",H68=01_Основания!$B$9,I68&lt;&gt;"",J68&lt;&gt;"",COUNTIF(13_Источники!$A$4:$A$203,J68)=1,K68&lt;&gt;"",M68&lt;&gt;"",01_Основания!$B$10&lt;&gt;"",OR(AND(F68&gt;0,L68="KNOWN"),AND(F68=0,L68="ZERO_CONFIRMED"))),"READY","INCOMPLETE / BASIS"))</f>
        <v/>
      </c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 t="str">
        <f aca="false">IF(A69="","",IF(AND(COUNTIF(A$4:A$203,A69)=1,B69&lt;&gt;"",COUNTIF(03_Пакеты!$A$4:$A$203,B69)=1,C69&lt;&gt;"",E69&lt;&gt;"",ISNUMBER(F69),F69&gt;=0,G69&lt;&gt;"",G69=01_Основания!$B$8,H69&lt;&gt;"",H69=01_Основания!$B$9,I69&lt;&gt;"",J69&lt;&gt;"",COUNTIF(13_Источники!$A$4:$A$203,J69)=1,K69&lt;&gt;"",M69&lt;&gt;"",01_Основания!$B$10&lt;&gt;"",OR(AND(F69&gt;0,L69="KNOWN"),AND(F69=0,L69="ZERO_CONFIRMED"))),"READY","INCOMPLETE / BASIS"))</f>
        <v/>
      </c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 t="str">
        <f aca="false">IF(A70="","",IF(AND(COUNTIF(A$4:A$203,A70)=1,B70&lt;&gt;"",COUNTIF(03_Пакеты!$A$4:$A$203,B70)=1,C70&lt;&gt;"",E70&lt;&gt;"",ISNUMBER(F70),F70&gt;=0,G70&lt;&gt;"",G70=01_Основания!$B$8,H70&lt;&gt;"",H70=01_Основания!$B$9,I70&lt;&gt;"",J70&lt;&gt;"",COUNTIF(13_Источники!$A$4:$A$203,J70)=1,K70&lt;&gt;"",M70&lt;&gt;"",01_Основания!$B$10&lt;&gt;"",OR(AND(F70&gt;0,L70="KNOWN"),AND(F70=0,L70="ZERO_CONFIRMED"))),"READY","INCOMPLETE / BASIS"))</f>
        <v/>
      </c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 t="str">
        <f aca="false">IF(A71="","",IF(AND(COUNTIF(A$4:A$203,A71)=1,B71&lt;&gt;"",COUNTIF(03_Пакеты!$A$4:$A$203,B71)=1,C71&lt;&gt;"",E71&lt;&gt;"",ISNUMBER(F71),F71&gt;=0,G71&lt;&gt;"",G71=01_Основания!$B$8,H71&lt;&gt;"",H71=01_Основания!$B$9,I71&lt;&gt;"",J71&lt;&gt;"",COUNTIF(13_Источники!$A$4:$A$203,J71)=1,K71&lt;&gt;"",M71&lt;&gt;"",01_Основания!$B$10&lt;&gt;"",OR(AND(F71&gt;0,L71="KNOWN"),AND(F71=0,L71="ZERO_CONFIRMED"))),"READY","INCOMPLETE / BASIS"))</f>
        <v/>
      </c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 t="str">
        <f aca="false">IF(A72="","",IF(AND(COUNTIF(A$4:A$203,A72)=1,B72&lt;&gt;"",COUNTIF(03_Пакеты!$A$4:$A$203,B72)=1,C72&lt;&gt;"",E72&lt;&gt;"",ISNUMBER(F72),F72&gt;=0,G72&lt;&gt;"",G72=01_Основания!$B$8,H72&lt;&gt;"",H72=01_Основания!$B$9,I72&lt;&gt;"",J72&lt;&gt;"",COUNTIF(13_Источники!$A$4:$A$203,J72)=1,K72&lt;&gt;"",M72&lt;&gt;"",01_Основания!$B$10&lt;&gt;"",OR(AND(F72&gt;0,L72="KNOWN"),AND(F72=0,L72="ZERO_CONFIRMED"))),"READY","INCOMPLETE / BASIS"))</f>
        <v/>
      </c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 t="str">
        <f aca="false">IF(A73="","",IF(AND(COUNTIF(A$4:A$203,A73)=1,B73&lt;&gt;"",COUNTIF(03_Пакеты!$A$4:$A$203,B73)=1,C73&lt;&gt;"",E73&lt;&gt;"",ISNUMBER(F73),F73&gt;=0,G73&lt;&gt;"",G73=01_Основания!$B$8,H73&lt;&gt;"",H73=01_Основания!$B$9,I73&lt;&gt;"",J73&lt;&gt;"",COUNTIF(13_Источники!$A$4:$A$203,J73)=1,K73&lt;&gt;"",M73&lt;&gt;"",01_Основания!$B$10&lt;&gt;"",OR(AND(F73&gt;0,L73="KNOWN"),AND(F73=0,L73="ZERO_CONFIRMED"))),"READY","INCOMPLETE / BASIS"))</f>
        <v/>
      </c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 t="str">
        <f aca="false">IF(A74="","",IF(AND(COUNTIF(A$4:A$203,A74)=1,B74&lt;&gt;"",COUNTIF(03_Пакеты!$A$4:$A$203,B74)=1,C74&lt;&gt;"",E74&lt;&gt;"",ISNUMBER(F74),F74&gt;=0,G74&lt;&gt;"",G74=01_Основания!$B$8,H74&lt;&gt;"",H74=01_Основания!$B$9,I74&lt;&gt;"",J74&lt;&gt;"",COUNTIF(13_Источники!$A$4:$A$203,J74)=1,K74&lt;&gt;"",M74&lt;&gt;"",01_Основания!$B$10&lt;&gt;"",OR(AND(F74&gt;0,L74="KNOWN"),AND(F74=0,L74="ZERO_CONFIRMED"))),"READY","INCOMPLETE / BASIS"))</f>
        <v/>
      </c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tr">
        <f aca="false">IF(A75="","",IF(AND(COUNTIF(A$4:A$203,A75)=1,B75&lt;&gt;"",COUNTIF(03_Пакеты!$A$4:$A$203,B75)=1,C75&lt;&gt;"",E75&lt;&gt;"",ISNUMBER(F75),F75&gt;=0,G75&lt;&gt;"",G75=01_Основания!$B$8,H75&lt;&gt;"",H75=01_Основания!$B$9,I75&lt;&gt;"",J75&lt;&gt;"",COUNTIF(13_Источники!$A$4:$A$203,J75)=1,K75&lt;&gt;"",M75&lt;&gt;"",01_Основания!$B$10&lt;&gt;"",OR(AND(F75&gt;0,L75="KNOWN"),AND(F75=0,L75="ZERO_CONFIRMED"))),"READY","INCOMPLETE / BASIS"))</f>
        <v/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 t="str">
        <f aca="false">IF(A76="","",IF(AND(COUNTIF(A$4:A$203,A76)=1,B76&lt;&gt;"",COUNTIF(03_Пакеты!$A$4:$A$203,B76)=1,C76&lt;&gt;"",E76&lt;&gt;"",ISNUMBER(F76),F76&gt;=0,G76&lt;&gt;"",G76=01_Основания!$B$8,H76&lt;&gt;"",H76=01_Основания!$B$9,I76&lt;&gt;"",J76&lt;&gt;"",COUNTIF(13_Источники!$A$4:$A$203,J76)=1,K76&lt;&gt;"",M76&lt;&gt;"",01_Основания!$B$10&lt;&gt;"",OR(AND(F76&gt;0,L76="KNOWN"),AND(F76=0,L76="ZERO_CONFIRMED"))),"READY","INCOMPLETE / BASIS"))</f>
        <v/>
      </c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 t="str">
        <f aca="false">IF(A77="","",IF(AND(COUNTIF(A$4:A$203,A77)=1,B77&lt;&gt;"",COUNTIF(03_Пакеты!$A$4:$A$203,B77)=1,C77&lt;&gt;"",E77&lt;&gt;"",ISNUMBER(F77),F77&gt;=0,G77&lt;&gt;"",G77=01_Основания!$B$8,H77&lt;&gt;"",H77=01_Основания!$B$9,I77&lt;&gt;"",J77&lt;&gt;"",COUNTIF(13_Источники!$A$4:$A$203,J77)=1,K77&lt;&gt;"",M77&lt;&gt;"",01_Основания!$B$10&lt;&gt;"",OR(AND(F77&gt;0,L77="KNOWN"),AND(F77=0,L77="ZERO_CONFIRMED"))),"READY","INCOMPLETE / BASIS"))</f>
        <v/>
      </c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 t="str">
        <f aca="false">IF(A78="","",IF(AND(COUNTIF(A$4:A$203,A78)=1,B78&lt;&gt;"",COUNTIF(03_Пакеты!$A$4:$A$203,B78)=1,C78&lt;&gt;"",E78&lt;&gt;"",ISNUMBER(F78),F78&gt;=0,G78&lt;&gt;"",G78=01_Основания!$B$8,H78&lt;&gt;"",H78=01_Основания!$B$9,I78&lt;&gt;"",J78&lt;&gt;"",COUNTIF(13_Источники!$A$4:$A$203,J78)=1,K78&lt;&gt;"",M78&lt;&gt;"",01_Основания!$B$10&lt;&gt;"",OR(AND(F78&gt;0,L78="KNOWN"),AND(F78=0,L78="ZERO_CONFIRMED"))),"READY","INCOMPLETE / BASIS"))</f>
        <v/>
      </c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 t="str">
        <f aca="false">IF(A79="","",IF(AND(COUNTIF(A$4:A$203,A79)=1,B79&lt;&gt;"",COUNTIF(03_Пакеты!$A$4:$A$203,B79)=1,C79&lt;&gt;"",E79&lt;&gt;"",ISNUMBER(F79),F79&gt;=0,G79&lt;&gt;"",G79=01_Основания!$B$8,H79&lt;&gt;"",H79=01_Основания!$B$9,I79&lt;&gt;"",J79&lt;&gt;"",COUNTIF(13_Источники!$A$4:$A$203,J79)=1,K79&lt;&gt;"",M79&lt;&gt;"",01_Основания!$B$10&lt;&gt;"",OR(AND(F79&gt;0,L79="KNOWN"),AND(F79=0,L79="ZERO_CONFIRMED"))),"READY","INCOMPLETE / BASIS"))</f>
        <v/>
      </c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 t="str">
        <f aca="false">IF(A80="","",IF(AND(COUNTIF(A$4:A$203,A80)=1,B80&lt;&gt;"",COUNTIF(03_Пакеты!$A$4:$A$203,B80)=1,C80&lt;&gt;"",E80&lt;&gt;"",ISNUMBER(F80),F80&gt;=0,G80&lt;&gt;"",G80=01_Основания!$B$8,H80&lt;&gt;"",H80=01_Основания!$B$9,I80&lt;&gt;"",J80&lt;&gt;"",COUNTIF(13_Источники!$A$4:$A$203,J80)=1,K80&lt;&gt;"",M80&lt;&gt;"",01_Основания!$B$10&lt;&gt;"",OR(AND(F80&gt;0,L80="KNOWN"),AND(F80=0,L80="ZERO_CONFIRMED"))),"READY","INCOMPLETE / BASIS"))</f>
        <v/>
      </c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 t="str">
        <f aca="false">IF(A81="","",IF(AND(COUNTIF(A$4:A$203,A81)=1,B81&lt;&gt;"",COUNTIF(03_Пакеты!$A$4:$A$203,B81)=1,C81&lt;&gt;"",E81&lt;&gt;"",ISNUMBER(F81),F81&gt;=0,G81&lt;&gt;"",G81=01_Основания!$B$8,H81&lt;&gt;"",H81=01_Основания!$B$9,I81&lt;&gt;"",J81&lt;&gt;"",COUNTIF(13_Источники!$A$4:$A$203,J81)=1,K81&lt;&gt;"",M81&lt;&gt;"",01_Основания!$B$10&lt;&gt;"",OR(AND(F81&gt;0,L81="KNOWN"),AND(F81=0,L81="ZERO_CONFIRMED"))),"READY","INCOMPLETE / BASIS"))</f>
        <v/>
      </c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 t="str">
        <f aca="false">IF(A82="","",IF(AND(COUNTIF(A$4:A$203,A82)=1,B82&lt;&gt;"",COUNTIF(03_Пакеты!$A$4:$A$203,B82)=1,C82&lt;&gt;"",E82&lt;&gt;"",ISNUMBER(F82),F82&gt;=0,G82&lt;&gt;"",G82=01_Основания!$B$8,H82&lt;&gt;"",H82=01_Основания!$B$9,I82&lt;&gt;"",J82&lt;&gt;"",COUNTIF(13_Источники!$A$4:$A$203,J82)=1,K82&lt;&gt;"",M82&lt;&gt;"",01_Основания!$B$10&lt;&gt;"",OR(AND(F82&gt;0,L82="KNOWN"),AND(F82=0,L82="ZERO_CONFIRMED"))),"READY","INCOMPLETE / BASIS"))</f>
        <v/>
      </c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 t="str">
        <f aca="false">IF(A83="","",IF(AND(COUNTIF(A$4:A$203,A83)=1,B83&lt;&gt;"",COUNTIF(03_Пакеты!$A$4:$A$203,B83)=1,C83&lt;&gt;"",E83&lt;&gt;"",ISNUMBER(F83),F83&gt;=0,G83&lt;&gt;"",G83=01_Основания!$B$8,H83&lt;&gt;"",H83=01_Основания!$B$9,I83&lt;&gt;"",J83&lt;&gt;"",COUNTIF(13_Источники!$A$4:$A$203,J83)=1,K83&lt;&gt;"",M83&lt;&gt;"",01_Основания!$B$10&lt;&gt;"",OR(AND(F83&gt;0,L83="KNOWN"),AND(F83=0,L83="ZERO_CONFIRMED"))),"READY","INCOMPLETE / BASIS"))</f>
        <v/>
      </c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 t="str">
        <f aca="false">IF(A84="","",IF(AND(COUNTIF(A$4:A$203,A84)=1,B84&lt;&gt;"",COUNTIF(03_Пакеты!$A$4:$A$203,B84)=1,C84&lt;&gt;"",E84&lt;&gt;"",ISNUMBER(F84),F84&gt;=0,G84&lt;&gt;"",G84=01_Основания!$B$8,H84&lt;&gt;"",H84=01_Основания!$B$9,I84&lt;&gt;"",J84&lt;&gt;"",COUNTIF(13_Источники!$A$4:$A$203,J84)=1,K84&lt;&gt;"",M84&lt;&gt;"",01_Основания!$B$10&lt;&gt;"",OR(AND(F84&gt;0,L84="KNOWN"),AND(F84=0,L84="ZERO_CONFIRMED"))),"READY","INCOMPLETE / BASIS"))</f>
        <v/>
      </c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 t="str">
        <f aca="false">IF(A85="","",IF(AND(COUNTIF(A$4:A$203,A85)=1,B85&lt;&gt;"",COUNTIF(03_Пакеты!$A$4:$A$203,B85)=1,C85&lt;&gt;"",E85&lt;&gt;"",ISNUMBER(F85),F85&gt;=0,G85&lt;&gt;"",G85=01_Основания!$B$8,H85&lt;&gt;"",H85=01_Основания!$B$9,I85&lt;&gt;"",J85&lt;&gt;"",COUNTIF(13_Источники!$A$4:$A$203,J85)=1,K85&lt;&gt;"",M85&lt;&gt;"",01_Основания!$B$10&lt;&gt;"",OR(AND(F85&gt;0,L85="KNOWN"),AND(F85=0,L85="ZERO_CONFIRMED"))),"READY","INCOMPLETE / BASIS"))</f>
        <v/>
      </c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 t="str">
        <f aca="false">IF(A86="","",IF(AND(COUNTIF(A$4:A$203,A86)=1,B86&lt;&gt;"",COUNTIF(03_Пакеты!$A$4:$A$203,B86)=1,C86&lt;&gt;"",E86&lt;&gt;"",ISNUMBER(F86),F86&gt;=0,G86&lt;&gt;"",G86=01_Основания!$B$8,H86&lt;&gt;"",H86=01_Основания!$B$9,I86&lt;&gt;"",J86&lt;&gt;"",COUNTIF(13_Источники!$A$4:$A$203,J86)=1,K86&lt;&gt;"",M86&lt;&gt;"",01_Основания!$B$10&lt;&gt;"",OR(AND(F86&gt;0,L86="KNOWN"),AND(F86=0,L86="ZERO_CONFIRMED"))),"READY","INCOMPLETE / BASIS"))</f>
        <v/>
      </c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 t="str">
        <f aca="false">IF(A87="","",IF(AND(COUNTIF(A$4:A$203,A87)=1,B87&lt;&gt;"",COUNTIF(03_Пакеты!$A$4:$A$203,B87)=1,C87&lt;&gt;"",E87&lt;&gt;"",ISNUMBER(F87),F87&gt;=0,G87&lt;&gt;"",G87=01_Основания!$B$8,H87&lt;&gt;"",H87=01_Основания!$B$9,I87&lt;&gt;"",J87&lt;&gt;"",COUNTIF(13_Источники!$A$4:$A$203,J87)=1,K87&lt;&gt;"",M87&lt;&gt;"",01_Основания!$B$10&lt;&gt;"",OR(AND(F87&gt;0,L87="KNOWN"),AND(F87=0,L87="ZERO_CONFIRMED"))),"READY","INCOMPLETE / BASIS"))</f>
        <v/>
      </c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 t="str">
        <f aca="false">IF(A88="","",IF(AND(COUNTIF(A$4:A$203,A88)=1,B88&lt;&gt;"",COUNTIF(03_Пакеты!$A$4:$A$203,B88)=1,C88&lt;&gt;"",E88&lt;&gt;"",ISNUMBER(F88),F88&gt;=0,G88&lt;&gt;"",G88=01_Основания!$B$8,H88&lt;&gt;"",H88=01_Основания!$B$9,I88&lt;&gt;"",J88&lt;&gt;"",COUNTIF(13_Источники!$A$4:$A$203,J88)=1,K88&lt;&gt;"",M88&lt;&gt;"",01_Основания!$B$10&lt;&gt;"",OR(AND(F88&gt;0,L88="KNOWN"),AND(F88=0,L88="ZERO_CONFIRMED"))),"READY","INCOMPLETE / BASIS"))</f>
        <v/>
      </c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 t="str">
        <f aca="false">IF(A89="","",IF(AND(COUNTIF(A$4:A$203,A89)=1,B89&lt;&gt;"",COUNTIF(03_Пакеты!$A$4:$A$203,B89)=1,C89&lt;&gt;"",E89&lt;&gt;"",ISNUMBER(F89),F89&gt;=0,G89&lt;&gt;"",G89=01_Основания!$B$8,H89&lt;&gt;"",H89=01_Основания!$B$9,I89&lt;&gt;"",J89&lt;&gt;"",COUNTIF(13_Источники!$A$4:$A$203,J89)=1,K89&lt;&gt;"",M89&lt;&gt;"",01_Основания!$B$10&lt;&gt;"",OR(AND(F89&gt;0,L89="KNOWN"),AND(F89=0,L89="ZERO_CONFIRMED"))),"READY","INCOMPLETE / BASIS"))</f>
        <v/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 t="str">
        <f aca="false">IF(A90="","",IF(AND(COUNTIF(A$4:A$203,A90)=1,B90&lt;&gt;"",COUNTIF(03_Пакеты!$A$4:$A$203,B90)=1,C90&lt;&gt;"",E90&lt;&gt;"",ISNUMBER(F90),F90&gt;=0,G90&lt;&gt;"",G90=01_Основания!$B$8,H90&lt;&gt;"",H90=01_Основания!$B$9,I90&lt;&gt;"",J90&lt;&gt;"",COUNTIF(13_Источники!$A$4:$A$203,J90)=1,K90&lt;&gt;"",M90&lt;&gt;"",01_Основания!$B$10&lt;&gt;"",OR(AND(F90&gt;0,L90="KNOWN"),AND(F90=0,L90="ZERO_CONFIRMED"))),"READY","INCOMPLETE / BASIS"))</f>
        <v/>
      </c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 t="str">
        <f aca="false">IF(A91="","",IF(AND(COUNTIF(A$4:A$203,A91)=1,B91&lt;&gt;"",COUNTIF(03_Пакеты!$A$4:$A$203,B91)=1,C91&lt;&gt;"",E91&lt;&gt;"",ISNUMBER(F91),F91&gt;=0,G91&lt;&gt;"",G91=01_Основания!$B$8,H91&lt;&gt;"",H91=01_Основания!$B$9,I91&lt;&gt;"",J91&lt;&gt;"",COUNTIF(13_Источники!$A$4:$A$203,J91)=1,K91&lt;&gt;"",M91&lt;&gt;"",01_Основания!$B$10&lt;&gt;"",OR(AND(F91&gt;0,L91="KNOWN"),AND(F91=0,L91="ZERO_CONFIRMED"))),"READY","INCOMPLETE / BASIS"))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 t="str">
        <f aca="false">IF(A92="","",IF(AND(COUNTIF(A$4:A$203,A92)=1,B92&lt;&gt;"",COUNTIF(03_Пакеты!$A$4:$A$203,B92)=1,C92&lt;&gt;"",E92&lt;&gt;"",ISNUMBER(F92),F92&gt;=0,G92&lt;&gt;"",G92=01_Основания!$B$8,H92&lt;&gt;"",H92=01_Основания!$B$9,I92&lt;&gt;"",J92&lt;&gt;"",COUNTIF(13_Источники!$A$4:$A$203,J92)=1,K92&lt;&gt;"",M92&lt;&gt;"",01_Основания!$B$10&lt;&gt;"",OR(AND(F92&gt;0,L92="KNOWN"),AND(F92=0,L92="ZERO_CONFIRMED"))),"READY","INCOMPLETE / BASIS"))</f>
        <v/>
      </c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 t="str">
        <f aca="false">IF(A93="","",IF(AND(COUNTIF(A$4:A$203,A93)=1,B93&lt;&gt;"",COUNTIF(03_Пакеты!$A$4:$A$203,B93)=1,C93&lt;&gt;"",E93&lt;&gt;"",ISNUMBER(F93),F93&gt;=0,G93&lt;&gt;"",G93=01_Основания!$B$8,H93&lt;&gt;"",H93=01_Основания!$B$9,I93&lt;&gt;"",J93&lt;&gt;"",COUNTIF(13_Источники!$A$4:$A$203,J93)=1,K93&lt;&gt;"",M93&lt;&gt;"",01_Основания!$B$10&lt;&gt;"",OR(AND(F93&gt;0,L93="KNOWN"),AND(F93=0,L93="ZERO_CONFIRMED"))),"READY","INCOMPLETE / BASIS"))</f>
        <v/>
      </c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 t="str">
        <f aca="false">IF(A94="","",IF(AND(COUNTIF(A$4:A$203,A94)=1,B94&lt;&gt;"",COUNTIF(03_Пакеты!$A$4:$A$203,B94)=1,C94&lt;&gt;"",E94&lt;&gt;"",ISNUMBER(F94),F94&gt;=0,G94&lt;&gt;"",G94=01_Основания!$B$8,H94&lt;&gt;"",H94=01_Основания!$B$9,I94&lt;&gt;"",J94&lt;&gt;"",COUNTIF(13_Источники!$A$4:$A$203,J94)=1,K94&lt;&gt;"",M94&lt;&gt;"",01_Основания!$B$10&lt;&gt;"",OR(AND(F94&gt;0,L94="KNOWN"),AND(F94=0,L94="ZERO_CONFIRMED"))),"READY","INCOMPLETE / BASIS"))</f>
        <v/>
      </c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 t="str">
        <f aca="false">IF(A95="","",IF(AND(COUNTIF(A$4:A$203,A95)=1,B95&lt;&gt;"",COUNTIF(03_Пакеты!$A$4:$A$203,B95)=1,C95&lt;&gt;"",E95&lt;&gt;"",ISNUMBER(F95),F95&gt;=0,G95&lt;&gt;"",G95=01_Основания!$B$8,H95&lt;&gt;"",H95=01_Основания!$B$9,I95&lt;&gt;"",J95&lt;&gt;"",COUNTIF(13_Источники!$A$4:$A$203,J95)=1,K95&lt;&gt;"",M95&lt;&gt;"",01_Основания!$B$10&lt;&gt;"",OR(AND(F95&gt;0,L95="KNOWN"),AND(F95=0,L95="ZERO_CONFIRMED"))),"READY","INCOMPLETE / BASIS"))</f>
        <v/>
      </c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 t="str">
        <f aca="false">IF(A96="","",IF(AND(COUNTIF(A$4:A$203,A96)=1,B96&lt;&gt;"",COUNTIF(03_Пакеты!$A$4:$A$203,B96)=1,C96&lt;&gt;"",E96&lt;&gt;"",ISNUMBER(F96),F96&gt;=0,G96&lt;&gt;"",G96=01_Основания!$B$8,H96&lt;&gt;"",H96=01_Основания!$B$9,I96&lt;&gt;"",J96&lt;&gt;"",COUNTIF(13_Источники!$A$4:$A$203,J96)=1,K96&lt;&gt;"",M96&lt;&gt;"",01_Основания!$B$10&lt;&gt;"",OR(AND(F96&gt;0,L96="KNOWN"),AND(F96=0,L96="ZERO_CONFIRMED"))),"READY","INCOMPLETE / BASIS"))</f>
        <v/>
      </c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 t="str">
        <f aca="false">IF(A97="","",IF(AND(COUNTIF(A$4:A$203,A97)=1,B97&lt;&gt;"",COUNTIF(03_Пакеты!$A$4:$A$203,B97)=1,C97&lt;&gt;"",E97&lt;&gt;"",ISNUMBER(F97),F97&gt;=0,G97&lt;&gt;"",G97=01_Основания!$B$8,H97&lt;&gt;"",H97=01_Основания!$B$9,I97&lt;&gt;"",J97&lt;&gt;"",COUNTIF(13_Источники!$A$4:$A$203,J97)=1,K97&lt;&gt;"",M97&lt;&gt;"",01_Основания!$B$10&lt;&gt;"",OR(AND(F97&gt;0,L97="KNOWN"),AND(F97=0,L97="ZERO_CONFIRMED"))),"READY","INCOMPLETE / BASIS"))</f>
        <v/>
      </c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 t="str">
        <f aca="false">IF(A98="","",IF(AND(COUNTIF(A$4:A$203,A98)=1,B98&lt;&gt;"",COUNTIF(03_Пакеты!$A$4:$A$203,B98)=1,C98&lt;&gt;"",E98&lt;&gt;"",ISNUMBER(F98),F98&gt;=0,G98&lt;&gt;"",G98=01_Основания!$B$8,H98&lt;&gt;"",H98=01_Основания!$B$9,I98&lt;&gt;"",J98&lt;&gt;"",COUNTIF(13_Источники!$A$4:$A$203,J98)=1,K98&lt;&gt;"",M98&lt;&gt;"",01_Основания!$B$10&lt;&gt;"",OR(AND(F98&gt;0,L98="KNOWN"),AND(F98=0,L98="ZERO_CONFIRMED"))),"READY","INCOMPLETE / BASIS"))</f>
        <v/>
      </c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 t="str">
        <f aca="false">IF(A99="","",IF(AND(COUNTIF(A$4:A$203,A99)=1,B99&lt;&gt;"",COUNTIF(03_Пакеты!$A$4:$A$203,B99)=1,C99&lt;&gt;"",E99&lt;&gt;"",ISNUMBER(F99),F99&gt;=0,G99&lt;&gt;"",G99=01_Основания!$B$8,H99&lt;&gt;"",H99=01_Основания!$B$9,I99&lt;&gt;"",J99&lt;&gt;"",COUNTIF(13_Источники!$A$4:$A$203,J99)=1,K99&lt;&gt;"",M99&lt;&gt;"",01_Основания!$B$10&lt;&gt;"",OR(AND(F99&gt;0,L99="KNOWN"),AND(F99=0,L99="ZERO_CONFIRMED"))),"READY","INCOMPLETE / BASIS"))</f>
        <v/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 t="str">
        <f aca="false">IF(A100="","",IF(AND(COUNTIF(A$4:A$203,A100)=1,B100&lt;&gt;"",COUNTIF(03_Пакеты!$A$4:$A$203,B100)=1,C100&lt;&gt;"",E100&lt;&gt;"",ISNUMBER(F100),F100&gt;=0,G100&lt;&gt;"",G100=01_Основания!$B$8,H100&lt;&gt;"",H100=01_Основания!$B$9,I100&lt;&gt;"",J100&lt;&gt;"",COUNTIF(13_Источники!$A$4:$A$203,J100)=1,K100&lt;&gt;"",M100&lt;&gt;"",01_Основания!$B$10&lt;&gt;"",OR(AND(F100&gt;0,L100="KNOWN"),AND(F100=0,L100="ZERO_CONFIRMED"))),"READY","INCOMPLETE / BASIS"))</f>
        <v/>
      </c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 t="str">
        <f aca="false">IF(A101="","",IF(AND(COUNTIF(A$4:A$203,A101)=1,B101&lt;&gt;"",COUNTIF(03_Пакеты!$A$4:$A$203,B101)=1,C101&lt;&gt;"",E101&lt;&gt;"",ISNUMBER(F101),F101&gt;=0,G101&lt;&gt;"",G101=01_Основания!$B$8,H101&lt;&gt;"",H101=01_Основания!$B$9,I101&lt;&gt;"",J101&lt;&gt;"",COUNTIF(13_Источники!$A$4:$A$203,J101)=1,K101&lt;&gt;"",M101&lt;&gt;"",01_Основания!$B$10&lt;&gt;"",OR(AND(F101&gt;0,L101="KNOWN"),AND(F101=0,L101="ZERO_CONFIRMED"))),"READY","INCOMPLETE / BASIS"))</f>
        <v/>
      </c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 t="str">
        <f aca="false">IF(A102="","",IF(AND(COUNTIF(A$4:A$203,A102)=1,B102&lt;&gt;"",COUNTIF(03_Пакеты!$A$4:$A$203,B102)=1,C102&lt;&gt;"",E102&lt;&gt;"",ISNUMBER(F102),F102&gt;=0,G102&lt;&gt;"",G102=01_Основания!$B$8,H102&lt;&gt;"",H102=01_Основания!$B$9,I102&lt;&gt;"",J102&lt;&gt;"",COUNTIF(13_Источники!$A$4:$A$203,J102)=1,K102&lt;&gt;"",M102&lt;&gt;"",01_Основания!$B$10&lt;&gt;"",OR(AND(F102&gt;0,L102="KNOWN"),AND(F102=0,L102="ZERO_CONFIRMED"))),"READY","INCOMPLETE / BASIS"))</f>
        <v/>
      </c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 t="str">
        <f aca="false">IF(A103="","",IF(AND(COUNTIF(A$4:A$203,A103)=1,B103&lt;&gt;"",COUNTIF(03_Пакеты!$A$4:$A$203,B103)=1,C103&lt;&gt;"",E103&lt;&gt;"",ISNUMBER(F103),F103&gt;=0,G103&lt;&gt;"",G103=01_Основания!$B$8,H103&lt;&gt;"",H103=01_Основания!$B$9,I103&lt;&gt;"",J103&lt;&gt;"",COUNTIF(13_Источники!$A$4:$A$203,J103)=1,K103&lt;&gt;"",M103&lt;&gt;"",01_Основания!$B$10&lt;&gt;"",OR(AND(F103&gt;0,L103="KNOWN"),AND(F103=0,L103="ZERO_CONFIRMED"))),"READY","INCOMPLETE / BASIS"))</f>
        <v/>
      </c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 t="str">
        <f aca="false">IF(A104="","",IF(AND(COUNTIF(A$4:A$203,A104)=1,B104&lt;&gt;"",COUNTIF(03_Пакеты!$A$4:$A$203,B104)=1,C104&lt;&gt;"",E104&lt;&gt;"",ISNUMBER(F104),F104&gt;=0,G104&lt;&gt;"",G104=01_Основания!$B$8,H104&lt;&gt;"",H104=01_Основания!$B$9,I104&lt;&gt;"",J104&lt;&gt;"",COUNTIF(13_Источники!$A$4:$A$203,J104)=1,K104&lt;&gt;"",M104&lt;&gt;"",01_Основания!$B$10&lt;&gt;"",OR(AND(F104&gt;0,L104="KNOWN"),AND(F104=0,L104="ZERO_CONFIRMED"))),"READY","INCOMPLETE / BASIS"))</f>
        <v/>
      </c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 t="str">
        <f aca="false">IF(A105="","",IF(AND(COUNTIF(A$4:A$203,A105)=1,B105&lt;&gt;"",COUNTIF(03_Пакеты!$A$4:$A$203,B105)=1,C105&lt;&gt;"",E105&lt;&gt;"",ISNUMBER(F105),F105&gt;=0,G105&lt;&gt;"",G105=01_Основания!$B$8,H105&lt;&gt;"",H105=01_Основания!$B$9,I105&lt;&gt;"",J105&lt;&gt;"",COUNTIF(13_Источники!$A$4:$A$203,J105)=1,K105&lt;&gt;"",M105&lt;&gt;"",01_Основания!$B$10&lt;&gt;"",OR(AND(F105&gt;0,L105="KNOWN"),AND(F105=0,L105="ZERO_CONFIRMED"))),"READY","INCOMPLETE / BASIS"))</f>
        <v/>
      </c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 t="str">
        <f aca="false">IF(A106="","",IF(AND(COUNTIF(A$4:A$203,A106)=1,B106&lt;&gt;"",COUNTIF(03_Пакеты!$A$4:$A$203,B106)=1,C106&lt;&gt;"",E106&lt;&gt;"",ISNUMBER(F106),F106&gt;=0,G106&lt;&gt;"",G106=01_Основания!$B$8,H106&lt;&gt;"",H106=01_Основания!$B$9,I106&lt;&gt;"",J106&lt;&gt;"",COUNTIF(13_Источники!$A$4:$A$203,J106)=1,K106&lt;&gt;"",M106&lt;&gt;"",01_Основания!$B$10&lt;&gt;"",OR(AND(F106&gt;0,L106="KNOWN"),AND(F106=0,L106="ZERO_CONFIRMED"))),"READY","INCOMPLETE / BASIS"))</f>
        <v/>
      </c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 t="str">
        <f aca="false">IF(A107="","",IF(AND(COUNTIF(A$4:A$203,A107)=1,B107&lt;&gt;"",COUNTIF(03_Пакеты!$A$4:$A$203,B107)=1,C107&lt;&gt;"",E107&lt;&gt;"",ISNUMBER(F107),F107&gt;=0,G107&lt;&gt;"",G107=01_Основания!$B$8,H107&lt;&gt;"",H107=01_Основания!$B$9,I107&lt;&gt;"",J107&lt;&gt;"",COUNTIF(13_Источники!$A$4:$A$203,J107)=1,K107&lt;&gt;"",M107&lt;&gt;"",01_Основания!$B$10&lt;&gt;"",OR(AND(F107&gt;0,L107="KNOWN"),AND(F107=0,L107="ZERO_CONFIRMED"))),"READY","INCOMPLETE / BASIS"))</f>
        <v/>
      </c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 t="str">
        <f aca="false">IF(A108="","",IF(AND(COUNTIF(A$4:A$203,A108)=1,B108&lt;&gt;"",COUNTIF(03_Пакеты!$A$4:$A$203,B108)=1,C108&lt;&gt;"",E108&lt;&gt;"",ISNUMBER(F108),F108&gt;=0,G108&lt;&gt;"",G108=01_Основания!$B$8,H108&lt;&gt;"",H108=01_Основания!$B$9,I108&lt;&gt;"",J108&lt;&gt;"",COUNTIF(13_Источники!$A$4:$A$203,J108)=1,K108&lt;&gt;"",M108&lt;&gt;"",01_Основания!$B$10&lt;&gt;"",OR(AND(F108&gt;0,L108="KNOWN"),AND(F108=0,L108="ZERO_CONFIRMED"))),"READY","INCOMPLETE / BASIS"))</f>
        <v/>
      </c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 t="str">
        <f aca="false">IF(A109="","",IF(AND(COUNTIF(A$4:A$203,A109)=1,B109&lt;&gt;"",COUNTIF(03_Пакеты!$A$4:$A$203,B109)=1,C109&lt;&gt;"",E109&lt;&gt;"",ISNUMBER(F109),F109&gt;=0,G109&lt;&gt;"",G109=01_Основания!$B$8,H109&lt;&gt;"",H109=01_Основания!$B$9,I109&lt;&gt;"",J109&lt;&gt;"",COUNTIF(13_Источники!$A$4:$A$203,J109)=1,K109&lt;&gt;"",M109&lt;&gt;"",01_Основания!$B$10&lt;&gt;"",OR(AND(F109&gt;0,L109="KNOWN"),AND(F109=0,L109="ZERO_CONFIRMED"))),"READY","INCOMPLETE / BASIS"))</f>
        <v/>
      </c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 t="str">
        <f aca="false">IF(A110="","",IF(AND(COUNTIF(A$4:A$203,A110)=1,B110&lt;&gt;"",COUNTIF(03_Пакеты!$A$4:$A$203,B110)=1,C110&lt;&gt;"",E110&lt;&gt;"",ISNUMBER(F110),F110&gt;=0,G110&lt;&gt;"",G110=01_Основания!$B$8,H110&lt;&gt;"",H110=01_Основания!$B$9,I110&lt;&gt;"",J110&lt;&gt;"",COUNTIF(13_Источники!$A$4:$A$203,J110)=1,K110&lt;&gt;"",M110&lt;&gt;"",01_Основания!$B$10&lt;&gt;"",OR(AND(F110&gt;0,L110="KNOWN"),AND(F110=0,L110="ZERO_CONFIRMED"))),"READY","INCOMPLETE / BASIS"))</f>
        <v/>
      </c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 t="str">
        <f aca="false">IF(A111="","",IF(AND(COUNTIF(A$4:A$203,A111)=1,B111&lt;&gt;"",COUNTIF(03_Пакеты!$A$4:$A$203,B111)=1,C111&lt;&gt;"",E111&lt;&gt;"",ISNUMBER(F111),F111&gt;=0,G111&lt;&gt;"",G111=01_Основания!$B$8,H111&lt;&gt;"",H111=01_Основания!$B$9,I111&lt;&gt;"",J111&lt;&gt;"",COUNTIF(13_Источники!$A$4:$A$203,J111)=1,K111&lt;&gt;"",M111&lt;&gt;"",01_Основания!$B$10&lt;&gt;"",OR(AND(F111&gt;0,L111="KNOWN"),AND(F111=0,L111="ZERO_CONFIRMED"))),"READY","INCOMPLETE / BASIS"))</f>
        <v/>
      </c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 t="str">
        <f aca="false">IF(A112="","",IF(AND(COUNTIF(A$4:A$203,A112)=1,B112&lt;&gt;"",COUNTIF(03_Пакеты!$A$4:$A$203,B112)=1,C112&lt;&gt;"",E112&lt;&gt;"",ISNUMBER(F112),F112&gt;=0,G112&lt;&gt;"",G112=01_Основания!$B$8,H112&lt;&gt;"",H112=01_Основания!$B$9,I112&lt;&gt;"",J112&lt;&gt;"",COUNTIF(13_Источники!$A$4:$A$203,J112)=1,K112&lt;&gt;"",M112&lt;&gt;"",01_Основания!$B$10&lt;&gt;"",OR(AND(F112&gt;0,L112="KNOWN"),AND(F112=0,L112="ZERO_CONFIRMED"))),"READY","INCOMPLETE / BASIS"))</f>
        <v/>
      </c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 t="str">
        <f aca="false">IF(A113="","",IF(AND(COUNTIF(A$4:A$203,A113)=1,B113&lt;&gt;"",COUNTIF(03_Пакеты!$A$4:$A$203,B113)=1,C113&lt;&gt;"",E113&lt;&gt;"",ISNUMBER(F113),F113&gt;=0,G113&lt;&gt;"",G113=01_Основания!$B$8,H113&lt;&gt;"",H113=01_Основания!$B$9,I113&lt;&gt;"",J113&lt;&gt;"",COUNTIF(13_Источники!$A$4:$A$203,J113)=1,K113&lt;&gt;"",M113&lt;&gt;"",01_Основания!$B$10&lt;&gt;"",OR(AND(F113&gt;0,L113="KNOWN"),AND(F113=0,L113="ZERO_CONFIRMED"))),"READY","INCOMPLETE / BASIS"))</f>
        <v/>
      </c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 t="str">
        <f aca="false">IF(A114="","",IF(AND(COUNTIF(A$4:A$203,A114)=1,B114&lt;&gt;"",COUNTIF(03_Пакеты!$A$4:$A$203,B114)=1,C114&lt;&gt;"",E114&lt;&gt;"",ISNUMBER(F114),F114&gt;=0,G114&lt;&gt;"",G114=01_Основания!$B$8,H114&lt;&gt;"",H114=01_Основания!$B$9,I114&lt;&gt;"",J114&lt;&gt;"",COUNTIF(13_Источники!$A$4:$A$203,J114)=1,K114&lt;&gt;"",M114&lt;&gt;"",01_Основания!$B$10&lt;&gt;"",OR(AND(F114&gt;0,L114="KNOWN"),AND(F114=0,L114="ZERO_CONFIRMED"))),"READY","INCOMPLETE / BASIS"))</f>
        <v/>
      </c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 t="str">
        <f aca="false">IF(A115="","",IF(AND(COUNTIF(A$4:A$203,A115)=1,B115&lt;&gt;"",COUNTIF(03_Пакеты!$A$4:$A$203,B115)=1,C115&lt;&gt;"",E115&lt;&gt;"",ISNUMBER(F115),F115&gt;=0,G115&lt;&gt;"",G115=01_Основания!$B$8,H115&lt;&gt;"",H115=01_Основания!$B$9,I115&lt;&gt;"",J115&lt;&gt;"",COUNTIF(13_Источники!$A$4:$A$203,J115)=1,K115&lt;&gt;"",M115&lt;&gt;"",01_Основания!$B$10&lt;&gt;"",OR(AND(F115&gt;0,L115="KNOWN"),AND(F115=0,L115="ZERO_CONFIRMED"))),"READY","INCOMPLETE / BASIS"))</f>
        <v/>
      </c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 t="str">
        <f aca="false">IF(A116="","",IF(AND(COUNTIF(A$4:A$203,A116)=1,B116&lt;&gt;"",COUNTIF(03_Пакеты!$A$4:$A$203,B116)=1,C116&lt;&gt;"",E116&lt;&gt;"",ISNUMBER(F116),F116&gt;=0,G116&lt;&gt;"",G116=01_Основания!$B$8,H116&lt;&gt;"",H116=01_Основания!$B$9,I116&lt;&gt;"",J116&lt;&gt;"",COUNTIF(13_Источники!$A$4:$A$203,J116)=1,K116&lt;&gt;"",M116&lt;&gt;"",01_Основания!$B$10&lt;&gt;"",OR(AND(F116&gt;0,L116="KNOWN"),AND(F116=0,L116="ZERO_CONFIRMED"))),"READY","INCOMPLETE / BASIS"))</f>
        <v/>
      </c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 t="str">
        <f aca="false">IF(A117="","",IF(AND(COUNTIF(A$4:A$203,A117)=1,B117&lt;&gt;"",COUNTIF(03_Пакеты!$A$4:$A$203,B117)=1,C117&lt;&gt;"",E117&lt;&gt;"",ISNUMBER(F117),F117&gt;=0,G117&lt;&gt;"",G117=01_Основания!$B$8,H117&lt;&gt;"",H117=01_Основания!$B$9,I117&lt;&gt;"",J117&lt;&gt;"",COUNTIF(13_Источники!$A$4:$A$203,J117)=1,K117&lt;&gt;"",M117&lt;&gt;"",01_Основания!$B$10&lt;&gt;"",OR(AND(F117&gt;0,L117="KNOWN"),AND(F117=0,L117="ZERO_CONFIRMED"))),"READY","INCOMPLETE / BASIS"))</f>
        <v/>
      </c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 t="str">
        <f aca="false">IF(A118="","",IF(AND(COUNTIF(A$4:A$203,A118)=1,B118&lt;&gt;"",COUNTIF(03_Пакеты!$A$4:$A$203,B118)=1,C118&lt;&gt;"",E118&lt;&gt;"",ISNUMBER(F118),F118&gt;=0,G118&lt;&gt;"",G118=01_Основания!$B$8,H118&lt;&gt;"",H118=01_Основания!$B$9,I118&lt;&gt;"",J118&lt;&gt;"",COUNTIF(13_Источники!$A$4:$A$203,J118)=1,K118&lt;&gt;"",M118&lt;&gt;"",01_Основания!$B$10&lt;&gt;"",OR(AND(F118&gt;0,L118="KNOWN"),AND(F118=0,L118="ZERO_CONFIRMED"))),"READY","INCOMPLETE / BASIS"))</f>
        <v/>
      </c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 t="str">
        <f aca="false">IF(A119="","",IF(AND(COUNTIF(A$4:A$203,A119)=1,B119&lt;&gt;"",COUNTIF(03_Пакеты!$A$4:$A$203,B119)=1,C119&lt;&gt;"",E119&lt;&gt;"",ISNUMBER(F119),F119&gt;=0,G119&lt;&gt;"",G119=01_Основания!$B$8,H119&lt;&gt;"",H119=01_Основания!$B$9,I119&lt;&gt;"",J119&lt;&gt;"",COUNTIF(13_Источники!$A$4:$A$203,J119)=1,K119&lt;&gt;"",M119&lt;&gt;"",01_Основания!$B$10&lt;&gt;"",OR(AND(F119&gt;0,L119="KNOWN"),AND(F119=0,L119="ZERO_CONFIRMED"))),"READY","INCOMPLETE / BASIS"))</f>
        <v/>
      </c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 t="str">
        <f aca="false">IF(A120="","",IF(AND(COUNTIF(A$4:A$203,A120)=1,B120&lt;&gt;"",COUNTIF(03_Пакеты!$A$4:$A$203,B120)=1,C120&lt;&gt;"",E120&lt;&gt;"",ISNUMBER(F120),F120&gt;=0,G120&lt;&gt;"",G120=01_Основания!$B$8,H120&lt;&gt;"",H120=01_Основания!$B$9,I120&lt;&gt;"",J120&lt;&gt;"",COUNTIF(13_Источники!$A$4:$A$203,J120)=1,K120&lt;&gt;"",M120&lt;&gt;"",01_Основания!$B$10&lt;&gt;"",OR(AND(F120&gt;0,L120="KNOWN"),AND(F120=0,L120="ZERO_CONFIRMED"))),"READY","INCOMPLETE / BASIS"))</f>
        <v/>
      </c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 t="str">
        <f aca="false">IF(A121="","",IF(AND(COUNTIF(A$4:A$203,A121)=1,B121&lt;&gt;"",COUNTIF(03_Пакеты!$A$4:$A$203,B121)=1,C121&lt;&gt;"",E121&lt;&gt;"",ISNUMBER(F121),F121&gt;=0,G121&lt;&gt;"",G121=01_Основания!$B$8,H121&lt;&gt;"",H121=01_Основания!$B$9,I121&lt;&gt;"",J121&lt;&gt;"",COUNTIF(13_Источники!$A$4:$A$203,J121)=1,K121&lt;&gt;"",M121&lt;&gt;"",01_Основания!$B$10&lt;&gt;"",OR(AND(F121&gt;0,L121="KNOWN"),AND(F121=0,L121="ZERO_CONFIRMED"))),"READY","INCOMPLETE / BASIS"))</f>
        <v/>
      </c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 t="str">
        <f aca="false">IF(A122="","",IF(AND(COUNTIF(A$4:A$203,A122)=1,B122&lt;&gt;"",COUNTIF(03_Пакеты!$A$4:$A$203,B122)=1,C122&lt;&gt;"",E122&lt;&gt;"",ISNUMBER(F122),F122&gt;=0,G122&lt;&gt;"",G122=01_Основания!$B$8,H122&lt;&gt;"",H122=01_Основания!$B$9,I122&lt;&gt;"",J122&lt;&gt;"",COUNTIF(13_Источники!$A$4:$A$203,J122)=1,K122&lt;&gt;"",M122&lt;&gt;"",01_Основания!$B$10&lt;&gt;"",OR(AND(F122&gt;0,L122="KNOWN"),AND(F122=0,L122="ZERO_CONFIRMED"))),"READY","INCOMPLETE / BASIS"))</f>
        <v/>
      </c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 t="str">
        <f aca="false">IF(A123="","",IF(AND(COUNTIF(A$4:A$203,A123)=1,B123&lt;&gt;"",COUNTIF(03_Пакеты!$A$4:$A$203,B123)=1,C123&lt;&gt;"",E123&lt;&gt;"",ISNUMBER(F123),F123&gt;=0,G123&lt;&gt;"",G123=01_Основания!$B$8,H123&lt;&gt;"",H123=01_Основания!$B$9,I123&lt;&gt;"",J123&lt;&gt;"",COUNTIF(13_Источники!$A$4:$A$203,J123)=1,K123&lt;&gt;"",M123&lt;&gt;"",01_Основания!$B$10&lt;&gt;"",OR(AND(F123&gt;0,L123="KNOWN"),AND(F123=0,L123="ZERO_CONFIRMED"))),"READY","INCOMPLETE / BASIS"))</f>
        <v/>
      </c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 t="str">
        <f aca="false">IF(A124="","",IF(AND(COUNTIF(A$4:A$203,A124)=1,B124&lt;&gt;"",COUNTIF(03_Пакеты!$A$4:$A$203,B124)=1,C124&lt;&gt;"",E124&lt;&gt;"",ISNUMBER(F124),F124&gt;=0,G124&lt;&gt;"",G124=01_Основания!$B$8,H124&lt;&gt;"",H124=01_Основания!$B$9,I124&lt;&gt;"",J124&lt;&gt;"",COUNTIF(13_Источники!$A$4:$A$203,J124)=1,K124&lt;&gt;"",M124&lt;&gt;"",01_Основания!$B$10&lt;&gt;"",OR(AND(F124&gt;0,L124="KNOWN"),AND(F124=0,L124="ZERO_CONFIRMED"))),"READY","INCOMPLETE / BASIS"))</f>
        <v/>
      </c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 t="str">
        <f aca="false">IF(A125="","",IF(AND(COUNTIF(A$4:A$203,A125)=1,B125&lt;&gt;"",COUNTIF(03_Пакеты!$A$4:$A$203,B125)=1,C125&lt;&gt;"",E125&lt;&gt;"",ISNUMBER(F125),F125&gt;=0,G125&lt;&gt;"",G125=01_Основания!$B$8,H125&lt;&gt;"",H125=01_Основания!$B$9,I125&lt;&gt;"",J125&lt;&gt;"",COUNTIF(13_Источники!$A$4:$A$203,J125)=1,K125&lt;&gt;"",M125&lt;&gt;"",01_Основания!$B$10&lt;&gt;"",OR(AND(F125&gt;0,L125="KNOWN"),AND(F125=0,L125="ZERO_CONFIRMED"))),"READY","INCOMPLETE / BASIS"))</f>
        <v/>
      </c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 t="str">
        <f aca="false">IF(A126="","",IF(AND(COUNTIF(A$4:A$203,A126)=1,B126&lt;&gt;"",COUNTIF(03_Пакеты!$A$4:$A$203,B126)=1,C126&lt;&gt;"",E126&lt;&gt;"",ISNUMBER(F126),F126&gt;=0,G126&lt;&gt;"",G126=01_Основания!$B$8,H126&lt;&gt;"",H126=01_Основания!$B$9,I126&lt;&gt;"",J126&lt;&gt;"",COUNTIF(13_Источники!$A$4:$A$203,J126)=1,K126&lt;&gt;"",M126&lt;&gt;"",01_Основания!$B$10&lt;&gt;"",OR(AND(F126&gt;0,L126="KNOWN"),AND(F126=0,L126="ZERO_CONFIRMED"))),"READY","INCOMPLETE / BASIS"))</f>
        <v/>
      </c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 t="str">
        <f aca="false">IF(A127="","",IF(AND(COUNTIF(A$4:A$203,A127)=1,B127&lt;&gt;"",COUNTIF(03_Пакеты!$A$4:$A$203,B127)=1,C127&lt;&gt;"",E127&lt;&gt;"",ISNUMBER(F127),F127&gt;=0,G127&lt;&gt;"",G127=01_Основания!$B$8,H127&lt;&gt;"",H127=01_Основания!$B$9,I127&lt;&gt;"",J127&lt;&gt;"",COUNTIF(13_Источники!$A$4:$A$203,J127)=1,K127&lt;&gt;"",M127&lt;&gt;"",01_Основания!$B$10&lt;&gt;"",OR(AND(F127&gt;0,L127="KNOWN"),AND(F127=0,L127="ZERO_CONFIRMED"))),"READY","INCOMPLETE / BASIS"))</f>
        <v/>
      </c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 t="str">
        <f aca="false">IF(A128="","",IF(AND(COUNTIF(A$4:A$203,A128)=1,B128&lt;&gt;"",COUNTIF(03_Пакеты!$A$4:$A$203,B128)=1,C128&lt;&gt;"",E128&lt;&gt;"",ISNUMBER(F128),F128&gt;=0,G128&lt;&gt;"",G128=01_Основания!$B$8,H128&lt;&gt;"",H128=01_Основания!$B$9,I128&lt;&gt;"",J128&lt;&gt;"",COUNTIF(13_Источники!$A$4:$A$203,J128)=1,K128&lt;&gt;"",M128&lt;&gt;"",01_Основания!$B$10&lt;&gt;"",OR(AND(F128&gt;0,L128="KNOWN"),AND(F128=0,L128="ZERO_CONFIRMED"))),"READY","INCOMPLETE / BASIS"))</f>
        <v/>
      </c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 t="str">
        <f aca="false">IF(A129="","",IF(AND(COUNTIF(A$4:A$203,A129)=1,B129&lt;&gt;"",COUNTIF(03_Пакеты!$A$4:$A$203,B129)=1,C129&lt;&gt;"",E129&lt;&gt;"",ISNUMBER(F129),F129&gt;=0,G129&lt;&gt;"",G129=01_Основания!$B$8,H129&lt;&gt;"",H129=01_Основания!$B$9,I129&lt;&gt;"",J129&lt;&gt;"",COUNTIF(13_Источники!$A$4:$A$203,J129)=1,K129&lt;&gt;"",M129&lt;&gt;"",01_Основания!$B$10&lt;&gt;"",OR(AND(F129&gt;0,L129="KNOWN"),AND(F129=0,L129="ZERO_CONFIRMED"))),"READY","INCOMPLETE / BASIS"))</f>
        <v/>
      </c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 t="str">
        <f aca="false">IF(A130="","",IF(AND(COUNTIF(A$4:A$203,A130)=1,B130&lt;&gt;"",COUNTIF(03_Пакеты!$A$4:$A$203,B130)=1,C130&lt;&gt;"",E130&lt;&gt;"",ISNUMBER(F130),F130&gt;=0,G130&lt;&gt;"",G130=01_Основания!$B$8,H130&lt;&gt;"",H130=01_Основания!$B$9,I130&lt;&gt;"",J130&lt;&gt;"",COUNTIF(13_Источники!$A$4:$A$203,J130)=1,K130&lt;&gt;"",M130&lt;&gt;"",01_Основания!$B$10&lt;&gt;"",OR(AND(F130&gt;0,L130="KNOWN"),AND(F130=0,L130="ZERO_CONFIRMED"))),"READY","INCOMPLETE / BASIS"))</f>
        <v/>
      </c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 t="str">
        <f aca="false">IF(A131="","",IF(AND(COUNTIF(A$4:A$203,A131)=1,B131&lt;&gt;"",COUNTIF(03_Пакеты!$A$4:$A$203,B131)=1,C131&lt;&gt;"",E131&lt;&gt;"",ISNUMBER(F131),F131&gt;=0,G131&lt;&gt;"",G131=01_Основания!$B$8,H131&lt;&gt;"",H131=01_Основания!$B$9,I131&lt;&gt;"",J131&lt;&gt;"",COUNTIF(13_Источники!$A$4:$A$203,J131)=1,K131&lt;&gt;"",M131&lt;&gt;"",01_Основания!$B$10&lt;&gt;"",OR(AND(F131&gt;0,L131="KNOWN"),AND(F131=0,L131="ZERO_CONFIRMED"))),"READY","INCOMPLETE / BASIS"))</f>
        <v/>
      </c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 t="str">
        <f aca="false">IF(A132="","",IF(AND(COUNTIF(A$4:A$203,A132)=1,B132&lt;&gt;"",COUNTIF(03_Пакеты!$A$4:$A$203,B132)=1,C132&lt;&gt;"",E132&lt;&gt;"",ISNUMBER(F132),F132&gt;=0,G132&lt;&gt;"",G132=01_Основания!$B$8,H132&lt;&gt;"",H132=01_Основания!$B$9,I132&lt;&gt;"",J132&lt;&gt;"",COUNTIF(13_Источники!$A$4:$A$203,J132)=1,K132&lt;&gt;"",M132&lt;&gt;"",01_Основания!$B$10&lt;&gt;"",OR(AND(F132&gt;0,L132="KNOWN"),AND(F132=0,L132="ZERO_CONFIRMED"))),"READY","INCOMPLETE / BASIS"))</f>
        <v/>
      </c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 t="str">
        <f aca="false">IF(A133="","",IF(AND(COUNTIF(A$4:A$203,A133)=1,B133&lt;&gt;"",COUNTIF(03_Пакеты!$A$4:$A$203,B133)=1,C133&lt;&gt;"",E133&lt;&gt;"",ISNUMBER(F133),F133&gt;=0,G133&lt;&gt;"",G133=01_Основания!$B$8,H133&lt;&gt;"",H133=01_Основания!$B$9,I133&lt;&gt;"",J133&lt;&gt;"",COUNTIF(13_Источники!$A$4:$A$203,J133)=1,K133&lt;&gt;"",M133&lt;&gt;"",01_Основания!$B$10&lt;&gt;"",OR(AND(F133&gt;0,L133="KNOWN"),AND(F133=0,L133="ZERO_CONFIRMED"))),"READY","INCOMPLETE / BASIS"))</f>
        <v/>
      </c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 t="str">
        <f aca="false">IF(A134="","",IF(AND(COUNTIF(A$4:A$203,A134)=1,B134&lt;&gt;"",COUNTIF(03_Пакеты!$A$4:$A$203,B134)=1,C134&lt;&gt;"",E134&lt;&gt;"",ISNUMBER(F134),F134&gt;=0,G134&lt;&gt;"",G134=01_Основания!$B$8,H134&lt;&gt;"",H134=01_Основания!$B$9,I134&lt;&gt;"",J134&lt;&gt;"",COUNTIF(13_Источники!$A$4:$A$203,J134)=1,K134&lt;&gt;"",M134&lt;&gt;"",01_Основания!$B$10&lt;&gt;"",OR(AND(F134&gt;0,L134="KNOWN"),AND(F134=0,L134="ZERO_CONFIRMED"))),"READY","INCOMPLETE / BASIS"))</f>
        <v/>
      </c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 t="str">
        <f aca="false">IF(A135="","",IF(AND(COUNTIF(A$4:A$203,A135)=1,B135&lt;&gt;"",COUNTIF(03_Пакеты!$A$4:$A$203,B135)=1,C135&lt;&gt;"",E135&lt;&gt;"",ISNUMBER(F135),F135&gt;=0,G135&lt;&gt;"",G135=01_Основания!$B$8,H135&lt;&gt;"",H135=01_Основания!$B$9,I135&lt;&gt;"",J135&lt;&gt;"",COUNTIF(13_Источники!$A$4:$A$203,J135)=1,K135&lt;&gt;"",M135&lt;&gt;"",01_Основания!$B$10&lt;&gt;"",OR(AND(F135&gt;0,L135="KNOWN"),AND(F135=0,L135="ZERO_CONFIRMED"))),"READY","INCOMPLETE / BASIS"))</f>
        <v/>
      </c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 t="str">
        <f aca="false">IF(A136="","",IF(AND(COUNTIF(A$4:A$203,A136)=1,B136&lt;&gt;"",COUNTIF(03_Пакеты!$A$4:$A$203,B136)=1,C136&lt;&gt;"",E136&lt;&gt;"",ISNUMBER(F136),F136&gt;=0,G136&lt;&gt;"",G136=01_Основания!$B$8,H136&lt;&gt;"",H136=01_Основания!$B$9,I136&lt;&gt;"",J136&lt;&gt;"",COUNTIF(13_Источники!$A$4:$A$203,J136)=1,K136&lt;&gt;"",M136&lt;&gt;"",01_Основания!$B$10&lt;&gt;"",OR(AND(F136&gt;0,L136="KNOWN"),AND(F136=0,L136="ZERO_CONFIRMED"))),"READY","INCOMPLETE / BASIS"))</f>
        <v/>
      </c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 t="str">
        <f aca="false">IF(A137="","",IF(AND(COUNTIF(A$4:A$203,A137)=1,B137&lt;&gt;"",COUNTIF(03_Пакеты!$A$4:$A$203,B137)=1,C137&lt;&gt;"",E137&lt;&gt;"",ISNUMBER(F137),F137&gt;=0,G137&lt;&gt;"",G137=01_Основания!$B$8,H137&lt;&gt;"",H137=01_Основания!$B$9,I137&lt;&gt;"",J137&lt;&gt;"",COUNTIF(13_Источники!$A$4:$A$203,J137)=1,K137&lt;&gt;"",M137&lt;&gt;"",01_Основания!$B$10&lt;&gt;"",OR(AND(F137&gt;0,L137="KNOWN"),AND(F137=0,L137="ZERO_CONFIRMED"))),"READY","INCOMPLETE / BASIS"))</f>
        <v/>
      </c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 t="str">
        <f aca="false">IF(A138="","",IF(AND(COUNTIF(A$4:A$203,A138)=1,B138&lt;&gt;"",COUNTIF(03_Пакеты!$A$4:$A$203,B138)=1,C138&lt;&gt;"",E138&lt;&gt;"",ISNUMBER(F138),F138&gt;=0,G138&lt;&gt;"",G138=01_Основания!$B$8,H138&lt;&gt;"",H138=01_Основания!$B$9,I138&lt;&gt;"",J138&lt;&gt;"",COUNTIF(13_Источники!$A$4:$A$203,J138)=1,K138&lt;&gt;"",M138&lt;&gt;"",01_Основания!$B$10&lt;&gt;"",OR(AND(F138&gt;0,L138="KNOWN"),AND(F138=0,L138="ZERO_CONFIRMED"))),"READY","INCOMPLETE / BASIS"))</f>
        <v/>
      </c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 t="str">
        <f aca="false">IF(A139="","",IF(AND(COUNTIF(A$4:A$203,A139)=1,B139&lt;&gt;"",COUNTIF(03_Пакеты!$A$4:$A$203,B139)=1,C139&lt;&gt;"",E139&lt;&gt;"",ISNUMBER(F139),F139&gt;=0,G139&lt;&gt;"",G139=01_Основания!$B$8,H139&lt;&gt;"",H139=01_Основания!$B$9,I139&lt;&gt;"",J139&lt;&gt;"",COUNTIF(13_Источники!$A$4:$A$203,J139)=1,K139&lt;&gt;"",M139&lt;&gt;"",01_Основания!$B$10&lt;&gt;"",OR(AND(F139&gt;0,L139="KNOWN"),AND(F139=0,L139="ZERO_CONFIRMED"))),"READY","INCOMPLETE / BASIS"))</f>
        <v/>
      </c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 t="str">
        <f aca="false">IF(A140="","",IF(AND(COUNTIF(A$4:A$203,A140)=1,B140&lt;&gt;"",COUNTIF(03_Пакеты!$A$4:$A$203,B140)=1,C140&lt;&gt;"",E140&lt;&gt;"",ISNUMBER(F140),F140&gt;=0,G140&lt;&gt;"",G140=01_Основания!$B$8,H140&lt;&gt;"",H140=01_Основания!$B$9,I140&lt;&gt;"",J140&lt;&gt;"",COUNTIF(13_Источники!$A$4:$A$203,J140)=1,K140&lt;&gt;"",M140&lt;&gt;"",01_Основания!$B$10&lt;&gt;"",OR(AND(F140&gt;0,L140="KNOWN"),AND(F140=0,L140="ZERO_CONFIRMED"))),"READY","INCOMPLETE / BASIS"))</f>
        <v/>
      </c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 t="str">
        <f aca="false">IF(A141="","",IF(AND(COUNTIF(A$4:A$203,A141)=1,B141&lt;&gt;"",COUNTIF(03_Пакеты!$A$4:$A$203,B141)=1,C141&lt;&gt;"",E141&lt;&gt;"",ISNUMBER(F141),F141&gt;=0,G141&lt;&gt;"",G141=01_Основания!$B$8,H141&lt;&gt;"",H141=01_Основания!$B$9,I141&lt;&gt;"",J141&lt;&gt;"",COUNTIF(13_Источники!$A$4:$A$203,J141)=1,K141&lt;&gt;"",M141&lt;&gt;"",01_Основания!$B$10&lt;&gt;"",OR(AND(F141&gt;0,L141="KNOWN"),AND(F141=0,L141="ZERO_CONFIRMED"))),"READY","INCOMPLETE / BASIS"))</f>
        <v/>
      </c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 t="str">
        <f aca="false">IF(A142="","",IF(AND(COUNTIF(A$4:A$203,A142)=1,B142&lt;&gt;"",COUNTIF(03_Пакеты!$A$4:$A$203,B142)=1,C142&lt;&gt;"",E142&lt;&gt;"",ISNUMBER(F142),F142&gt;=0,G142&lt;&gt;"",G142=01_Основания!$B$8,H142&lt;&gt;"",H142=01_Основания!$B$9,I142&lt;&gt;"",J142&lt;&gt;"",COUNTIF(13_Источники!$A$4:$A$203,J142)=1,K142&lt;&gt;"",M142&lt;&gt;"",01_Основания!$B$10&lt;&gt;"",OR(AND(F142&gt;0,L142="KNOWN"),AND(F142=0,L142="ZERO_CONFIRMED"))),"READY","INCOMPLETE / BASIS"))</f>
        <v/>
      </c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 t="str">
        <f aca="false">IF(A143="","",IF(AND(COUNTIF(A$4:A$203,A143)=1,B143&lt;&gt;"",COUNTIF(03_Пакеты!$A$4:$A$203,B143)=1,C143&lt;&gt;"",E143&lt;&gt;"",ISNUMBER(F143),F143&gt;=0,G143&lt;&gt;"",G143=01_Основания!$B$8,H143&lt;&gt;"",H143=01_Основания!$B$9,I143&lt;&gt;"",J143&lt;&gt;"",COUNTIF(13_Источники!$A$4:$A$203,J143)=1,K143&lt;&gt;"",M143&lt;&gt;"",01_Основания!$B$10&lt;&gt;"",OR(AND(F143&gt;0,L143="KNOWN"),AND(F143=0,L143="ZERO_CONFIRMED"))),"READY","INCOMPLETE / BASIS"))</f>
        <v/>
      </c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 t="str">
        <f aca="false">IF(A144="","",IF(AND(COUNTIF(A$4:A$203,A144)=1,B144&lt;&gt;"",COUNTIF(03_Пакеты!$A$4:$A$203,B144)=1,C144&lt;&gt;"",E144&lt;&gt;"",ISNUMBER(F144),F144&gt;=0,G144&lt;&gt;"",G144=01_Основания!$B$8,H144&lt;&gt;"",H144=01_Основания!$B$9,I144&lt;&gt;"",J144&lt;&gt;"",COUNTIF(13_Источники!$A$4:$A$203,J144)=1,K144&lt;&gt;"",M144&lt;&gt;"",01_Основания!$B$10&lt;&gt;"",OR(AND(F144&gt;0,L144="KNOWN"),AND(F144=0,L144="ZERO_CONFIRMED"))),"READY","INCOMPLETE / BASIS"))</f>
        <v/>
      </c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 t="str">
        <f aca="false">IF(A145="","",IF(AND(COUNTIF(A$4:A$203,A145)=1,B145&lt;&gt;"",COUNTIF(03_Пакеты!$A$4:$A$203,B145)=1,C145&lt;&gt;"",E145&lt;&gt;"",ISNUMBER(F145),F145&gt;=0,G145&lt;&gt;"",G145=01_Основания!$B$8,H145&lt;&gt;"",H145=01_Основания!$B$9,I145&lt;&gt;"",J145&lt;&gt;"",COUNTIF(13_Источники!$A$4:$A$203,J145)=1,K145&lt;&gt;"",M145&lt;&gt;"",01_Основания!$B$10&lt;&gt;"",OR(AND(F145&gt;0,L145="KNOWN"),AND(F145=0,L145="ZERO_CONFIRMED"))),"READY","INCOMPLETE / BASIS"))</f>
        <v/>
      </c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 t="str">
        <f aca="false">IF(A146="","",IF(AND(COUNTIF(A$4:A$203,A146)=1,B146&lt;&gt;"",COUNTIF(03_Пакеты!$A$4:$A$203,B146)=1,C146&lt;&gt;"",E146&lt;&gt;"",ISNUMBER(F146),F146&gt;=0,G146&lt;&gt;"",G146=01_Основания!$B$8,H146&lt;&gt;"",H146=01_Основания!$B$9,I146&lt;&gt;"",J146&lt;&gt;"",COUNTIF(13_Источники!$A$4:$A$203,J146)=1,K146&lt;&gt;"",M146&lt;&gt;"",01_Основания!$B$10&lt;&gt;"",OR(AND(F146&gt;0,L146="KNOWN"),AND(F146=0,L146="ZERO_CONFIRMED"))),"READY","INCOMPLETE / BASIS"))</f>
        <v/>
      </c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 t="str">
        <f aca="false">IF(A147="","",IF(AND(COUNTIF(A$4:A$203,A147)=1,B147&lt;&gt;"",COUNTIF(03_Пакеты!$A$4:$A$203,B147)=1,C147&lt;&gt;"",E147&lt;&gt;"",ISNUMBER(F147),F147&gt;=0,G147&lt;&gt;"",G147=01_Основания!$B$8,H147&lt;&gt;"",H147=01_Основания!$B$9,I147&lt;&gt;"",J147&lt;&gt;"",COUNTIF(13_Источники!$A$4:$A$203,J147)=1,K147&lt;&gt;"",M147&lt;&gt;"",01_Основания!$B$10&lt;&gt;"",OR(AND(F147&gt;0,L147="KNOWN"),AND(F147=0,L147="ZERO_CONFIRMED"))),"READY","INCOMPLETE / BASIS"))</f>
        <v/>
      </c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 t="str">
        <f aca="false">IF(A148="","",IF(AND(COUNTIF(A$4:A$203,A148)=1,B148&lt;&gt;"",COUNTIF(03_Пакеты!$A$4:$A$203,B148)=1,C148&lt;&gt;"",E148&lt;&gt;"",ISNUMBER(F148),F148&gt;=0,G148&lt;&gt;"",G148=01_Основания!$B$8,H148&lt;&gt;"",H148=01_Основания!$B$9,I148&lt;&gt;"",J148&lt;&gt;"",COUNTIF(13_Источники!$A$4:$A$203,J148)=1,K148&lt;&gt;"",M148&lt;&gt;"",01_Основания!$B$10&lt;&gt;"",OR(AND(F148&gt;0,L148="KNOWN"),AND(F148=0,L148="ZERO_CONFIRMED"))),"READY","INCOMPLETE / BASIS"))</f>
        <v/>
      </c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 t="str">
        <f aca="false">IF(A149="","",IF(AND(COUNTIF(A$4:A$203,A149)=1,B149&lt;&gt;"",COUNTIF(03_Пакеты!$A$4:$A$203,B149)=1,C149&lt;&gt;"",E149&lt;&gt;"",ISNUMBER(F149),F149&gt;=0,G149&lt;&gt;"",G149=01_Основания!$B$8,H149&lt;&gt;"",H149=01_Основания!$B$9,I149&lt;&gt;"",J149&lt;&gt;"",COUNTIF(13_Источники!$A$4:$A$203,J149)=1,K149&lt;&gt;"",M149&lt;&gt;"",01_Основания!$B$10&lt;&gt;"",OR(AND(F149&gt;0,L149="KNOWN"),AND(F149=0,L149="ZERO_CONFIRMED"))),"READY","INCOMPLETE / BASIS"))</f>
        <v/>
      </c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 t="str">
        <f aca="false">IF(A150="","",IF(AND(COUNTIF(A$4:A$203,A150)=1,B150&lt;&gt;"",COUNTIF(03_Пакеты!$A$4:$A$203,B150)=1,C150&lt;&gt;"",E150&lt;&gt;"",ISNUMBER(F150),F150&gt;=0,G150&lt;&gt;"",G150=01_Основания!$B$8,H150&lt;&gt;"",H150=01_Основания!$B$9,I150&lt;&gt;"",J150&lt;&gt;"",COUNTIF(13_Источники!$A$4:$A$203,J150)=1,K150&lt;&gt;"",M150&lt;&gt;"",01_Основания!$B$10&lt;&gt;"",OR(AND(F150&gt;0,L150="KNOWN"),AND(F150=0,L150="ZERO_CONFIRMED"))),"READY","INCOMPLETE / BASIS"))</f>
        <v/>
      </c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 t="str">
        <f aca="false">IF(A151="","",IF(AND(COUNTIF(A$4:A$203,A151)=1,B151&lt;&gt;"",COUNTIF(03_Пакеты!$A$4:$A$203,B151)=1,C151&lt;&gt;"",E151&lt;&gt;"",ISNUMBER(F151),F151&gt;=0,G151&lt;&gt;"",G151=01_Основания!$B$8,H151&lt;&gt;"",H151=01_Основания!$B$9,I151&lt;&gt;"",J151&lt;&gt;"",COUNTIF(13_Источники!$A$4:$A$203,J151)=1,K151&lt;&gt;"",M151&lt;&gt;"",01_Основания!$B$10&lt;&gt;"",OR(AND(F151&gt;0,L151="KNOWN"),AND(F151=0,L151="ZERO_CONFIRMED"))),"READY","INCOMPLETE / BASIS"))</f>
        <v/>
      </c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 t="str">
        <f aca="false">IF(A152="","",IF(AND(COUNTIF(A$4:A$203,A152)=1,B152&lt;&gt;"",COUNTIF(03_Пакеты!$A$4:$A$203,B152)=1,C152&lt;&gt;"",E152&lt;&gt;"",ISNUMBER(F152),F152&gt;=0,G152&lt;&gt;"",G152=01_Основания!$B$8,H152&lt;&gt;"",H152=01_Основания!$B$9,I152&lt;&gt;"",J152&lt;&gt;"",COUNTIF(13_Источники!$A$4:$A$203,J152)=1,K152&lt;&gt;"",M152&lt;&gt;"",01_Основания!$B$10&lt;&gt;"",OR(AND(F152&gt;0,L152="KNOWN"),AND(F152=0,L152="ZERO_CONFIRMED"))),"READY","INCOMPLETE / BASIS"))</f>
        <v/>
      </c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tr">
        <f aca="false">IF(A153="","",IF(AND(COUNTIF(A$4:A$203,A153)=1,B153&lt;&gt;"",COUNTIF(03_Пакеты!$A$4:$A$203,B153)=1,C153&lt;&gt;"",E153&lt;&gt;"",ISNUMBER(F153),F153&gt;=0,G153&lt;&gt;"",G153=01_Основания!$B$8,H153&lt;&gt;"",H153=01_Основания!$B$9,I153&lt;&gt;"",J153&lt;&gt;"",COUNTIF(13_Источники!$A$4:$A$203,J153)=1,K153&lt;&gt;"",M153&lt;&gt;"",01_Основания!$B$10&lt;&gt;"",OR(AND(F153&gt;0,L153="KNOWN"),AND(F153=0,L153="ZERO_CONFIRMED"))),"READY","INCOMPLETE / BASIS"))</f>
        <v/>
      </c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 t="str">
        <f aca="false">IF(A154="","",IF(AND(COUNTIF(A$4:A$203,A154)=1,B154&lt;&gt;"",COUNTIF(03_Пакеты!$A$4:$A$203,B154)=1,C154&lt;&gt;"",E154&lt;&gt;"",ISNUMBER(F154),F154&gt;=0,G154&lt;&gt;"",G154=01_Основания!$B$8,H154&lt;&gt;"",H154=01_Основания!$B$9,I154&lt;&gt;"",J154&lt;&gt;"",COUNTIF(13_Источники!$A$4:$A$203,J154)=1,K154&lt;&gt;"",M154&lt;&gt;"",01_Основания!$B$10&lt;&gt;"",OR(AND(F154&gt;0,L154="KNOWN"),AND(F154=0,L154="ZERO_CONFIRMED"))),"READY","INCOMPLETE / BASIS"))</f>
        <v/>
      </c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 t="str">
        <f aca="false">IF(A155="","",IF(AND(COUNTIF(A$4:A$203,A155)=1,B155&lt;&gt;"",COUNTIF(03_Пакеты!$A$4:$A$203,B155)=1,C155&lt;&gt;"",E155&lt;&gt;"",ISNUMBER(F155),F155&gt;=0,G155&lt;&gt;"",G155=01_Основания!$B$8,H155&lt;&gt;"",H155=01_Основания!$B$9,I155&lt;&gt;"",J155&lt;&gt;"",COUNTIF(13_Источники!$A$4:$A$203,J155)=1,K155&lt;&gt;"",M155&lt;&gt;"",01_Основания!$B$10&lt;&gt;"",OR(AND(F155&gt;0,L155="KNOWN"),AND(F155=0,L155="ZERO_CONFIRMED"))),"READY","INCOMPLETE / BASIS"))</f>
        <v/>
      </c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 t="str">
        <f aca="false">IF(A156="","",IF(AND(COUNTIF(A$4:A$203,A156)=1,B156&lt;&gt;"",COUNTIF(03_Пакеты!$A$4:$A$203,B156)=1,C156&lt;&gt;"",E156&lt;&gt;"",ISNUMBER(F156),F156&gt;=0,G156&lt;&gt;"",G156=01_Основания!$B$8,H156&lt;&gt;"",H156=01_Основания!$B$9,I156&lt;&gt;"",J156&lt;&gt;"",COUNTIF(13_Источники!$A$4:$A$203,J156)=1,K156&lt;&gt;"",M156&lt;&gt;"",01_Основания!$B$10&lt;&gt;"",OR(AND(F156&gt;0,L156="KNOWN"),AND(F156=0,L156="ZERO_CONFIRMED"))),"READY","INCOMPLETE / BASIS"))</f>
        <v/>
      </c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 t="str">
        <f aca="false">IF(A157="","",IF(AND(COUNTIF(A$4:A$203,A157)=1,B157&lt;&gt;"",COUNTIF(03_Пакеты!$A$4:$A$203,B157)=1,C157&lt;&gt;"",E157&lt;&gt;"",ISNUMBER(F157),F157&gt;=0,G157&lt;&gt;"",G157=01_Основания!$B$8,H157&lt;&gt;"",H157=01_Основания!$B$9,I157&lt;&gt;"",J157&lt;&gt;"",COUNTIF(13_Источники!$A$4:$A$203,J157)=1,K157&lt;&gt;"",M157&lt;&gt;"",01_Основания!$B$10&lt;&gt;"",OR(AND(F157&gt;0,L157="KNOWN"),AND(F157=0,L157="ZERO_CONFIRMED"))),"READY","INCOMPLETE / BASIS"))</f>
        <v/>
      </c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 t="str">
        <f aca="false">IF(A158="","",IF(AND(COUNTIF(A$4:A$203,A158)=1,B158&lt;&gt;"",COUNTIF(03_Пакеты!$A$4:$A$203,B158)=1,C158&lt;&gt;"",E158&lt;&gt;"",ISNUMBER(F158),F158&gt;=0,G158&lt;&gt;"",G158=01_Основания!$B$8,H158&lt;&gt;"",H158=01_Основания!$B$9,I158&lt;&gt;"",J158&lt;&gt;"",COUNTIF(13_Источники!$A$4:$A$203,J158)=1,K158&lt;&gt;"",M158&lt;&gt;"",01_Основания!$B$10&lt;&gt;"",OR(AND(F158&gt;0,L158="KNOWN"),AND(F158=0,L158="ZERO_CONFIRMED"))),"READY","INCOMPLETE / BASIS"))</f>
        <v/>
      </c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 t="str">
        <f aca="false">IF(A159="","",IF(AND(COUNTIF(A$4:A$203,A159)=1,B159&lt;&gt;"",COUNTIF(03_Пакеты!$A$4:$A$203,B159)=1,C159&lt;&gt;"",E159&lt;&gt;"",ISNUMBER(F159),F159&gt;=0,G159&lt;&gt;"",G159=01_Основания!$B$8,H159&lt;&gt;"",H159=01_Основания!$B$9,I159&lt;&gt;"",J159&lt;&gt;"",COUNTIF(13_Источники!$A$4:$A$203,J159)=1,K159&lt;&gt;"",M159&lt;&gt;"",01_Основания!$B$10&lt;&gt;"",OR(AND(F159&gt;0,L159="KNOWN"),AND(F159=0,L159="ZERO_CONFIRMED"))),"READY","INCOMPLETE / BASIS"))</f>
        <v/>
      </c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 t="str">
        <f aca="false">IF(A160="","",IF(AND(COUNTIF(A$4:A$203,A160)=1,B160&lt;&gt;"",COUNTIF(03_Пакеты!$A$4:$A$203,B160)=1,C160&lt;&gt;"",E160&lt;&gt;"",ISNUMBER(F160),F160&gt;=0,G160&lt;&gt;"",G160=01_Основания!$B$8,H160&lt;&gt;"",H160=01_Основания!$B$9,I160&lt;&gt;"",J160&lt;&gt;"",COUNTIF(13_Источники!$A$4:$A$203,J160)=1,K160&lt;&gt;"",M160&lt;&gt;"",01_Основания!$B$10&lt;&gt;"",OR(AND(F160&gt;0,L160="KNOWN"),AND(F160=0,L160="ZERO_CONFIRMED"))),"READY","INCOMPLETE / BASIS"))</f>
        <v/>
      </c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 t="str">
        <f aca="false">IF(A161="","",IF(AND(COUNTIF(A$4:A$203,A161)=1,B161&lt;&gt;"",COUNTIF(03_Пакеты!$A$4:$A$203,B161)=1,C161&lt;&gt;"",E161&lt;&gt;"",ISNUMBER(F161),F161&gt;=0,G161&lt;&gt;"",G161=01_Основания!$B$8,H161&lt;&gt;"",H161=01_Основания!$B$9,I161&lt;&gt;"",J161&lt;&gt;"",COUNTIF(13_Источники!$A$4:$A$203,J161)=1,K161&lt;&gt;"",M161&lt;&gt;"",01_Основания!$B$10&lt;&gt;"",OR(AND(F161&gt;0,L161="KNOWN"),AND(F161=0,L161="ZERO_CONFIRMED"))),"READY","INCOMPLETE / BASIS"))</f>
        <v/>
      </c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 t="str">
        <f aca="false">IF(A162="","",IF(AND(COUNTIF(A$4:A$203,A162)=1,B162&lt;&gt;"",COUNTIF(03_Пакеты!$A$4:$A$203,B162)=1,C162&lt;&gt;"",E162&lt;&gt;"",ISNUMBER(F162),F162&gt;=0,G162&lt;&gt;"",G162=01_Основания!$B$8,H162&lt;&gt;"",H162=01_Основания!$B$9,I162&lt;&gt;"",J162&lt;&gt;"",COUNTIF(13_Источники!$A$4:$A$203,J162)=1,K162&lt;&gt;"",M162&lt;&gt;"",01_Основания!$B$10&lt;&gt;"",OR(AND(F162&gt;0,L162="KNOWN"),AND(F162=0,L162="ZERO_CONFIRMED"))),"READY","INCOMPLETE / BASIS"))</f>
        <v/>
      </c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 t="str">
        <f aca="false">IF(A163="","",IF(AND(COUNTIF(A$4:A$203,A163)=1,B163&lt;&gt;"",COUNTIF(03_Пакеты!$A$4:$A$203,B163)=1,C163&lt;&gt;"",E163&lt;&gt;"",ISNUMBER(F163),F163&gt;=0,G163&lt;&gt;"",G163=01_Основания!$B$8,H163&lt;&gt;"",H163=01_Основания!$B$9,I163&lt;&gt;"",J163&lt;&gt;"",COUNTIF(13_Источники!$A$4:$A$203,J163)=1,K163&lt;&gt;"",M163&lt;&gt;"",01_Основания!$B$10&lt;&gt;"",OR(AND(F163&gt;0,L163="KNOWN"),AND(F163=0,L163="ZERO_CONFIRMED"))),"READY","INCOMPLETE / BASIS"))</f>
        <v/>
      </c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 t="str">
        <f aca="false">IF(A164="","",IF(AND(COUNTIF(A$4:A$203,A164)=1,B164&lt;&gt;"",COUNTIF(03_Пакеты!$A$4:$A$203,B164)=1,C164&lt;&gt;"",E164&lt;&gt;"",ISNUMBER(F164),F164&gt;=0,G164&lt;&gt;"",G164=01_Основания!$B$8,H164&lt;&gt;"",H164=01_Основания!$B$9,I164&lt;&gt;"",J164&lt;&gt;"",COUNTIF(13_Источники!$A$4:$A$203,J164)=1,K164&lt;&gt;"",M164&lt;&gt;"",01_Основания!$B$10&lt;&gt;"",OR(AND(F164&gt;0,L164="KNOWN"),AND(F164=0,L164="ZERO_CONFIRMED"))),"READY","INCOMPLETE / BASIS"))</f>
        <v/>
      </c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 t="str">
        <f aca="false">IF(A165="","",IF(AND(COUNTIF(A$4:A$203,A165)=1,B165&lt;&gt;"",COUNTIF(03_Пакеты!$A$4:$A$203,B165)=1,C165&lt;&gt;"",E165&lt;&gt;"",ISNUMBER(F165),F165&gt;=0,G165&lt;&gt;"",G165=01_Основания!$B$8,H165&lt;&gt;"",H165=01_Основания!$B$9,I165&lt;&gt;"",J165&lt;&gt;"",COUNTIF(13_Источники!$A$4:$A$203,J165)=1,K165&lt;&gt;"",M165&lt;&gt;"",01_Основания!$B$10&lt;&gt;"",OR(AND(F165&gt;0,L165="KNOWN"),AND(F165=0,L165="ZERO_CONFIRMED"))),"READY","INCOMPLETE / BASIS"))</f>
        <v/>
      </c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 t="str">
        <f aca="false">IF(A166="","",IF(AND(COUNTIF(A$4:A$203,A166)=1,B166&lt;&gt;"",COUNTIF(03_Пакеты!$A$4:$A$203,B166)=1,C166&lt;&gt;"",E166&lt;&gt;"",ISNUMBER(F166),F166&gt;=0,G166&lt;&gt;"",G166=01_Основания!$B$8,H166&lt;&gt;"",H166=01_Основания!$B$9,I166&lt;&gt;"",J166&lt;&gt;"",COUNTIF(13_Источники!$A$4:$A$203,J166)=1,K166&lt;&gt;"",M166&lt;&gt;"",01_Основания!$B$10&lt;&gt;"",OR(AND(F166&gt;0,L166="KNOWN"),AND(F166=0,L166="ZERO_CONFIRMED"))),"READY","INCOMPLETE / BASIS"))</f>
        <v/>
      </c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 t="str">
        <f aca="false">IF(A167="","",IF(AND(COUNTIF(A$4:A$203,A167)=1,B167&lt;&gt;"",COUNTIF(03_Пакеты!$A$4:$A$203,B167)=1,C167&lt;&gt;"",E167&lt;&gt;"",ISNUMBER(F167),F167&gt;=0,G167&lt;&gt;"",G167=01_Основания!$B$8,H167&lt;&gt;"",H167=01_Основания!$B$9,I167&lt;&gt;"",J167&lt;&gt;"",COUNTIF(13_Источники!$A$4:$A$203,J167)=1,K167&lt;&gt;"",M167&lt;&gt;"",01_Основания!$B$10&lt;&gt;"",OR(AND(F167&gt;0,L167="KNOWN"),AND(F167=0,L167="ZERO_CONFIRMED"))),"READY","INCOMPLETE / BASIS"))</f>
        <v/>
      </c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 t="str">
        <f aca="false">IF(A168="","",IF(AND(COUNTIF(A$4:A$203,A168)=1,B168&lt;&gt;"",COUNTIF(03_Пакеты!$A$4:$A$203,B168)=1,C168&lt;&gt;"",E168&lt;&gt;"",ISNUMBER(F168),F168&gt;=0,G168&lt;&gt;"",G168=01_Основания!$B$8,H168&lt;&gt;"",H168=01_Основания!$B$9,I168&lt;&gt;"",J168&lt;&gt;"",COUNTIF(13_Источники!$A$4:$A$203,J168)=1,K168&lt;&gt;"",M168&lt;&gt;"",01_Основания!$B$10&lt;&gt;"",OR(AND(F168&gt;0,L168="KNOWN"),AND(F168=0,L168="ZERO_CONFIRMED"))),"READY","INCOMPLETE / BASIS"))</f>
        <v/>
      </c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 t="str">
        <f aca="false">IF(A169="","",IF(AND(COUNTIF(A$4:A$203,A169)=1,B169&lt;&gt;"",COUNTIF(03_Пакеты!$A$4:$A$203,B169)=1,C169&lt;&gt;"",E169&lt;&gt;"",ISNUMBER(F169),F169&gt;=0,G169&lt;&gt;"",G169=01_Основания!$B$8,H169&lt;&gt;"",H169=01_Основания!$B$9,I169&lt;&gt;"",J169&lt;&gt;"",COUNTIF(13_Источники!$A$4:$A$203,J169)=1,K169&lt;&gt;"",M169&lt;&gt;"",01_Основания!$B$10&lt;&gt;"",OR(AND(F169&gt;0,L169="KNOWN"),AND(F169=0,L169="ZERO_CONFIRMED"))),"READY","INCOMPLETE / BASIS"))</f>
        <v/>
      </c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 t="str">
        <f aca="false">IF(A170="","",IF(AND(COUNTIF(A$4:A$203,A170)=1,B170&lt;&gt;"",COUNTIF(03_Пакеты!$A$4:$A$203,B170)=1,C170&lt;&gt;"",E170&lt;&gt;"",ISNUMBER(F170),F170&gt;=0,G170&lt;&gt;"",G170=01_Основания!$B$8,H170&lt;&gt;"",H170=01_Основания!$B$9,I170&lt;&gt;"",J170&lt;&gt;"",COUNTIF(13_Источники!$A$4:$A$203,J170)=1,K170&lt;&gt;"",M170&lt;&gt;"",01_Основания!$B$10&lt;&gt;"",OR(AND(F170&gt;0,L170="KNOWN"),AND(F170=0,L170="ZERO_CONFIRMED"))),"READY","INCOMPLETE / BASIS"))</f>
        <v/>
      </c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 t="str">
        <f aca="false">IF(A171="","",IF(AND(COUNTIF(A$4:A$203,A171)=1,B171&lt;&gt;"",COUNTIF(03_Пакеты!$A$4:$A$203,B171)=1,C171&lt;&gt;"",E171&lt;&gt;"",ISNUMBER(F171),F171&gt;=0,G171&lt;&gt;"",G171=01_Основания!$B$8,H171&lt;&gt;"",H171=01_Основания!$B$9,I171&lt;&gt;"",J171&lt;&gt;"",COUNTIF(13_Источники!$A$4:$A$203,J171)=1,K171&lt;&gt;"",M171&lt;&gt;"",01_Основания!$B$10&lt;&gt;"",OR(AND(F171&gt;0,L171="KNOWN"),AND(F171=0,L171="ZERO_CONFIRMED"))),"READY","INCOMPLETE / BASIS"))</f>
        <v/>
      </c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 t="str">
        <f aca="false">IF(A172="","",IF(AND(COUNTIF(A$4:A$203,A172)=1,B172&lt;&gt;"",COUNTIF(03_Пакеты!$A$4:$A$203,B172)=1,C172&lt;&gt;"",E172&lt;&gt;"",ISNUMBER(F172),F172&gt;=0,G172&lt;&gt;"",G172=01_Основания!$B$8,H172&lt;&gt;"",H172=01_Основания!$B$9,I172&lt;&gt;"",J172&lt;&gt;"",COUNTIF(13_Источники!$A$4:$A$203,J172)=1,K172&lt;&gt;"",M172&lt;&gt;"",01_Основания!$B$10&lt;&gt;"",OR(AND(F172&gt;0,L172="KNOWN"),AND(F172=0,L172="ZERO_CONFIRMED"))),"READY","INCOMPLETE / BASIS"))</f>
        <v/>
      </c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 t="str">
        <f aca="false">IF(A173="","",IF(AND(COUNTIF(A$4:A$203,A173)=1,B173&lt;&gt;"",COUNTIF(03_Пакеты!$A$4:$A$203,B173)=1,C173&lt;&gt;"",E173&lt;&gt;"",ISNUMBER(F173),F173&gt;=0,G173&lt;&gt;"",G173=01_Основания!$B$8,H173&lt;&gt;"",H173=01_Основания!$B$9,I173&lt;&gt;"",J173&lt;&gt;"",COUNTIF(13_Источники!$A$4:$A$203,J173)=1,K173&lt;&gt;"",M173&lt;&gt;"",01_Основания!$B$10&lt;&gt;"",OR(AND(F173&gt;0,L173="KNOWN"),AND(F173=0,L173="ZERO_CONFIRMED"))),"READY","INCOMPLETE / BASIS"))</f>
        <v/>
      </c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 t="str">
        <f aca="false">IF(A174="","",IF(AND(COUNTIF(A$4:A$203,A174)=1,B174&lt;&gt;"",COUNTIF(03_Пакеты!$A$4:$A$203,B174)=1,C174&lt;&gt;"",E174&lt;&gt;"",ISNUMBER(F174),F174&gt;=0,G174&lt;&gt;"",G174=01_Основания!$B$8,H174&lt;&gt;"",H174=01_Основания!$B$9,I174&lt;&gt;"",J174&lt;&gt;"",COUNTIF(13_Источники!$A$4:$A$203,J174)=1,K174&lt;&gt;"",M174&lt;&gt;"",01_Основания!$B$10&lt;&gt;"",OR(AND(F174&gt;0,L174="KNOWN"),AND(F174=0,L174="ZERO_CONFIRMED"))),"READY","INCOMPLETE / BASIS"))</f>
        <v/>
      </c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 t="str">
        <f aca="false">IF(A175="","",IF(AND(COUNTIF(A$4:A$203,A175)=1,B175&lt;&gt;"",COUNTIF(03_Пакеты!$A$4:$A$203,B175)=1,C175&lt;&gt;"",E175&lt;&gt;"",ISNUMBER(F175),F175&gt;=0,G175&lt;&gt;"",G175=01_Основания!$B$8,H175&lt;&gt;"",H175=01_Основания!$B$9,I175&lt;&gt;"",J175&lt;&gt;"",COUNTIF(13_Источники!$A$4:$A$203,J175)=1,K175&lt;&gt;"",M175&lt;&gt;"",01_Основания!$B$10&lt;&gt;"",OR(AND(F175&gt;0,L175="KNOWN"),AND(F175=0,L175="ZERO_CONFIRMED"))),"READY","INCOMPLETE / BASIS"))</f>
        <v/>
      </c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 t="str">
        <f aca="false">IF(A176="","",IF(AND(COUNTIF(A$4:A$203,A176)=1,B176&lt;&gt;"",COUNTIF(03_Пакеты!$A$4:$A$203,B176)=1,C176&lt;&gt;"",E176&lt;&gt;"",ISNUMBER(F176),F176&gt;=0,G176&lt;&gt;"",G176=01_Основания!$B$8,H176&lt;&gt;"",H176=01_Основания!$B$9,I176&lt;&gt;"",J176&lt;&gt;"",COUNTIF(13_Источники!$A$4:$A$203,J176)=1,K176&lt;&gt;"",M176&lt;&gt;"",01_Основания!$B$10&lt;&gt;"",OR(AND(F176&gt;0,L176="KNOWN"),AND(F176=0,L176="ZERO_CONFIRMED"))),"READY","INCOMPLETE / BASIS"))</f>
        <v/>
      </c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 t="str">
        <f aca="false">IF(A177="","",IF(AND(COUNTIF(A$4:A$203,A177)=1,B177&lt;&gt;"",COUNTIF(03_Пакеты!$A$4:$A$203,B177)=1,C177&lt;&gt;"",E177&lt;&gt;"",ISNUMBER(F177),F177&gt;=0,G177&lt;&gt;"",G177=01_Основания!$B$8,H177&lt;&gt;"",H177=01_Основания!$B$9,I177&lt;&gt;"",J177&lt;&gt;"",COUNTIF(13_Источники!$A$4:$A$203,J177)=1,K177&lt;&gt;"",M177&lt;&gt;"",01_Основания!$B$10&lt;&gt;"",OR(AND(F177&gt;0,L177="KNOWN"),AND(F177=0,L177="ZERO_CONFIRMED"))),"READY","INCOMPLETE / BASIS"))</f>
        <v/>
      </c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 t="str">
        <f aca="false">IF(A178="","",IF(AND(COUNTIF(A$4:A$203,A178)=1,B178&lt;&gt;"",COUNTIF(03_Пакеты!$A$4:$A$203,B178)=1,C178&lt;&gt;"",E178&lt;&gt;"",ISNUMBER(F178),F178&gt;=0,G178&lt;&gt;"",G178=01_Основания!$B$8,H178&lt;&gt;"",H178=01_Основания!$B$9,I178&lt;&gt;"",J178&lt;&gt;"",COUNTIF(13_Источники!$A$4:$A$203,J178)=1,K178&lt;&gt;"",M178&lt;&gt;"",01_Основания!$B$10&lt;&gt;"",OR(AND(F178&gt;0,L178="KNOWN"),AND(F178=0,L178="ZERO_CONFIRMED"))),"READY","INCOMPLETE / BASIS"))</f>
        <v/>
      </c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 t="str">
        <f aca="false">IF(A179="","",IF(AND(COUNTIF(A$4:A$203,A179)=1,B179&lt;&gt;"",COUNTIF(03_Пакеты!$A$4:$A$203,B179)=1,C179&lt;&gt;"",E179&lt;&gt;"",ISNUMBER(F179),F179&gt;=0,G179&lt;&gt;"",G179=01_Основания!$B$8,H179&lt;&gt;"",H179=01_Основания!$B$9,I179&lt;&gt;"",J179&lt;&gt;"",COUNTIF(13_Источники!$A$4:$A$203,J179)=1,K179&lt;&gt;"",M179&lt;&gt;"",01_Основания!$B$10&lt;&gt;"",OR(AND(F179&gt;0,L179="KNOWN"),AND(F179=0,L179="ZERO_CONFIRMED"))),"READY","INCOMPLETE / BASIS"))</f>
        <v/>
      </c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 t="str">
        <f aca="false">IF(A180="","",IF(AND(COUNTIF(A$4:A$203,A180)=1,B180&lt;&gt;"",COUNTIF(03_Пакеты!$A$4:$A$203,B180)=1,C180&lt;&gt;"",E180&lt;&gt;"",ISNUMBER(F180),F180&gt;=0,G180&lt;&gt;"",G180=01_Основания!$B$8,H180&lt;&gt;"",H180=01_Основания!$B$9,I180&lt;&gt;"",J180&lt;&gt;"",COUNTIF(13_Источники!$A$4:$A$203,J180)=1,K180&lt;&gt;"",M180&lt;&gt;"",01_Основания!$B$10&lt;&gt;"",OR(AND(F180&gt;0,L180="KNOWN"),AND(F180=0,L180="ZERO_CONFIRMED"))),"READY","INCOMPLETE / BASIS"))</f>
        <v/>
      </c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 t="str">
        <f aca="false">IF(A181="","",IF(AND(COUNTIF(A$4:A$203,A181)=1,B181&lt;&gt;"",COUNTIF(03_Пакеты!$A$4:$A$203,B181)=1,C181&lt;&gt;"",E181&lt;&gt;"",ISNUMBER(F181),F181&gt;=0,G181&lt;&gt;"",G181=01_Основания!$B$8,H181&lt;&gt;"",H181=01_Основания!$B$9,I181&lt;&gt;"",J181&lt;&gt;"",COUNTIF(13_Источники!$A$4:$A$203,J181)=1,K181&lt;&gt;"",M181&lt;&gt;"",01_Основания!$B$10&lt;&gt;"",OR(AND(F181&gt;0,L181="KNOWN"),AND(F181=0,L181="ZERO_CONFIRMED"))),"READY","INCOMPLETE / BASIS"))</f>
        <v/>
      </c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 t="str">
        <f aca="false">IF(A182="","",IF(AND(COUNTIF(A$4:A$203,A182)=1,B182&lt;&gt;"",COUNTIF(03_Пакеты!$A$4:$A$203,B182)=1,C182&lt;&gt;"",E182&lt;&gt;"",ISNUMBER(F182),F182&gt;=0,G182&lt;&gt;"",G182=01_Основания!$B$8,H182&lt;&gt;"",H182=01_Основания!$B$9,I182&lt;&gt;"",J182&lt;&gt;"",COUNTIF(13_Источники!$A$4:$A$203,J182)=1,K182&lt;&gt;"",M182&lt;&gt;"",01_Основания!$B$10&lt;&gt;"",OR(AND(F182&gt;0,L182="KNOWN"),AND(F182=0,L182="ZERO_CONFIRMED"))),"READY","INCOMPLETE / BASIS"))</f>
        <v/>
      </c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 t="str">
        <f aca="false">IF(A183="","",IF(AND(COUNTIF(A$4:A$203,A183)=1,B183&lt;&gt;"",COUNTIF(03_Пакеты!$A$4:$A$203,B183)=1,C183&lt;&gt;"",E183&lt;&gt;"",ISNUMBER(F183),F183&gt;=0,G183&lt;&gt;"",G183=01_Основания!$B$8,H183&lt;&gt;"",H183=01_Основания!$B$9,I183&lt;&gt;"",J183&lt;&gt;"",COUNTIF(13_Источники!$A$4:$A$203,J183)=1,K183&lt;&gt;"",M183&lt;&gt;"",01_Основания!$B$10&lt;&gt;"",OR(AND(F183&gt;0,L183="KNOWN"),AND(F183=0,L183="ZERO_CONFIRMED"))),"READY","INCOMPLETE / BASIS"))</f>
        <v/>
      </c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 t="str">
        <f aca="false">IF(A184="","",IF(AND(COUNTIF(A$4:A$203,A184)=1,B184&lt;&gt;"",COUNTIF(03_Пакеты!$A$4:$A$203,B184)=1,C184&lt;&gt;"",E184&lt;&gt;"",ISNUMBER(F184),F184&gt;=0,G184&lt;&gt;"",G184=01_Основания!$B$8,H184&lt;&gt;"",H184=01_Основания!$B$9,I184&lt;&gt;"",J184&lt;&gt;"",COUNTIF(13_Источники!$A$4:$A$203,J184)=1,K184&lt;&gt;"",M184&lt;&gt;"",01_Основания!$B$10&lt;&gt;"",OR(AND(F184&gt;0,L184="KNOWN"),AND(F184=0,L184="ZERO_CONFIRMED"))),"READY","INCOMPLETE / BASIS"))</f>
        <v/>
      </c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 t="str">
        <f aca="false">IF(A185="","",IF(AND(COUNTIF(A$4:A$203,A185)=1,B185&lt;&gt;"",COUNTIF(03_Пакеты!$A$4:$A$203,B185)=1,C185&lt;&gt;"",E185&lt;&gt;"",ISNUMBER(F185),F185&gt;=0,G185&lt;&gt;"",G185=01_Основания!$B$8,H185&lt;&gt;"",H185=01_Основания!$B$9,I185&lt;&gt;"",J185&lt;&gt;"",COUNTIF(13_Источники!$A$4:$A$203,J185)=1,K185&lt;&gt;"",M185&lt;&gt;"",01_Основания!$B$10&lt;&gt;"",OR(AND(F185&gt;0,L185="KNOWN"),AND(F185=0,L185="ZERO_CONFIRMED"))),"READY","INCOMPLETE / BASIS"))</f>
        <v/>
      </c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 t="str">
        <f aca="false">IF(A186="","",IF(AND(COUNTIF(A$4:A$203,A186)=1,B186&lt;&gt;"",COUNTIF(03_Пакеты!$A$4:$A$203,B186)=1,C186&lt;&gt;"",E186&lt;&gt;"",ISNUMBER(F186),F186&gt;=0,G186&lt;&gt;"",G186=01_Основания!$B$8,H186&lt;&gt;"",H186=01_Основания!$B$9,I186&lt;&gt;"",J186&lt;&gt;"",COUNTIF(13_Источники!$A$4:$A$203,J186)=1,K186&lt;&gt;"",M186&lt;&gt;"",01_Основания!$B$10&lt;&gt;"",OR(AND(F186&gt;0,L186="KNOWN"),AND(F186=0,L186="ZERO_CONFIRMED"))),"READY","INCOMPLETE / BASIS"))</f>
        <v/>
      </c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 t="str">
        <f aca="false">IF(A187="","",IF(AND(COUNTIF(A$4:A$203,A187)=1,B187&lt;&gt;"",COUNTIF(03_Пакеты!$A$4:$A$203,B187)=1,C187&lt;&gt;"",E187&lt;&gt;"",ISNUMBER(F187),F187&gt;=0,G187&lt;&gt;"",G187=01_Основания!$B$8,H187&lt;&gt;"",H187=01_Основания!$B$9,I187&lt;&gt;"",J187&lt;&gt;"",COUNTIF(13_Источники!$A$4:$A$203,J187)=1,K187&lt;&gt;"",M187&lt;&gt;"",01_Основания!$B$10&lt;&gt;"",OR(AND(F187&gt;0,L187="KNOWN"),AND(F187=0,L187="ZERO_CONFIRMED"))),"READY","INCOMPLETE / BASIS"))</f>
        <v/>
      </c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 t="str">
        <f aca="false">IF(A188="","",IF(AND(COUNTIF(A$4:A$203,A188)=1,B188&lt;&gt;"",COUNTIF(03_Пакеты!$A$4:$A$203,B188)=1,C188&lt;&gt;"",E188&lt;&gt;"",ISNUMBER(F188),F188&gt;=0,G188&lt;&gt;"",G188=01_Основания!$B$8,H188&lt;&gt;"",H188=01_Основания!$B$9,I188&lt;&gt;"",J188&lt;&gt;"",COUNTIF(13_Источники!$A$4:$A$203,J188)=1,K188&lt;&gt;"",M188&lt;&gt;"",01_Основания!$B$10&lt;&gt;"",OR(AND(F188&gt;0,L188="KNOWN"),AND(F188=0,L188="ZERO_CONFIRMED"))),"READY","INCOMPLETE / BASIS"))</f>
        <v/>
      </c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 t="str">
        <f aca="false">IF(A189="","",IF(AND(COUNTIF(A$4:A$203,A189)=1,B189&lt;&gt;"",COUNTIF(03_Пакеты!$A$4:$A$203,B189)=1,C189&lt;&gt;"",E189&lt;&gt;"",ISNUMBER(F189),F189&gt;=0,G189&lt;&gt;"",G189=01_Основания!$B$8,H189&lt;&gt;"",H189=01_Основания!$B$9,I189&lt;&gt;"",J189&lt;&gt;"",COUNTIF(13_Источники!$A$4:$A$203,J189)=1,K189&lt;&gt;"",M189&lt;&gt;"",01_Основания!$B$10&lt;&gt;"",OR(AND(F189&gt;0,L189="KNOWN"),AND(F189=0,L189="ZERO_CONFIRMED"))),"READY","INCOMPLETE / BASIS"))</f>
        <v/>
      </c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 t="str">
        <f aca="false">IF(A190="","",IF(AND(COUNTIF(A$4:A$203,A190)=1,B190&lt;&gt;"",COUNTIF(03_Пакеты!$A$4:$A$203,B190)=1,C190&lt;&gt;"",E190&lt;&gt;"",ISNUMBER(F190),F190&gt;=0,G190&lt;&gt;"",G190=01_Основания!$B$8,H190&lt;&gt;"",H190=01_Основания!$B$9,I190&lt;&gt;"",J190&lt;&gt;"",COUNTIF(13_Источники!$A$4:$A$203,J190)=1,K190&lt;&gt;"",M190&lt;&gt;"",01_Основания!$B$10&lt;&gt;"",OR(AND(F190&gt;0,L190="KNOWN"),AND(F190=0,L190="ZERO_CONFIRMED"))),"READY","INCOMPLETE / BASIS"))</f>
        <v/>
      </c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 t="str">
        <f aca="false">IF(A191="","",IF(AND(COUNTIF(A$4:A$203,A191)=1,B191&lt;&gt;"",COUNTIF(03_Пакеты!$A$4:$A$203,B191)=1,C191&lt;&gt;"",E191&lt;&gt;"",ISNUMBER(F191),F191&gt;=0,G191&lt;&gt;"",G191=01_Основания!$B$8,H191&lt;&gt;"",H191=01_Основания!$B$9,I191&lt;&gt;"",J191&lt;&gt;"",COUNTIF(13_Источники!$A$4:$A$203,J191)=1,K191&lt;&gt;"",M191&lt;&gt;"",01_Основания!$B$10&lt;&gt;"",OR(AND(F191&gt;0,L191="KNOWN"),AND(F191=0,L191="ZERO_CONFIRMED"))),"READY","INCOMPLETE / BASIS"))</f>
        <v/>
      </c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 t="str">
        <f aca="false">IF(A192="","",IF(AND(COUNTIF(A$4:A$203,A192)=1,B192&lt;&gt;"",COUNTIF(03_Пакеты!$A$4:$A$203,B192)=1,C192&lt;&gt;"",E192&lt;&gt;"",ISNUMBER(F192),F192&gt;=0,G192&lt;&gt;"",G192=01_Основания!$B$8,H192&lt;&gt;"",H192=01_Основания!$B$9,I192&lt;&gt;"",J192&lt;&gt;"",COUNTIF(13_Источники!$A$4:$A$203,J192)=1,K192&lt;&gt;"",M192&lt;&gt;"",01_Основания!$B$10&lt;&gt;"",OR(AND(F192&gt;0,L192="KNOWN"),AND(F192=0,L192="ZERO_CONFIRMED"))),"READY","INCOMPLETE / BASIS"))</f>
        <v/>
      </c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 t="str">
        <f aca="false">IF(A193="","",IF(AND(COUNTIF(A$4:A$203,A193)=1,B193&lt;&gt;"",COUNTIF(03_Пакеты!$A$4:$A$203,B193)=1,C193&lt;&gt;"",E193&lt;&gt;"",ISNUMBER(F193),F193&gt;=0,G193&lt;&gt;"",G193=01_Основания!$B$8,H193&lt;&gt;"",H193=01_Основания!$B$9,I193&lt;&gt;"",J193&lt;&gt;"",COUNTIF(13_Источники!$A$4:$A$203,J193)=1,K193&lt;&gt;"",M193&lt;&gt;"",01_Основания!$B$10&lt;&gt;"",OR(AND(F193&gt;0,L193="KNOWN"),AND(F193=0,L193="ZERO_CONFIRMED"))),"READY","INCOMPLETE / BASIS"))</f>
        <v/>
      </c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 t="str">
        <f aca="false">IF(A194="","",IF(AND(COUNTIF(A$4:A$203,A194)=1,B194&lt;&gt;"",COUNTIF(03_Пакеты!$A$4:$A$203,B194)=1,C194&lt;&gt;"",E194&lt;&gt;"",ISNUMBER(F194),F194&gt;=0,G194&lt;&gt;"",G194=01_Основания!$B$8,H194&lt;&gt;"",H194=01_Основания!$B$9,I194&lt;&gt;"",J194&lt;&gt;"",COUNTIF(13_Источники!$A$4:$A$203,J194)=1,K194&lt;&gt;"",M194&lt;&gt;"",01_Основания!$B$10&lt;&gt;"",OR(AND(F194&gt;0,L194="KNOWN"),AND(F194=0,L194="ZERO_CONFIRMED"))),"READY","INCOMPLETE / BASIS"))</f>
        <v/>
      </c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 t="str">
        <f aca="false">IF(A195="","",IF(AND(COUNTIF(A$4:A$203,A195)=1,B195&lt;&gt;"",COUNTIF(03_Пакеты!$A$4:$A$203,B195)=1,C195&lt;&gt;"",E195&lt;&gt;"",ISNUMBER(F195),F195&gt;=0,G195&lt;&gt;"",G195=01_Основания!$B$8,H195&lt;&gt;"",H195=01_Основания!$B$9,I195&lt;&gt;"",J195&lt;&gt;"",COUNTIF(13_Источники!$A$4:$A$203,J195)=1,K195&lt;&gt;"",M195&lt;&gt;"",01_Основания!$B$10&lt;&gt;"",OR(AND(F195&gt;0,L195="KNOWN"),AND(F195=0,L195="ZERO_CONFIRMED"))),"READY","INCOMPLETE / BASIS"))</f>
        <v/>
      </c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 t="str">
        <f aca="false">IF(A196="","",IF(AND(COUNTIF(A$4:A$203,A196)=1,B196&lt;&gt;"",COUNTIF(03_Пакеты!$A$4:$A$203,B196)=1,C196&lt;&gt;"",E196&lt;&gt;"",ISNUMBER(F196),F196&gt;=0,G196&lt;&gt;"",G196=01_Основания!$B$8,H196&lt;&gt;"",H196=01_Основания!$B$9,I196&lt;&gt;"",J196&lt;&gt;"",COUNTIF(13_Источники!$A$4:$A$203,J196)=1,K196&lt;&gt;"",M196&lt;&gt;"",01_Основания!$B$10&lt;&gt;"",OR(AND(F196&gt;0,L196="KNOWN"),AND(F196=0,L196="ZERO_CONFIRMED"))),"READY","INCOMPLETE / BASIS"))</f>
        <v/>
      </c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 t="str">
        <f aca="false">IF(A197="","",IF(AND(COUNTIF(A$4:A$203,A197)=1,B197&lt;&gt;"",COUNTIF(03_Пакеты!$A$4:$A$203,B197)=1,C197&lt;&gt;"",E197&lt;&gt;"",ISNUMBER(F197),F197&gt;=0,G197&lt;&gt;"",G197=01_Основания!$B$8,H197&lt;&gt;"",H197=01_Основания!$B$9,I197&lt;&gt;"",J197&lt;&gt;"",COUNTIF(13_Источники!$A$4:$A$203,J197)=1,K197&lt;&gt;"",M197&lt;&gt;"",01_Основания!$B$10&lt;&gt;"",OR(AND(F197&gt;0,L197="KNOWN"),AND(F197=0,L197="ZERO_CONFIRMED"))),"READY","INCOMPLETE / BASIS"))</f>
        <v/>
      </c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 t="str">
        <f aca="false">IF(A198="","",IF(AND(COUNTIF(A$4:A$203,A198)=1,B198&lt;&gt;"",COUNTIF(03_Пакеты!$A$4:$A$203,B198)=1,C198&lt;&gt;"",E198&lt;&gt;"",ISNUMBER(F198),F198&gt;=0,G198&lt;&gt;"",G198=01_Основания!$B$8,H198&lt;&gt;"",H198=01_Основания!$B$9,I198&lt;&gt;"",J198&lt;&gt;"",COUNTIF(13_Источники!$A$4:$A$203,J198)=1,K198&lt;&gt;"",M198&lt;&gt;"",01_Основания!$B$10&lt;&gt;"",OR(AND(F198&gt;0,L198="KNOWN"),AND(F198=0,L198="ZERO_CONFIRMED"))),"READY","INCOMPLETE / BASIS"))</f>
        <v/>
      </c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 t="str">
        <f aca="false">IF(A199="","",IF(AND(COUNTIF(A$4:A$203,A199)=1,B199&lt;&gt;"",COUNTIF(03_Пакеты!$A$4:$A$203,B199)=1,C199&lt;&gt;"",E199&lt;&gt;"",ISNUMBER(F199),F199&gt;=0,G199&lt;&gt;"",G199=01_Основания!$B$8,H199&lt;&gt;"",H199=01_Основания!$B$9,I199&lt;&gt;"",J199&lt;&gt;"",COUNTIF(13_Источники!$A$4:$A$203,J199)=1,K199&lt;&gt;"",M199&lt;&gt;"",01_Основания!$B$10&lt;&gt;"",OR(AND(F199&gt;0,L199="KNOWN"),AND(F199=0,L199="ZERO_CONFIRMED"))),"READY","INCOMPLETE / BASIS"))</f>
        <v/>
      </c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 t="str">
        <f aca="false">IF(A200="","",IF(AND(COUNTIF(A$4:A$203,A200)=1,B200&lt;&gt;"",COUNTIF(03_Пакеты!$A$4:$A$203,B200)=1,C200&lt;&gt;"",E200&lt;&gt;"",ISNUMBER(F200),F200&gt;=0,G200&lt;&gt;"",G200=01_Основания!$B$8,H200&lt;&gt;"",H200=01_Основания!$B$9,I200&lt;&gt;"",J200&lt;&gt;"",COUNTIF(13_Источники!$A$4:$A$203,J200)=1,K200&lt;&gt;"",M200&lt;&gt;"",01_Основания!$B$10&lt;&gt;"",OR(AND(F200&gt;0,L200="KNOWN"),AND(F200=0,L200="ZERO_CONFIRMED"))),"READY","INCOMPLETE / BASIS"))</f>
        <v/>
      </c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 t="str">
        <f aca="false">IF(A201="","",IF(AND(COUNTIF(A$4:A$203,A201)=1,B201&lt;&gt;"",COUNTIF(03_Пакеты!$A$4:$A$203,B201)=1,C201&lt;&gt;"",E201&lt;&gt;"",ISNUMBER(F201),F201&gt;=0,G201&lt;&gt;"",G201=01_Основания!$B$8,H201&lt;&gt;"",H201=01_Основания!$B$9,I201&lt;&gt;"",J201&lt;&gt;"",COUNTIF(13_Источники!$A$4:$A$203,J201)=1,K201&lt;&gt;"",M201&lt;&gt;"",01_Основания!$B$10&lt;&gt;"",OR(AND(F201&gt;0,L201="KNOWN"),AND(F201=0,L201="ZERO_CONFIRMED"))),"READY","INCOMPLETE / BASIS"))</f>
        <v/>
      </c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 t="str">
        <f aca="false">IF(A202="","",IF(AND(COUNTIF(A$4:A$203,A202)=1,B202&lt;&gt;"",COUNTIF(03_Пакеты!$A$4:$A$203,B202)=1,C202&lt;&gt;"",E202&lt;&gt;"",ISNUMBER(F202),F202&gt;=0,G202&lt;&gt;"",G202=01_Основания!$B$8,H202&lt;&gt;"",H202=01_Основания!$B$9,I202&lt;&gt;"",J202&lt;&gt;"",COUNTIF(13_Источники!$A$4:$A$203,J202)=1,K202&lt;&gt;"",M202&lt;&gt;"",01_Основания!$B$10&lt;&gt;"",OR(AND(F202&gt;0,L202="KNOWN"),AND(F202=0,L202="ZERO_CONFIRMED"))),"READY","INCOMPLETE / BASIS"))</f>
        <v/>
      </c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 t="str">
        <f aca="false">IF(A203="","",IF(AND(COUNTIF(A$4:A$203,A203)=1,B203&lt;&gt;"",COUNTIF(03_Пакеты!$A$4:$A$203,B203)=1,C203&lt;&gt;"",E203&lt;&gt;"",ISNUMBER(F203),F203&gt;=0,G203&lt;&gt;"",G203=01_Основания!$B$8,H203&lt;&gt;"",H203=01_Основания!$B$9,I203&lt;&gt;"",J203&lt;&gt;"",COUNTIF(13_Источники!$A$4:$A$203,J203)=1,K203&lt;&gt;"",M203&lt;&gt;"",01_Основания!$B$10&lt;&gt;"",OR(AND(F203&gt;0,L203="KNOWN"),AND(F203=0,L203="ZERO_CONFIRMED"))),"READY","INCOMPLETE / BASIS"))</f>
        <v/>
      </c>
    </row>
  </sheetData>
  <autoFilter ref="A3:N203"/>
  <mergeCells count="2">
    <mergeCell ref="A1:N1"/>
    <mergeCell ref="A2:N2"/>
  </mergeCells>
  <dataValidations count="4">
    <dataValidation allowBlank="true" error="Требуется допустимое число." errorStyle="stop" operator="greaterThanOrEqual" showDropDown="false" showErrorMessage="true" showInputMessage="false" sqref="F4:F203" type="decimal">
      <formula1>0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C4:C203" type="list">
      <formula1>"INTERNAL_LABOUR,CALCULATION,HISTORICAL_COST,ALLOWANCE,FEE,RESERVE"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L4:L203" type="list">
      <formula1>"UNKNOWN,KNOWN,ZERO_CONFIRMED"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H4:H203" type="list">
      <formula1>"NET,GROSS"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9" min="4" style="0" width="28"/>
  </cols>
  <sheetData>
    <row r="1" customFormat="false" ht="33.75" hidden="false" customHeight="true" outlineLevel="0" collapsed="false">
      <c r="A1" s="1" t="s">
        <v>647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48" hidden="false" customHeight="true" outlineLevel="0" collapsed="false">
      <c r="A3" s="3" t="s">
        <v>73</v>
      </c>
      <c r="B3" s="3" t="s">
        <v>2</v>
      </c>
      <c r="C3" s="3" t="s">
        <v>648</v>
      </c>
      <c r="D3" s="3" t="s">
        <v>649</v>
      </c>
      <c r="E3" s="3" t="s">
        <v>650</v>
      </c>
      <c r="F3" s="3" t="s">
        <v>651</v>
      </c>
      <c r="G3" s="3" t="s">
        <v>652</v>
      </c>
      <c r="H3" s="3" t="s">
        <v>653</v>
      </c>
      <c r="I3" s="3" t="s">
        <v>4</v>
      </c>
    </row>
    <row r="4" customFormat="false" ht="16.4" hidden="false" customHeight="false" outlineLevel="0" collapsed="false">
      <c r="A4" s="4" t="s">
        <v>81</v>
      </c>
      <c r="B4" s="4" t="s">
        <v>82</v>
      </c>
      <c r="C4" s="5" t="n">
        <f aca="false">COUNTIF(07_Смета!$B$4:$B$203,A4&amp;"*")</f>
        <v>1</v>
      </c>
      <c r="D4" s="5" t="n">
        <f aca="false">COUNTIFS(07_Смета!$B$4:$B$203,A4&amp;"*",07_Смета!$N$4:$N$203,"READY")</f>
        <v>0</v>
      </c>
      <c r="E4" s="5" t="n">
        <f aca="false">C4-D4-COUNTIFS(07_Смета!$B$4:$B$203,A4&amp;"*",07_Смета!$N$4:$N$203,"NOT_APPLICABLE")</f>
        <v>1</v>
      </c>
      <c r="F4" s="8" t="str">
        <f aca="false">IF(COUNTIFS(07_Смета!$B$4:$B$203,A4&amp;"*",07_Смета!$N$4:$N$203,"READY",07_Смета!$H$4:$H$203,"REMAINING")=0,"",SUMIFS(07_Смета!$M$4:$M$203,07_Смета!$B$4:$B$203,A4&amp;"*",07_Смета!$H$4:$H$203,"REMAINING"))</f>
        <v/>
      </c>
      <c r="G4" s="8" t="str">
        <f aca="false">IF(COUNTIFS(07_Смета!$B$4:$B$203,A4&amp;"*",07_Смета!$N$4:$N$203,"READY",07_Смета!$H$4:$H$203,"SUNK")=0,"",SUMIFS(07_Смета!$M$4:$M$203,07_Смета!$B$4:$B$203,A4&amp;"*",07_Смета!$H$4:$H$203,"SUNK"))</f>
        <v/>
      </c>
      <c r="H4" s="8" t="str">
        <f aca="false">IF(COUNTIFS(07_Смета!$B$4:$B$203,A4&amp;"*",07_Смета!$N$4:$N$203,"READY",07_Смета!$H$4:$H$203,"OUTSIDE")=0,"",SUMIFS(07_Смета!$M$4:$M$203,07_Смета!$B$4:$B$203,A4&amp;"*",07_Смета!$H$4:$H$203,"OUTSIDE"))</f>
        <v/>
      </c>
      <c r="I4" s="5" t="str">
        <f aca="false">IF(C4=0,"SCOPE_NOT_DETAILED",IF(E4&gt;0,"INCOMPLETE","INPUTS_COMPLETE_SCOPE_REVIEW"))</f>
        <v>INCOMPLETE</v>
      </c>
    </row>
    <row r="5" customFormat="false" ht="31.3" hidden="false" customHeight="false" outlineLevel="0" collapsed="false">
      <c r="A5" s="4" t="s">
        <v>92</v>
      </c>
      <c r="B5" s="4" t="s">
        <v>93</v>
      </c>
      <c r="C5" s="5" t="n">
        <f aca="false">COUNTIF(07_Смета!$B$4:$B$203,A5&amp;"*")</f>
        <v>2</v>
      </c>
      <c r="D5" s="5" t="n">
        <f aca="false">COUNTIFS(07_Смета!$B$4:$B$203,A5&amp;"*",07_Смета!$N$4:$N$203,"READY")</f>
        <v>0</v>
      </c>
      <c r="E5" s="5" t="n">
        <f aca="false">C5-D5-COUNTIFS(07_Смета!$B$4:$B$203,A5&amp;"*",07_Смета!$N$4:$N$203,"NOT_APPLICABLE")</f>
        <v>2</v>
      </c>
      <c r="F5" s="8" t="str">
        <f aca="false">IF(COUNTIFS(07_Смета!$B$4:$B$203,A5&amp;"*",07_Смета!$N$4:$N$203,"READY",07_Смета!$H$4:$H$203,"REMAINING")=0,"",SUMIFS(07_Смета!$M$4:$M$203,07_Смета!$B$4:$B$203,A5&amp;"*",07_Смета!$H$4:$H$203,"REMAINING"))</f>
        <v/>
      </c>
      <c r="G5" s="8" t="str">
        <f aca="false">IF(COUNTIFS(07_Смета!$B$4:$B$203,A5&amp;"*",07_Смета!$N$4:$N$203,"READY",07_Смета!$H$4:$H$203,"SUNK")=0,"",SUMIFS(07_Смета!$M$4:$M$203,07_Смета!$B$4:$B$203,A5&amp;"*",07_Смета!$H$4:$H$203,"SUNK"))</f>
        <v/>
      </c>
      <c r="H5" s="8" t="str">
        <f aca="false">IF(COUNTIFS(07_Смета!$B$4:$B$203,A5&amp;"*",07_Смета!$N$4:$N$203,"READY",07_Смета!$H$4:$H$203,"OUTSIDE")=0,"",SUMIFS(07_Смета!$M$4:$M$203,07_Смета!$B$4:$B$203,A5&amp;"*",07_Смета!$H$4:$H$203,"OUTSIDE"))</f>
        <v/>
      </c>
      <c r="I5" s="5" t="str">
        <f aca="false">IF(C5=0,"SCOPE_NOT_DETAILED",IF(E5&gt;0,"INCOMPLETE","INPUTS_COMPLETE_SCOPE_REVIEW"))</f>
        <v>INCOMPLETE</v>
      </c>
    </row>
    <row r="6" customFormat="false" ht="46.25" hidden="false" customHeight="false" outlineLevel="0" collapsed="false">
      <c r="A6" s="4" t="s">
        <v>105</v>
      </c>
      <c r="B6" s="4" t="s">
        <v>106</v>
      </c>
      <c r="C6" s="5" t="n">
        <f aca="false">COUNTIF(07_Смета!$B$4:$B$203,A6&amp;"*")</f>
        <v>4</v>
      </c>
      <c r="D6" s="5" t="n">
        <f aca="false">COUNTIFS(07_Смета!$B$4:$B$203,A6&amp;"*",07_Смета!$N$4:$N$203,"READY")</f>
        <v>0</v>
      </c>
      <c r="E6" s="5" t="n">
        <f aca="false">C6-D6-COUNTIFS(07_Смета!$B$4:$B$203,A6&amp;"*",07_Смета!$N$4:$N$203,"NOT_APPLICABLE")</f>
        <v>4</v>
      </c>
      <c r="F6" s="8" t="str">
        <f aca="false">IF(COUNTIFS(07_Смета!$B$4:$B$203,A6&amp;"*",07_Смета!$N$4:$N$203,"READY",07_Смета!$H$4:$H$203,"REMAINING")=0,"",SUMIFS(07_Смета!$M$4:$M$203,07_Смета!$B$4:$B$203,A6&amp;"*",07_Смета!$H$4:$H$203,"REMAINING"))</f>
        <v/>
      </c>
      <c r="G6" s="8" t="str">
        <f aca="false">IF(COUNTIFS(07_Смета!$B$4:$B$203,A6&amp;"*",07_Смета!$N$4:$N$203,"READY",07_Смета!$H$4:$H$203,"SUNK")=0,"",SUMIFS(07_Смета!$M$4:$M$203,07_Смета!$B$4:$B$203,A6&amp;"*",07_Смета!$H$4:$H$203,"SUNK"))</f>
        <v/>
      </c>
      <c r="H6" s="8" t="str">
        <f aca="false">IF(COUNTIFS(07_Смета!$B$4:$B$203,A6&amp;"*",07_Смета!$N$4:$N$203,"READY",07_Смета!$H$4:$H$203,"OUTSIDE")=0,"",SUMIFS(07_Смета!$M$4:$M$203,07_Смета!$B$4:$B$203,A6&amp;"*",07_Смета!$H$4:$H$203,"OUTSIDE"))</f>
        <v/>
      </c>
      <c r="I6" s="5" t="str">
        <f aca="false">IF(C6=0,"SCOPE_NOT_DETAILED",IF(E6&gt;0,"INCOMPLETE","INPUTS_COMPLETE_SCOPE_REVIEW"))</f>
        <v>INCOMPLETE</v>
      </c>
    </row>
    <row r="7" customFormat="false" ht="16.4" hidden="false" customHeight="false" outlineLevel="0" collapsed="false">
      <c r="A7" s="4" t="s">
        <v>128</v>
      </c>
      <c r="B7" s="4" t="s">
        <v>129</v>
      </c>
      <c r="C7" s="5" t="n">
        <f aca="false">COUNTIF(07_Смета!$B$4:$B$203,A7&amp;"*")</f>
        <v>10</v>
      </c>
      <c r="D7" s="5" t="n">
        <f aca="false">COUNTIFS(07_Смета!$B$4:$B$203,A7&amp;"*",07_Смета!$N$4:$N$203,"READY")</f>
        <v>0</v>
      </c>
      <c r="E7" s="5" t="n">
        <f aca="false">C7-D7-COUNTIFS(07_Смета!$B$4:$B$203,A7&amp;"*",07_Смета!$N$4:$N$203,"NOT_APPLICABLE")</f>
        <v>10</v>
      </c>
      <c r="F7" s="8" t="str">
        <f aca="false">IF(COUNTIFS(07_Смета!$B$4:$B$203,A7&amp;"*",07_Смета!$N$4:$N$203,"READY",07_Смета!$H$4:$H$203,"REMAINING")=0,"",SUMIFS(07_Смета!$M$4:$M$203,07_Смета!$B$4:$B$203,A7&amp;"*",07_Смета!$H$4:$H$203,"REMAINING"))</f>
        <v/>
      </c>
      <c r="G7" s="8" t="str">
        <f aca="false">IF(COUNTIFS(07_Смета!$B$4:$B$203,A7&amp;"*",07_Смета!$N$4:$N$203,"READY",07_Смета!$H$4:$H$203,"SUNK")=0,"",SUMIFS(07_Смета!$M$4:$M$203,07_Смета!$B$4:$B$203,A7&amp;"*",07_Смета!$H$4:$H$203,"SUNK"))</f>
        <v/>
      </c>
      <c r="H7" s="8" t="str">
        <f aca="false">IF(COUNTIFS(07_Смета!$B$4:$B$203,A7&amp;"*",07_Смета!$N$4:$N$203,"READY",07_Смета!$H$4:$H$203,"OUTSIDE")=0,"",SUMIFS(07_Смета!$M$4:$M$203,07_Смета!$B$4:$B$203,A7&amp;"*",07_Смета!$H$4:$H$203,"OUTSIDE"))</f>
        <v/>
      </c>
      <c r="I7" s="5" t="str">
        <f aca="false">IF(C7=0,"SCOPE_NOT_DETAILED",IF(E7&gt;0,"INCOMPLETE","INPUTS_COMPLETE_SCOPE_REVIEW"))</f>
        <v>INCOMPLETE</v>
      </c>
    </row>
    <row r="8" customFormat="false" ht="16.4" hidden="false" customHeight="false" outlineLevel="0" collapsed="false">
      <c r="A8" s="4" t="s">
        <v>181</v>
      </c>
      <c r="B8" s="4" t="s">
        <v>182</v>
      </c>
      <c r="C8" s="5" t="n">
        <f aca="false">COUNTIF(07_Смета!$B$4:$B$203,A8&amp;"*")</f>
        <v>9</v>
      </c>
      <c r="D8" s="5" t="n">
        <f aca="false">COUNTIFS(07_Смета!$B$4:$B$203,A8&amp;"*",07_Смета!$N$4:$N$203,"READY")</f>
        <v>0</v>
      </c>
      <c r="E8" s="5" t="n">
        <f aca="false">C8-D8-COUNTIFS(07_Смета!$B$4:$B$203,A8&amp;"*",07_Смета!$N$4:$N$203,"NOT_APPLICABLE")</f>
        <v>9</v>
      </c>
      <c r="F8" s="8" t="str">
        <f aca="false">IF(COUNTIFS(07_Смета!$B$4:$B$203,A8&amp;"*",07_Смета!$N$4:$N$203,"READY",07_Смета!$H$4:$H$203,"REMAINING")=0,"",SUMIFS(07_Смета!$M$4:$M$203,07_Смета!$B$4:$B$203,A8&amp;"*",07_Смета!$H$4:$H$203,"REMAINING"))</f>
        <v/>
      </c>
      <c r="G8" s="8" t="str">
        <f aca="false">IF(COUNTIFS(07_Смета!$B$4:$B$203,A8&amp;"*",07_Смета!$N$4:$N$203,"READY",07_Смета!$H$4:$H$203,"SUNK")=0,"",SUMIFS(07_Смета!$M$4:$M$203,07_Смета!$B$4:$B$203,A8&amp;"*",07_Смета!$H$4:$H$203,"SUNK"))</f>
        <v/>
      </c>
      <c r="H8" s="8" t="str">
        <f aca="false">IF(COUNTIFS(07_Смета!$B$4:$B$203,A8&amp;"*",07_Смета!$N$4:$N$203,"READY",07_Смета!$H$4:$H$203,"OUTSIDE")=0,"",SUMIFS(07_Смета!$M$4:$M$203,07_Смета!$B$4:$B$203,A8&amp;"*",07_Смета!$H$4:$H$203,"OUTSIDE"))</f>
        <v/>
      </c>
      <c r="I8" s="5" t="str">
        <f aca="false">IF(C8=0,"SCOPE_NOT_DETAILED",IF(E8&gt;0,"INCOMPLETE","INPUTS_COMPLETE_SCOPE_REVIEW"))</f>
        <v>INCOMPLETE</v>
      </c>
    </row>
    <row r="9" customFormat="false" ht="31.3" hidden="false" customHeight="false" outlineLevel="0" collapsed="false">
      <c r="A9" s="4" t="s">
        <v>229</v>
      </c>
      <c r="B9" s="4" t="s">
        <v>230</v>
      </c>
      <c r="C9" s="5" t="n">
        <f aca="false">COUNTIF(07_Смета!$B$4:$B$203,A9&amp;"*")</f>
        <v>4</v>
      </c>
      <c r="D9" s="5" t="n">
        <f aca="false">COUNTIFS(07_Смета!$B$4:$B$203,A9&amp;"*",07_Смета!$N$4:$N$203,"READY")</f>
        <v>0</v>
      </c>
      <c r="E9" s="5" t="n">
        <f aca="false">C9-D9-COUNTIFS(07_Смета!$B$4:$B$203,A9&amp;"*",07_Смета!$N$4:$N$203,"NOT_APPLICABLE")</f>
        <v>4</v>
      </c>
      <c r="F9" s="8" t="str">
        <f aca="false">IF(COUNTIFS(07_Смета!$B$4:$B$203,A9&amp;"*",07_Смета!$N$4:$N$203,"READY",07_Смета!$H$4:$H$203,"REMAINING")=0,"",SUMIFS(07_Смета!$M$4:$M$203,07_Смета!$B$4:$B$203,A9&amp;"*",07_Смета!$H$4:$H$203,"REMAINING"))</f>
        <v/>
      </c>
      <c r="G9" s="8" t="str">
        <f aca="false">IF(COUNTIFS(07_Смета!$B$4:$B$203,A9&amp;"*",07_Смета!$N$4:$N$203,"READY",07_Смета!$H$4:$H$203,"SUNK")=0,"",SUMIFS(07_Смета!$M$4:$M$203,07_Смета!$B$4:$B$203,A9&amp;"*",07_Смета!$H$4:$H$203,"SUNK"))</f>
        <v/>
      </c>
      <c r="H9" s="8" t="str">
        <f aca="false">IF(COUNTIFS(07_Смета!$B$4:$B$203,A9&amp;"*",07_Смета!$N$4:$N$203,"READY",07_Смета!$H$4:$H$203,"OUTSIDE")=0,"",SUMIFS(07_Смета!$M$4:$M$203,07_Смета!$B$4:$B$203,A9&amp;"*",07_Смета!$H$4:$H$203,"OUTSIDE"))</f>
        <v/>
      </c>
      <c r="I9" s="5" t="str">
        <f aca="false">IF(C9=0,"SCOPE_NOT_DETAILED",IF(E9&gt;0,"INCOMPLETE","INPUTS_COMPLETE_SCOPE_REVIEW"))</f>
        <v>INCOMPLETE</v>
      </c>
    </row>
    <row r="10" customFormat="false" ht="31.3" hidden="false" customHeight="false" outlineLevel="0" collapsed="false">
      <c r="A10" s="4" t="s">
        <v>252</v>
      </c>
      <c r="B10" s="4" t="s">
        <v>253</v>
      </c>
      <c r="C10" s="5" t="n">
        <f aca="false">COUNTIF(07_Смета!$B$4:$B$203,A10&amp;"*")</f>
        <v>10</v>
      </c>
      <c r="D10" s="5" t="n">
        <f aca="false">COUNTIFS(07_Смета!$B$4:$B$203,A10&amp;"*",07_Смета!$N$4:$N$203,"READY")</f>
        <v>0</v>
      </c>
      <c r="E10" s="5" t="n">
        <f aca="false">C10-D10-COUNTIFS(07_Смета!$B$4:$B$203,A10&amp;"*",07_Смета!$N$4:$N$203,"NOT_APPLICABLE")</f>
        <v>10</v>
      </c>
      <c r="F10" s="8" t="str">
        <f aca="false">IF(COUNTIFS(07_Смета!$B$4:$B$203,A10&amp;"*",07_Смета!$N$4:$N$203,"READY",07_Смета!$H$4:$H$203,"REMAINING")=0,"",SUMIFS(07_Смета!$M$4:$M$203,07_Смета!$B$4:$B$203,A10&amp;"*",07_Смета!$H$4:$H$203,"REMAINING"))</f>
        <v/>
      </c>
      <c r="G10" s="8" t="str">
        <f aca="false">IF(COUNTIFS(07_Смета!$B$4:$B$203,A10&amp;"*",07_Смета!$N$4:$N$203,"READY",07_Смета!$H$4:$H$203,"SUNK")=0,"",SUMIFS(07_Смета!$M$4:$M$203,07_Смета!$B$4:$B$203,A10&amp;"*",07_Смета!$H$4:$H$203,"SUNK"))</f>
        <v/>
      </c>
      <c r="H10" s="8" t="str">
        <f aca="false">IF(COUNTIFS(07_Смета!$B$4:$B$203,A10&amp;"*",07_Смета!$N$4:$N$203,"READY",07_Смета!$H$4:$H$203,"OUTSIDE")=0,"",SUMIFS(07_Смета!$M$4:$M$203,07_Смета!$B$4:$B$203,A10&amp;"*",07_Смета!$H$4:$H$203,"OUTSIDE"))</f>
        <v/>
      </c>
      <c r="I10" s="5" t="str">
        <f aca="false">IF(C10=0,"SCOPE_NOT_DETAILED",IF(E10&gt;0,"INCOMPLETE","INPUTS_COMPLETE_SCOPE_REVIEW"))</f>
        <v>INCOMPLETE</v>
      </c>
    </row>
    <row r="11" customFormat="false" ht="31.3" hidden="false" customHeight="false" outlineLevel="0" collapsed="false">
      <c r="A11" s="4" t="s">
        <v>305</v>
      </c>
      <c r="B11" s="4" t="s">
        <v>306</v>
      </c>
      <c r="C11" s="5" t="n">
        <f aca="false">COUNTIF(07_Смета!$B$4:$B$203,A11&amp;"*")</f>
        <v>14</v>
      </c>
      <c r="D11" s="5" t="n">
        <f aca="false">COUNTIFS(07_Смета!$B$4:$B$203,A11&amp;"*",07_Смета!$N$4:$N$203,"READY")</f>
        <v>0</v>
      </c>
      <c r="E11" s="5" t="n">
        <f aca="false">C11-D11-COUNTIFS(07_Смета!$B$4:$B$203,A11&amp;"*",07_Смета!$N$4:$N$203,"NOT_APPLICABLE")</f>
        <v>14</v>
      </c>
      <c r="F11" s="8" t="str">
        <f aca="false">IF(COUNTIFS(07_Смета!$B$4:$B$203,A11&amp;"*",07_Смета!$N$4:$N$203,"READY",07_Смета!$H$4:$H$203,"REMAINING")=0,"",SUMIFS(07_Смета!$M$4:$M$203,07_Смета!$B$4:$B$203,A11&amp;"*",07_Смета!$H$4:$H$203,"REMAINING"))</f>
        <v/>
      </c>
      <c r="G11" s="8" t="str">
        <f aca="false">IF(COUNTIFS(07_Смета!$B$4:$B$203,A11&amp;"*",07_Смета!$N$4:$N$203,"READY",07_Смета!$H$4:$H$203,"SUNK")=0,"",SUMIFS(07_Смета!$M$4:$M$203,07_Смета!$B$4:$B$203,A11&amp;"*",07_Смета!$H$4:$H$203,"SUNK"))</f>
        <v/>
      </c>
      <c r="H11" s="8" t="str">
        <f aca="false">IF(COUNTIFS(07_Смета!$B$4:$B$203,A11&amp;"*",07_Смета!$N$4:$N$203,"READY",07_Смета!$H$4:$H$203,"OUTSIDE")=0,"",SUMIFS(07_Смета!$M$4:$M$203,07_Смета!$B$4:$B$203,A11&amp;"*",07_Смета!$H$4:$H$203,"OUTSIDE"))</f>
        <v/>
      </c>
      <c r="I11" s="5" t="str">
        <f aca="false">IF(C11=0,"SCOPE_NOT_DETAILED",IF(E11&gt;0,"INCOMPLETE","INPUTS_COMPLETE_SCOPE_REVIEW"))</f>
        <v>INCOMPLETE</v>
      </c>
    </row>
    <row r="12" customFormat="false" ht="31.3" hidden="false" customHeight="false" outlineLevel="0" collapsed="false">
      <c r="A12" s="4" t="s">
        <v>378</v>
      </c>
      <c r="B12" s="4" t="s">
        <v>379</v>
      </c>
      <c r="C12" s="5" t="n">
        <f aca="false">COUNTIF(07_Смета!$B$4:$B$203,A12&amp;"*")</f>
        <v>6</v>
      </c>
      <c r="D12" s="5" t="n">
        <f aca="false">COUNTIFS(07_Смета!$B$4:$B$203,A12&amp;"*",07_Смета!$N$4:$N$203,"READY")</f>
        <v>0</v>
      </c>
      <c r="E12" s="5" t="n">
        <f aca="false">C12-D12-COUNTIFS(07_Смета!$B$4:$B$203,A12&amp;"*",07_Смета!$N$4:$N$203,"NOT_APPLICABLE")</f>
        <v>6</v>
      </c>
      <c r="F12" s="8" t="str">
        <f aca="false">IF(COUNTIFS(07_Смета!$B$4:$B$203,A12&amp;"*",07_Смета!$N$4:$N$203,"READY",07_Смета!$H$4:$H$203,"REMAINING")=0,"",SUMIFS(07_Смета!$M$4:$M$203,07_Смета!$B$4:$B$203,A12&amp;"*",07_Смета!$H$4:$H$203,"REMAINING"))</f>
        <v/>
      </c>
      <c r="G12" s="8" t="str">
        <f aca="false">IF(COUNTIFS(07_Смета!$B$4:$B$203,A12&amp;"*",07_Смета!$N$4:$N$203,"READY",07_Смета!$H$4:$H$203,"SUNK")=0,"",SUMIFS(07_Смета!$M$4:$M$203,07_Смета!$B$4:$B$203,A12&amp;"*",07_Смета!$H$4:$H$203,"SUNK"))</f>
        <v/>
      </c>
      <c r="H12" s="8" t="str">
        <f aca="false">IF(COUNTIFS(07_Смета!$B$4:$B$203,A12&amp;"*",07_Смета!$N$4:$N$203,"READY",07_Смета!$H$4:$H$203,"OUTSIDE")=0,"",SUMIFS(07_Смета!$M$4:$M$203,07_Смета!$B$4:$B$203,A12&amp;"*",07_Смета!$H$4:$H$203,"OUTSIDE"))</f>
        <v/>
      </c>
      <c r="I12" s="5" t="str">
        <f aca="false">IF(C12=0,"SCOPE_NOT_DETAILED",IF(E12&gt;0,"INCOMPLETE","INPUTS_COMPLETE_SCOPE_REVIEW"))</f>
        <v>INCOMPLETE</v>
      </c>
    </row>
    <row r="13" customFormat="false" ht="16.4" hidden="false" customHeight="false" outlineLevel="0" collapsed="false">
      <c r="A13" s="4" t="s">
        <v>411</v>
      </c>
      <c r="B13" s="4" t="s">
        <v>412</v>
      </c>
      <c r="C13" s="5" t="n">
        <f aca="false">COUNTIF(07_Смета!$B$4:$B$203,A13&amp;"*")</f>
        <v>3</v>
      </c>
      <c r="D13" s="5" t="n">
        <f aca="false">COUNTIFS(07_Смета!$B$4:$B$203,A13&amp;"*",07_Смета!$N$4:$N$203,"READY")</f>
        <v>0</v>
      </c>
      <c r="E13" s="5" t="n">
        <f aca="false">C13-D13-COUNTIFS(07_Смета!$B$4:$B$203,A13&amp;"*",07_Смета!$N$4:$N$203,"NOT_APPLICABLE")</f>
        <v>3</v>
      </c>
      <c r="F13" s="8" t="str">
        <f aca="false">IF(COUNTIFS(07_Смета!$B$4:$B$203,A13&amp;"*",07_Смета!$N$4:$N$203,"READY",07_Смета!$H$4:$H$203,"REMAINING")=0,"",SUMIFS(07_Смета!$M$4:$M$203,07_Смета!$B$4:$B$203,A13&amp;"*",07_Смета!$H$4:$H$203,"REMAINING"))</f>
        <v/>
      </c>
      <c r="G13" s="8" t="str">
        <f aca="false">IF(COUNTIFS(07_Смета!$B$4:$B$203,A13&amp;"*",07_Смета!$N$4:$N$203,"READY",07_Смета!$H$4:$H$203,"SUNK")=0,"",SUMIFS(07_Смета!$M$4:$M$203,07_Смета!$B$4:$B$203,A13&amp;"*",07_Смета!$H$4:$H$203,"SUNK"))</f>
        <v/>
      </c>
      <c r="H13" s="8" t="str">
        <f aca="false">IF(COUNTIFS(07_Смета!$B$4:$B$203,A13&amp;"*",07_Смета!$N$4:$N$203,"READY",07_Смета!$H$4:$H$203,"OUTSIDE")=0,"",SUMIFS(07_Смета!$M$4:$M$203,07_Смета!$B$4:$B$203,A13&amp;"*",07_Смета!$H$4:$H$203,"OUTSIDE"))</f>
        <v/>
      </c>
      <c r="I13" s="5" t="str">
        <f aca="false">IF(C13=0,"SCOPE_NOT_DETAILED",IF(E13&gt;0,"INCOMPLETE","INPUTS_COMPLETE_SCOPE_REVIEW"))</f>
        <v>INCOMPLETE</v>
      </c>
    </row>
    <row r="14" customFormat="false" ht="31.3" hidden="false" customHeight="false" outlineLevel="0" collapsed="false">
      <c r="A14" s="4" t="s">
        <v>429</v>
      </c>
      <c r="B14" s="4" t="s">
        <v>430</v>
      </c>
      <c r="C14" s="5" t="n">
        <f aca="false">COUNTIF(07_Смета!$B$4:$B$203,A14&amp;"*")</f>
        <v>4</v>
      </c>
      <c r="D14" s="5" t="n">
        <f aca="false">COUNTIFS(07_Смета!$B$4:$B$203,A14&amp;"*",07_Смета!$N$4:$N$203,"READY")</f>
        <v>0</v>
      </c>
      <c r="E14" s="5" t="n">
        <f aca="false">C14-D14-COUNTIFS(07_Смета!$B$4:$B$203,A14&amp;"*",07_Смета!$N$4:$N$203,"NOT_APPLICABLE")</f>
        <v>4</v>
      </c>
      <c r="F14" s="8" t="str">
        <f aca="false">IF(COUNTIFS(07_Смета!$B$4:$B$203,A14&amp;"*",07_Смета!$N$4:$N$203,"READY",07_Смета!$H$4:$H$203,"REMAINING")=0,"",SUMIFS(07_Смета!$M$4:$M$203,07_Смета!$B$4:$B$203,A14&amp;"*",07_Смета!$H$4:$H$203,"REMAINING"))</f>
        <v/>
      </c>
      <c r="G14" s="8" t="str">
        <f aca="false">IF(COUNTIFS(07_Смета!$B$4:$B$203,A14&amp;"*",07_Смета!$N$4:$N$203,"READY",07_Смета!$H$4:$H$203,"SUNK")=0,"",SUMIFS(07_Смета!$M$4:$M$203,07_Смета!$B$4:$B$203,A14&amp;"*",07_Смета!$H$4:$H$203,"SUNK"))</f>
        <v/>
      </c>
      <c r="H14" s="8" t="str">
        <f aca="false">IF(COUNTIFS(07_Смета!$B$4:$B$203,A14&amp;"*",07_Смета!$N$4:$N$203,"READY",07_Смета!$H$4:$H$203,"OUTSIDE")=0,"",SUMIFS(07_Смета!$M$4:$M$203,07_Смета!$B$4:$B$203,A14&amp;"*",07_Смета!$H$4:$H$203,"OUTSIDE"))</f>
        <v/>
      </c>
      <c r="I14" s="5" t="str">
        <f aca="false">IF(C14=0,"SCOPE_NOT_DETAILED",IF(E14&gt;0,"INCOMPLETE","INPUTS_COMPLETE_SCOPE_REVIEW"))</f>
        <v>INCOMPLETE</v>
      </c>
    </row>
    <row r="15" customFormat="false" ht="31.3" hidden="false" customHeight="false" outlineLevel="0" collapsed="false">
      <c r="A15" s="4" t="s">
        <v>452</v>
      </c>
      <c r="B15" s="4" t="s">
        <v>453</v>
      </c>
      <c r="C15" s="5" t="n">
        <f aca="false">COUNTIF(07_Смета!$B$4:$B$203,A15&amp;"*")</f>
        <v>5</v>
      </c>
      <c r="D15" s="5" t="n">
        <f aca="false">COUNTIFS(07_Смета!$B$4:$B$203,A15&amp;"*",07_Смета!$N$4:$N$203,"READY")</f>
        <v>0</v>
      </c>
      <c r="E15" s="5" t="n">
        <f aca="false">C15-D15-COUNTIFS(07_Смета!$B$4:$B$203,A15&amp;"*",07_Смета!$N$4:$N$203,"NOT_APPLICABLE")</f>
        <v>5</v>
      </c>
      <c r="F15" s="8" t="str">
        <f aca="false">IF(COUNTIFS(07_Смета!$B$4:$B$203,A15&amp;"*",07_Смета!$N$4:$N$203,"READY",07_Смета!$H$4:$H$203,"REMAINING")=0,"",SUMIFS(07_Смета!$M$4:$M$203,07_Смета!$B$4:$B$203,A15&amp;"*",07_Смета!$H$4:$H$203,"REMAINING"))</f>
        <v/>
      </c>
      <c r="G15" s="8" t="str">
        <f aca="false">IF(COUNTIFS(07_Смета!$B$4:$B$203,A15&amp;"*",07_Смета!$N$4:$N$203,"READY",07_Смета!$H$4:$H$203,"SUNK")=0,"",SUMIFS(07_Смета!$M$4:$M$203,07_Смета!$B$4:$B$203,A15&amp;"*",07_Смета!$H$4:$H$203,"SUNK"))</f>
        <v/>
      </c>
      <c r="H15" s="8" t="str">
        <f aca="false">IF(COUNTIFS(07_Смета!$B$4:$B$203,A15&amp;"*",07_Смета!$N$4:$N$203,"READY",07_Смета!$H$4:$H$203,"OUTSIDE")=0,"",SUMIFS(07_Смета!$M$4:$M$203,07_Смета!$B$4:$B$203,A15&amp;"*",07_Смета!$H$4:$H$203,"OUTSIDE"))</f>
        <v/>
      </c>
      <c r="I15" s="5" t="str">
        <f aca="false">IF(C15=0,"SCOPE_NOT_DETAILED",IF(E15&gt;0,"INCOMPLETE","INPUTS_COMPLETE_SCOPE_REVIEW"))</f>
        <v>INCOMPLETE</v>
      </c>
    </row>
    <row r="16" customFormat="false" ht="46.25" hidden="false" customHeight="false" outlineLevel="0" collapsed="false">
      <c r="A16" s="4" t="s">
        <v>654</v>
      </c>
      <c r="B16" s="4" t="s">
        <v>655</v>
      </c>
      <c r="C16" s="5" t="n">
        <f aca="false">SUM(C4:C15)</f>
        <v>72</v>
      </c>
      <c r="D16" s="5" t="n">
        <f aca="false">SUM(D4:D15)</f>
        <v>0</v>
      </c>
      <c r="E16" s="5" t="n">
        <f aca="false">SUM(E4:E15)</f>
        <v>72</v>
      </c>
      <c r="F16" s="8" t="str">
        <f aca="false">IF(COUNT(F4:F15)=0,"",SUM(F4:F15))</f>
        <v/>
      </c>
      <c r="G16" s="8" t="str">
        <f aca="false">IF(COUNT(G4:G15)=0,"",SUM(G4:G15))</f>
        <v/>
      </c>
      <c r="H16" s="8" t="str">
        <f aca="false">IF(COUNT(H4:H15)=0,"",SUM(H4:H15))</f>
        <v/>
      </c>
      <c r="I16" s="5" t="str">
        <f aca="false">"НЕ УТВЕРЖДЕНО — проверить состав, источники и решение владельца"</f>
        <v>НЕ УТВЕРЖДЕНО — проверить состав, источники и решение владельца</v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</sheetData>
  <autoFilter ref="A3:I17"/>
  <mergeCells count="2">
    <mergeCell ref="A1:I1"/>
    <mergeCell ref="A2:I2"/>
  </mergeCell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2" min="4" style="0" width="28"/>
  </cols>
  <sheetData>
    <row r="1" customFormat="false" ht="33.75" hidden="false" customHeight="true" outlineLevel="0" collapsed="false">
      <c r="A1" s="1" t="s">
        <v>656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8" hidden="false" customHeight="true" outlineLevel="0" collapsed="false">
      <c r="A3" s="3" t="s">
        <v>657</v>
      </c>
      <c r="B3" s="3" t="s">
        <v>73</v>
      </c>
      <c r="C3" s="3" t="s">
        <v>640</v>
      </c>
      <c r="D3" s="3" t="s">
        <v>658</v>
      </c>
      <c r="E3" s="3" t="s">
        <v>659</v>
      </c>
      <c r="F3" s="3" t="s">
        <v>660</v>
      </c>
      <c r="G3" s="3" t="s">
        <v>661</v>
      </c>
      <c r="H3" s="3" t="s">
        <v>662</v>
      </c>
      <c r="I3" s="3" t="s">
        <v>663</v>
      </c>
      <c r="J3" s="3" t="s">
        <v>664</v>
      </c>
      <c r="K3" s="3" t="s">
        <v>4</v>
      </c>
      <c r="L3" s="3" t="s">
        <v>80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</sheetData>
  <autoFilter ref="A3:L203"/>
  <mergeCells count="2">
    <mergeCell ref="A1:L1"/>
    <mergeCell ref="A2:L2"/>
  </mergeCells>
  <dataValidations count="2">
    <dataValidation allowBlank="true" error="Требуется допустимое число." errorStyle="stop" operator="greaterThanOrEqual" showDropDown="false" showErrorMessage="true" showInputMessage="false" sqref="G4:G203" type="decimal">
      <formula1>0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K4:K203" type="list">
      <formula1>"OPEN,MITIGATED,ACCEPTED,CLOSED"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3" min="4" style="0" width="28"/>
  </cols>
  <sheetData>
    <row r="1" customFormat="false" ht="33.75" hidden="false" customHeight="true" outlineLevel="0" collapsed="false">
      <c r="A1" s="1" t="s">
        <v>665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8" hidden="false" customHeight="true" outlineLevel="0" collapsed="false">
      <c r="A3" s="3" t="s">
        <v>666</v>
      </c>
      <c r="B3" s="3" t="s">
        <v>667</v>
      </c>
      <c r="C3" s="3" t="s">
        <v>668</v>
      </c>
      <c r="D3" s="3" t="s">
        <v>548</v>
      </c>
      <c r="E3" s="3" t="s">
        <v>669</v>
      </c>
      <c r="F3" s="3" t="s">
        <v>670</v>
      </c>
      <c r="G3" s="3" t="s">
        <v>671</v>
      </c>
      <c r="H3" s="3" t="s">
        <v>672</v>
      </c>
      <c r="I3" s="3" t="s">
        <v>673</v>
      </c>
      <c r="J3" s="3" t="s">
        <v>674</v>
      </c>
      <c r="K3" s="3" t="s">
        <v>675</v>
      </c>
      <c r="L3" s="3" t="s">
        <v>4</v>
      </c>
      <c r="M3" s="3" t="s">
        <v>676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8" t="str">
        <f aca="false">IF(AND(A4&lt;&gt;"",COUNT(H4:I4)=2),ROUND(I4-H4,2),"")</f>
        <v/>
      </c>
      <c r="K4" s="4"/>
      <c r="L4" s="4"/>
      <c r="M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8" t="str">
        <f aca="false">IF(AND(A5&lt;&gt;"",COUNT(H5:I5)=2),ROUND(I5-H5,2),"")</f>
        <v/>
      </c>
      <c r="K5" s="4"/>
      <c r="L5" s="4"/>
      <c r="M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8" t="str">
        <f aca="false">IF(AND(A6&lt;&gt;"",COUNT(H6:I6)=2),ROUND(I6-H6,2),"")</f>
        <v/>
      </c>
      <c r="K6" s="4"/>
      <c r="L6" s="4"/>
      <c r="M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8" t="str">
        <f aca="false">IF(AND(A7&lt;&gt;"",COUNT(H7:I7)=2),ROUND(I7-H7,2),"")</f>
        <v/>
      </c>
      <c r="K7" s="4"/>
      <c r="L7" s="4"/>
      <c r="M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8" t="str">
        <f aca="false">IF(AND(A8&lt;&gt;"",COUNT(H8:I8)=2),ROUND(I8-H8,2),"")</f>
        <v/>
      </c>
      <c r="K8" s="4"/>
      <c r="L8" s="4"/>
      <c r="M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8" t="str">
        <f aca="false">IF(AND(A9&lt;&gt;"",COUNT(H9:I9)=2),ROUND(I9-H9,2),"")</f>
        <v/>
      </c>
      <c r="K9" s="4"/>
      <c r="L9" s="4"/>
      <c r="M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8" t="str">
        <f aca="false">IF(AND(A10&lt;&gt;"",COUNT(H10:I10)=2),ROUND(I10-H10,2),"")</f>
        <v/>
      </c>
      <c r="K10" s="4"/>
      <c r="L10" s="4"/>
      <c r="M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8" t="str">
        <f aca="false">IF(AND(A11&lt;&gt;"",COUNT(H11:I11)=2),ROUND(I11-H11,2),"")</f>
        <v/>
      </c>
      <c r="K11" s="4"/>
      <c r="L11" s="4"/>
      <c r="M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8" t="str">
        <f aca="false">IF(AND(A12&lt;&gt;"",COUNT(H12:I12)=2),ROUND(I12-H12,2),"")</f>
        <v/>
      </c>
      <c r="K12" s="4"/>
      <c r="L12" s="4"/>
      <c r="M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8" t="str">
        <f aca="false">IF(AND(A13&lt;&gt;"",COUNT(H13:I13)=2),ROUND(I13-H13,2),"")</f>
        <v/>
      </c>
      <c r="K13" s="4"/>
      <c r="L13" s="4"/>
      <c r="M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8" t="str">
        <f aca="false">IF(AND(A14&lt;&gt;"",COUNT(H14:I14)=2),ROUND(I14-H14,2),"")</f>
        <v/>
      </c>
      <c r="K14" s="4"/>
      <c r="L14" s="4"/>
      <c r="M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8" t="str">
        <f aca="false">IF(AND(A15&lt;&gt;"",COUNT(H15:I15)=2),ROUND(I15-H15,2),"")</f>
        <v/>
      </c>
      <c r="K15" s="4"/>
      <c r="L15" s="4"/>
      <c r="M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8" t="str">
        <f aca="false">IF(AND(A16&lt;&gt;"",COUNT(H16:I16)=2),ROUND(I16-H16,2),"")</f>
        <v/>
      </c>
      <c r="K16" s="4"/>
      <c r="L16" s="4"/>
      <c r="M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8" t="str">
        <f aca="false">IF(AND(A17&lt;&gt;"",COUNT(H17:I17)=2),ROUND(I17-H17,2),"")</f>
        <v/>
      </c>
      <c r="K17" s="4"/>
      <c r="L17" s="4"/>
      <c r="M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8" t="str">
        <f aca="false">IF(AND(A18&lt;&gt;"",COUNT(H18:I18)=2),ROUND(I18-H18,2),"")</f>
        <v/>
      </c>
      <c r="K18" s="4"/>
      <c r="L18" s="4"/>
      <c r="M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8" t="str">
        <f aca="false">IF(AND(A19&lt;&gt;"",COUNT(H19:I19)=2),ROUND(I19-H19,2),"")</f>
        <v/>
      </c>
      <c r="K19" s="4"/>
      <c r="L19" s="4"/>
      <c r="M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8" t="str">
        <f aca="false">IF(AND(A20&lt;&gt;"",COUNT(H20:I20)=2),ROUND(I20-H20,2),"")</f>
        <v/>
      </c>
      <c r="K20" s="4"/>
      <c r="L20" s="4"/>
      <c r="M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8" t="str">
        <f aca="false">IF(AND(A21&lt;&gt;"",COUNT(H21:I21)=2),ROUND(I21-H21,2),"")</f>
        <v/>
      </c>
      <c r="K21" s="4"/>
      <c r="L21" s="4"/>
      <c r="M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8" t="str">
        <f aca="false">IF(AND(A22&lt;&gt;"",COUNT(H22:I22)=2),ROUND(I22-H22,2),"")</f>
        <v/>
      </c>
      <c r="K22" s="4"/>
      <c r="L22" s="4"/>
      <c r="M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8" t="str">
        <f aca="false">IF(AND(A23&lt;&gt;"",COUNT(H23:I23)=2),ROUND(I23-H23,2),"")</f>
        <v/>
      </c>
      <c r="K23" s="4"/>
      <c r="L23" s="4"/>
      <c r="M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8" t="str">
        <f aca="false">IF(AND(A24&lt;&gt;"",COUNT(H24:I24)=2),ROUND(I24-H24,2),"")</f>
        <v/>
      </c>
      <c r="K24" s="4"/>
      <c r="L24" s="4"/>
      <c r="M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8" t="str">
        <f aca="false">IF(AND(A25&lt;&gt;"",COUNT(H25:I25)=2),ROUND(I25-H25,2),"")</f>
        <v/>
      </c>
      <c r="K25" s="4"/>
      <c r="L25" s="4"/>
      <c r="M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8" t="str">
        <f aca="false">IF(AND(A26&lt;&gt;"",COUNT(H26:I26)=2),ROUND(I26-H26,2),"")</f>
        <v/>
      </c>
      <c r="K26" s="4"/>
      <c r="L26" s="4"/>
      <c r="M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8" t="str">
        <f aca="false">IF(AND(A27&lt;&gt;"",COUNT(H27:I27)=2),ROUND(I27-H27,2),"")</f>
        <v/>
      </c>
      <c r="K27" s="4"/>
      <c r="L27" s="4"/>
      <c r="M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8" t="str">
        <f aca="false">IF(AND(A28&lt;&gt;"",COUNT(H28:I28)=2),ROUND(I28-H28,2),"")</f>
        <v/>
      </c>
      <c r="K28" s="4"/>
      <c r="L28" s="4"/>
      <c r="M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8" t="str">
        <f aca="false">IF(AND(A29&lt;&gt;"",COUNT(H29:I29)=2),ROUND(I29-H29,2),"")</f>
        <v/>
      </c>
      <c r="K29" s="4"/>
      <c r="L29" s="4"/>
      <c r="M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8" t="str">
        <f aca="false">IF(AND(A30&lt;&gt;"",COUNT(H30:I30)=2),ROUND(I30-H30,2),"")</f>
        <v/>
      </c>
      <c r="K30" s="4"/>
      <c r="L30" s="4"/>
      <c r="M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8" t="str">
        <f aca="false">IF(AND(A31&lt;&gt;"",COUNT(H31:I31)=2),ROUND(I31-H31,2),"")</f>
        <v/>
      </c>
      <c r="K31" s="4"/>
      <c r="L31" s="4"/>
      <c r="M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8" t="str">
        <f aca="false">IF(AND(A32&lt;&gt;"",COUNT(H32:I32)=2),ROUND(I32-H32,2),"")</f>
        <v/>
      </c>
      <c r="K32" s="4"/>
      <c r="L32" s="4"/>
      <c r="M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8" t="str">
        <f aca="false">IF(AND(A33&lt;&gt;"",COUNT(H33:I33)=2),ROUND(I33-H33,2),"")</f>
        <v/>
      </c>
      <c r="K33" s="4"/>
      <c r="L33" s="4"/>
      <c r="M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8" t="str">
        <f aca="false">IF(AND(A34&lt;&gt;"",COUNT(H34:I34)=2),ROUND(I34-H34,2),"")</f>
        <v/>
      </c>
      <c r="K34" s="4"/>
      <c r="L34" s="4"/>
      <c r="M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8" t="str">
        <f aca="false">IF(AND(A35&lt;&gt;"",COUNT(H35:I35)=2),ROUND(I35-H35,2),"")</f>
        <v/>
      </c>
      <c r="K35" s="4"/>
      <c r="L35" s="4"/>
      <c r="M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8" t="str">
        <f aca="false">IF(AND(A36&lt;&gt;"",COUNT(H36:I36)=2),ROUND(I36-H36,2),"")</f>
        <v/>
      </c>
      <c r="K36" s="4"/>
      <c r="L36" s="4"/>
      <c r="M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8" t="str">
        <f aca="false">IF(AND(A37&lt;&gt;"",COUNT(H37:I37)=2),ROUND(I37-H37,2),"")</f>
        <v/>
      </c>
      <c r="K37" s="4"/>
      <c r="L37" s="4"/>
      <c r="M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8" t="str">
        <f aca="false">IF(AND(A38&lt;&gt;"",COUNT(H38:I38)=2),ROUND(I38-H38,2),"")</f>
        <v/>
      </c>
      <c r="K38" s="4"/>
      <c r="L38" s="4"/>
      <c r="M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8" t="str">
        <f aca="false">IF(AND(A39&lt;&gt;"",COUNT(H39:I39)=2),ROUND(I39-H39,2),"")</f>
        <v/>
      </c>
      <c r="K39" s="4"/>
      <c r="L39" s="4"/>
      <c r="M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8" t="str">
        <f aca="false">IF(AND(A40&lt;&gt;"",COUNT(H40:I40)=2),ROUND(I40-H40,2),"")</f>
        <v/>
      </c>
      <c r="K40" s="4"/>
      <c r="L40" s="4"/>
      <c r="M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8" t="str">
        <f aca="false">IF(AND(A41&lt;&gt;"",COUNT(H41:I41)=2),ROUND(I41-H41,2),"")</f>
        <v/>
      </c>
      <c r="K41" s="4"/>
      <c r="L41" s="4"/>
      <c r="M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8" t="str">
        <f aca="false">IF(AND(A42&lt;&gt;"",COUNT(H42:I42)=2),ROUND(I42-H42,2),"")</f>
        <v/>
      </c>
      <c r="K42" s="4"/>
      <c r="L42" s="4"/>
      <c r="M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8" t="str">
        <f aca="false">IF(AND(A43&lt;&gt;"",COUNT(H43:I43)=2),ROUND(I43-H43,2),"")</f>
        <v/>
      </c>
      <c r="K43" s="4"/>
      <c r="L43" s="4"/>
      <c r="M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8" t="str">
        <f aca="false">IF(AND(A44&lt;&gt;"",COUNT(H44:I44)=2),ROUND(I44-H44,2),"")</f>
        <v/>
      </c>
      <c r="K44" s="4"/>
      <c r="L44" s="4"/>
      <c r="M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8" t="str">
        <f aca="false">IF(AND(A45&lt;&gt;"",COUNT(H45:I45)=2),ROUND(I45-H45,2),"")</f>
        <v/>
      </c>
      <c r="K45" s="4"/>
      <c r="L45" s="4"/>
      <c r="M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8" t="str">
        <f aca="false">IF(AND(A46&lt;&gt;"",COUNT(H46:I46)=2),ROUND(I46-H46,2),"")</f>
        <v/>
      </c>
      <c r="K46" s="4"/>
      <c r="L46" s="4"/>
      <c r="M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8" t="str">
        <f aca="false">IF(AND(A47&lt;&gt;"",COUNT(H47:I47)=2),ROUND(I47-H47,2),"")</f>
        <v/>
      </c>
      <c r="K47" s="4"/>
      <c r="L47" s="4"/>
      <c r="M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8" t="str">
        <f aca="false">IF(AND(A48&lt;&gt;"",COUNT(H48:I48)=2),ROUND(I48-H48,2),"")</f>
        <v/>
      </c>
      <c r="K48" s="4"/>
      <c r="L48" s="4"/>
      <c r="M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8" t="str">
        <f aca="false">IF(AND(A49&lt;&gt;"",COUNT(H49:I49)=2),ROUND(I49-H49,2),"")</f>
        <v/>
      </c>
      <c r="K49" s="4"/>
      <c r="L49" s="4"/>
      <c r="M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8" t="str">
        <f aca="false">IF(AND(A50&lt;&gt;"",COUNT(H50:I50)=2),ROUND(I50-H50,2),"")</f>
        <v/>
      </c>
      <c r="K50" s="4"/>
      <c r="L50" s="4"/>
      <c r="M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8" t="str">
        <f aca="false">IF(AND(A51&lt;&gt;"",COUNT(H51:I51)=2),ROUND(I51-H51,2),"")</f>
        <v/>
      </c>
      <c r="K51" s="4"/>
      <c r="L51" s="4"/>
      <c r="M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8" t="str">
        <f aca="false">IF(AND(A52&lt;&gt;"",COUNT(H52:I52)=2),ROUND(I52-H52,2),"")</f>
        <v/>
      </c>
      <c r="K52" s="4"/>
      <c r="L52" s="4"/>
      <c r="M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8" t="str">
        <f aca="false">IF(AND(A53&lt;&gt;"",COUNT(H53:I53)=2),ROUND(I53-H53,2),"")</f>
        <v/>
      </c>
      <c r="K53" s="4"/>
      <c r="L53" s="4"/>
      <c r="M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8" t="str">
        <f aca="false">IF(AND(A54&lt;&gt;"",COUNT(H54:I54)=2),ROUND(I54-H54,2),"")</f>
        <v/>
      </c>
      <c r="K54" s="4"/>
      <c r="L54" s="4"/>
      <c r="M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8" t="str">
        <f aca="false">IF(AND(A55&lt;&gt;"",COUNT(H55:I55)=2),ROUND(I55-H55,2),"")</f>
        <v/>
      </c>
      <c r="K55" s="4"/>
      <c r="L55" s="4"/>
      <c r="M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8" t="str">
        <f aca="false">IF(AND(A56&lt;&gt;"",COUNT(H56:I56)=2),ROUND(I56-H56,2),"")</f>
        <v/>
      </c>
      <c r="K56" s="4"/>
      <c r="L56" s="4"/>
      <c r="M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8" t="str">
        <f aca="false">IF(AND(A57&lt;&gt;"",COUNT(H57:I57)=2),ROUND(I57-H57,2),"")</f>
        <v/>
      </c>
      <c r="K57" s="4"/>
      <c r="L57" s="4"/>
      <c r="M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8" t="str">
        <f aca="false">IF(AND(A58&lt;&gt;"",COUNT(H58:I58)=2),ROUND(I58-H58,2),"")</f>
        <v/>
      </c>
      <c r="K58" s="4"/>
      <c r="L58" s="4"/>
      <c r="M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8" t="str">
        <f aca="false">IF(AND(A59&lt;&gt;"",COUNT(H59:I59)=2),ROUND(I59-H59,2),"")</f>
        <v/>
      </c>
      <c r="K59" s="4"/>
      <c r="L59" s="4"/>
      <c r="M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8" t="str">
        <f aca="false">IF(AND(A60&lt;&gt;"",COUNT(H60:I60)=2),ROUND(I60-H60,2),"")</f>
        <v/>
      </c>
      <c r="K60" s="4"/>
      <c r="L60" s="4"/>
      <c r="M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8" t="str">
        <f aca="false">IF(AND(A61&lt;&gt;"",COUNT(H61:I61)=2),ROUND(I61-H61,2),"")</f>
        <v/>
      </c>
      <c r="K61" s="4"/>
      <c r="L61" s="4"/>
      <c r="M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8" t="str">
        <f aca="false">IF(AND(A62&lt;&gt;"",COUNT(H62:I62)=2),ROUND(I62-H62,2),"")</f>
        <v/>
      </c>
      <c r="K62" s="4"/>
      <c r="L62" s="4"/>
      <c r="M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8" t="str">
        <f aca="false">IF(AND(A63&lt;&gt;"",COUNT(H63:I63)=2),ROUND(I63-H63,2),"")</f>
        <v/>
      </c>
      <c r="K63" s="4"/>
      <c r="L63" s="4"/>
      <c r="M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8" t="str">
        <f aca="false">IF(AND(A64&lt;&gt;"",COUNT(H64:I64)=2),ROUND(I64-H64,2),"")</f>
        <v/>
      </c>
      <c r="K64" s="4"/>
      <c r="L64" s="4"/>
      <c r="M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8" t="str">
        <f aca="false">IF(AND(A65&lt;&gt;"",COUNT(H65:I65)=2),ROUND(I65-H65,2),"")</f>
        <v/>
      </c>
      <c r="K65" s="4"/>
      <c r="L65" s="4"/>
      <c r="M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8" t="str">
        <f aca="false">IF(AND(A66&lt;&gt;"",COUNT(H66:I66)=2),ROUND(I66-H66,2),"")</f>
        <v/>
      </c>
      <c r="K66" s="4"/>
      <c r="L66" s="4"/>
      <c r="M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8" t="str">
        <f aca="false">IF(AND(A67&lt;&gt;"",COUNT(H67:I67)=2),ROUND(I67-H67,2),"")</f>
        <v/>
      </c>
      <c r="K67" s="4"/>
      <c r="L67" s="4"/>
      <c r="M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8" t="str">
        <f aca="false">IF(AND(A68&lt;&gt;"",COUNT(H68:I68)=2),ROUND(I68-H68,2),"")</f>
        <v/>
      </c>
      <c r="K68" s="4"/>
      <c r="L68" s="4"/>
      <c r="M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8" t="str">
        <f aca="false">IF(AND(A69&lt;&gt;"",COUNT(H69:I69)=2),ROUND(I69-H69,2),"")</f>
        <v/>
      </c>
      <c r="K69" s="4"/>
      <c r="L69" s="4"/>
      <c r="M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8" t="str">
        <f aca="false">IF(AND(A70&lt;&gt;"",COUNT(H70:I70)=2),ROUND(I70-H70,2),"")</f>
        <v/>
      </c>
      <c r="K70" s="4"/>
      <c r="L70" s="4"/>
      <c r="M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8" t="str">
        <f aca="false">IF(AND(A71&lt;&gt;"",COUNT(H71:I71)=2),ROUND(I71-H71,2),"")</f>
        <v/>
      </c>
      <c r="K71" s="4"/>
      <c r="L71" s="4"/>
      <c r="M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8" t="str">
        <f aca="false">IF(AND(A72&lt;&gt;"",COUNT(H72:I72)=2),ROUND(I72-H72,2),"")</f>
        <v/>
      </c>
      <c r="K72" s="4"/>
      <c r="L72" s="4"/>
      <c r="M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8" t="str">
        <f aca="false">IF(AND(A73&lt;&gt;"",COUNT(H73:I73)=2),ROUND(I73-H73,2),"")</f>
        <v/>
      </c>
      <c r="K73" s="4"/>
      <c r="L73" s="4"/>
      <c r="M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8" t="str">
        <f aca="false">IF(AND(A74&lt;&gt;"",COUNT(H74:I74)=2),ROUND(I74-H74,2),"")</f>
        <v/>
      </c>
      <c r="K74" s="4"/>
      <c r="L74" s="4"/>
      <c r="M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8" t="str">
        <f aca="false">IF(AND(A75&lt;&gt;"",COUNT(H75:I75)=2),ROUND(I75-H75,2),"")</f>
        <v/>
      </c>
      <c r="K75" s="4"/>
      <c r="L75" s="4"/>
      <c r="M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8" t="str">
        <f aca="false">IF(AND(A76&lt;&gt;"",COUNT(H76:I76)=2),ROUND(I76-H76,2),"")</f>
        <v/>
      </c>
      <c r="K76" s="4"/>
      <c r="L76" s="4"/>
      <c r="M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8" t="str">
        <f aca="false">IF(AND(A77&lt;&gt;"",COUNT(H77:I77)=2),ROUND(I77-H77,2),"")</f>
        <v/>
      </c>
      <c r="K77" s="4"/>
      <c r="L77" s="4"/>
      <c r="M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8" t="str">
        <f aca="false">IF(AND(A78&lt;&gt;"",COUNT(H78:I78)=2),ROUND(I78-H78,2),"")</f>
        <v/>
      </c>
      <c r="K78" s="4"/>
      <c r="L78" s="4"/>
      <c r="M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8" t="str">
        <f aca="false">IF(AND(A79&lt;&gt;"",COUNT(H79:I79)=2),ROUND(I79-H79,2),"")</f>
        <v/>
      </c>
      <c r="K79" s="4"/>
      <c r="L79" s="4"/>
      <c r="M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8" t="str">
        <f aca="false">IF(AND(A80&lt;&gt;"",COUNT(H80:I80)=2),ROUND(I80-H80,2),"")</f>
        <v/>
      </c>
      <c r="K80" s="4"/>
      <c r="L80" s="4"/>
      <c r="M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8" t="str">
        <f aca="false">IF(AND(A81&lt;&gt;"",COUNT(H81:I81)=2),ROUND(I81-H81,2),"")</f>
        <v/>
      </c>
      <c r="K81" s="4"/>
      <c r="L81" s="4"/>
      <c r="M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8" t="str">
        <f aca="false">IF(AND(A82&lt;&gt;"",COUNT(H82:I82)=2),ROUND(I82-H82,2),"")</f>
        <v/>
      </c>
      <c r="K82" s="4"/>
      <c r="L82" s="4"/>
      <c r="M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8" t="str">
        <f aca="false">IF(AND(A83&lt;&gt;"",COUNT(H83:I83)=2),ROUND(I83-H83,2),"")</f>
        <v/>
      </c>
      <c r="K83" s="4"/>
      <c r="L83" s="4"/>
      <c r="M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8" t="str">
        <f aca="false">IF(AND(A84&lt;&gt;"",COUNT(H84:I84)=2),ROUND(I84-H84,2),"")</f>
        <v/>
      </c>
      <c r="K84" s="4"/>
      <c r="L84" s="4"/>
      <c r="M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8" t="str">
        <f aca="false">IF(AND(A85&lt;&gt;"",COUNT(H85:I85)=2),ROUND(I85-H85,2),"")</f>
        <v/>
      </c>
      <c r="K85" s="4"/>
      <c r="L85" s="4"/>
      <c r="M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8" t="str">
        <f aca="false">IF(AND(A86&lt;&gt;"",COUNT(H86:I86)=2),ROUND(I86-H86,2),"")</f>
        <v/>
      </c>
      <c r="K86" s="4"/>
      <c r="L86" s="4"/>
      <c r="M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8" t="str">
        <f aca="false">IF(AND(A87&lt;&gt;"",COUNT(H87:I87)=2),ROUND(I87-H87,2),"")</f>
        <v/>
      </c>
      <c r="K87" s="4"/>
      <c r="L87" s="4"/>
      <c r="M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8" t="str">
        <f aca="false">IF(AND(A88&lt;&gt;"",COUNT(H88:I88)=2),ROUND(I88-H88,2),"")</f>
        <v/>
      </c>
      <c r="K88" s="4"/>
      <c r="L88" s="4"/>
      <c r="M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8" t="str">
        <f aca="false">IF(AND(A89&lt;&gt;"",COUNT(H89:I89)=2),ROUND(I89-H89,2),"")</f>
        <v/>
      </c>
      <c r="K89" s="4"/>
      <c r="L89" s="4"/>
      <c r="M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8" t="str">
        <f aca="false">IF(AND(A90&lt;&gt;"",COUNT(H90:I90)=2),ROUND(I90-H90,2),"")</f>
        <v/>
      </c>
      <c r="K90" s="4"/>
      <c r="L90" s="4"/>
      <c r="M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8" t="str">
        <f aca="false">IF(AND(A91&lt;&gt;"",COUNT(H91:I91)=2),ROUND(I91-H91,2),"")</f>
        <v/>
      </c>
      <c r="K91" s="4"/>
      <c r="L91" s="4"/>
      <c r="M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8" t="str">
        <f aca="false">IF(AND(A92&lt;&gt;"",COUNT(H92:I92)=2),ROUND(I92-H92,2),"")</f>
        <v/>
      </c>
      <c r="K92" s="4"/>
      <c r="L92" s="4"/>
      <c r="M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8" t="str">
        <f aca="false">IF(AND(A93&lt;&gt;"",COUNT(H93:I93)=2),ROUND(I93-H93,2),"")</f>
        <v/>
      </c>
      <c r="K93" s="4"/>
      <c r="L93" s="4"/>
      <c r="M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8" t="str">
        <f aca="false">IF(AND(A94&lt;&gt;"",COUNT(H94:I94)=2),ROUND(I94-H94,2),"")</f>
        <v/>
      </c>
      <c r="K94" s="4"/>
      <c r="L94" s="4"/>
      <c r="M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8" t="str">
        <f aca="false">IF(AND(A95&lt;&gt;"",COUNT(H95:I95)=2),ROUND(I95-H95,2),"")</f>
        <v/>
      </c>
      <c r="K95" s="4"/>
      <c r="L95" s="4"/>
      <c r="M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8" t="str">
        <f aca="false">IF(AND(A96&lt;&gt;"",COUNT(H96:I96)=2),ROUND(I96-H96,2),"")</f>
        <v/>
      </c>
      <c r="K96" s="4"/>
      <c r="L96" s="4"/>
      <c r="M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8" t="str">
        <f aca="false">IF(AND(A97&lt;&gt;"",COUNT(H97:I97)=2),ROUND(I97-H97,2),"")</f>
        <v/>
      </c>
      <c r="K97" s="4"/>
      <c r="L97" s="4"/>
      <c r="M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8" t="str">
        <f aca="false">IF(AND(A98&lt;&gt;"",COUNT(H98:I98)=2),ROUND(I98-H98,2),"")</f>
        <v/>
      </c>
      <c r="K98" s="4"/>
      <c r="L98" s="4"/>
      <c r="M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8" t="str">
        <f aca="false">IF(AND(A99&lt;&gt;"",COUNT(H99:I99)=2),ROUND(I99-H99,2),"")</f>
        <v/>
      </c>
      <c r="K99" s="4"/>
      <c r="L99" s="4"/>
      <c r="M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8" t="str">
        <f aca="false">IF(AND(A100&lt;&gt;"",COUNT(H100:I100)=2),ROUND(I100-H100,2),"")</f>
        <v/>
      </c>
      <c r="K100" s="4"/>
      <c r="L100" s="4"/>
      <c r="M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8" t="str">
        <f aca="false">IF(AND(A101&lt;&gt;"",COUNT(H101:I101)=2),ROUND(I101-H101,2),"")</f>
        <v/>
      </c>
      <c r="K101" s="4"/>
      <c r="L101" s="4"/>
      <c r="M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8" t="str">
        <f aca="false">IF(AND(A102&lt;&gt;"",COUNT(H102:I102)=2),ROUND(I102-H102,2),"")</f>
        <v/>
      </c>
      <c r="K102" s="4"/>
      <c r="L102" s="4"/>
      <c r="M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8" t="str">
        <f aca="false">IF(AND(A103&lt;&gt;"",COUNT(H103:I103)=2),ROUND(I103-H103,2),"")</f>
        <v/>
      </c>
      <c r="K103" s="4"/>
      <c r="L103" s="4"/>
      <c r="M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8" t="str">
        <f aca="false">IF(AND(A104&lt;&gt;"",COUNT(H104:I104)=2),ROUND(I104-H104,2),"")</f>
        <v/>
      </c>
      <c r="K104" s="4"/>
      <c r="L104" s="4"/>
      <c r="M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8" t="str">
        <f aca="false">IF(AND(A105&lt;&gt;"",COUNT(H105:I105)=2),ROUND(I105-H105,2),"")</f>
        <v/>
      </c>
      <c r="K105" s="4"/>
      <c r="L105" s="4"/>
      <c r="M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8" t="str">
        <f aca="false">IF(AND(A106&lt;&gt;"",COUNT(H106:I106)=2),ROUND(I106-H106,2),"")</f>
        <v/>
      </c>
      <c r="K106" s="4"/>
      <c r="L106" s="4"/>
      <c r="M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8" t="str">
        <f aca="false">IF(AND(A107&lt;&gt;"",COUNT(H107:I107)=2),ROUND(I107-H107,2),"")</f>
        <v/>
      </c>
      <c r="K107" s="4"/>
      <c r="L107" s="4"/>
      <c r="M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8" t="str">
        <f aca="false">IF(AND(A108&lt;&gt;"",COUNT(H108:I108)=2),ROUND(I108-H108,2),"")</f>
        <v/>
      </c>
      <c r="K108" s="4"/>
      <c r="L108" s="4"/>
      <c r="M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8" t="str">
        <f aca="false">IF(AND(A109&lt;&gt;"",COUNT(H109:I109)=2),ROUND(I109-H109,2),"")</f>
        <v/>
      </c>
      <c r="K109" s="4"/>
      <c r="L109" s="4"/>
      <c r="M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8" t="str">
        <f aca="false">IF(AND(A110&lt;&gt;"",COUNT(H110:I110)=2),ROUND(I110-H110,2),"")</f>
        <v/>
      </c>
      <c r="K110" s="4"/>
      <c r="L110" s="4"/>
      <c r="M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8" t="str">
        <f aca="false">IF(AND(A111&lt;&gt;"",COUNT(H111:I111)=2),ROUND(I111-H111,2),"")</f>
        <v/>
      </c>
      <c r="K111" s="4"/>
      <c r="L111" s="4"/>
      <c r="M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8" t="str">
        <f aca="false">IF(AND(A112&lt;&gt;"",COUNT(H112:I112)=2),ROUND(I112-H112,2),"")</f>
        <v/>
      </c>
      <c r="K112" s="4"/>
      <c r="L112" s="4"/>
      <c r="M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8" t="str">
        <f aca="false">IF(AND(A113&lt;&gt;"",COUNT(H113:I113)=2),ROUND(I113-H113,2),"")</f>
        <v/>
      </c>
      <c r="K113" s="4"/>
      <c r="L113" s="4"/>
      <c r="M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8" t="str">
        <f aca="false">IF(AND(A114&lt;&gt;"",COUNT(H114:I114)=2),ROUND(I114-H114,2),"")</f>
        <v/>
      </c>
      <c r="K114" s="4"/>
      <c r="L114" s="4"/>
      <c r="M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8" t="str">
        <f aca="false">IF(AND(A115&lt;&gt;"",COUNT(H115:I115)=2),ROUND(I115-H115,2),"")</f>
        <v/>
      </c>
      <c r="K115" s="4"/>
      <c r="L115" s="4"/>
      <c r="M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8" t="str">
        <f aca="false">IF(AND(A116&lt;&gt;"",COUNT(H116:I116)=2),ROUND(I116-H116,2),"")</f>
        <v/>
      </c>
      <c r="K116" s="4"/>
      <c r="L116" s="4"/>
      <c r="M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8" t="str">
        <f aca="false">IF(AND(A117&lt;&gt;"",COUNT(H117:I117)=2),ROUND(I117-H117,2),"")</f>
        <v/>
      </c>
      <c r="K117" s="4"/>
      <c r="L117" s="4"/>
      <c r="M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8" t="str">
        <f aca="false">IF(AND(A118&lt;&gt;"",COUNT(H118:I118)=2),ROUND(I118-H118,2),"")</f>
        <v/>
      </c>
      <c r="K118" s="4"/>
      <c r="L118" s="4"/>
      <c r="M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8" t="str">
        <f aca="false">IF(AND(A119&lt;&gt;"",COUNT(H119:I119)=2),ROUND(I119-H119,2),"")</f>
        <v/>
      </c>
      <c r="K119" s="4"/>
      <c r="L119" s="4"/>
      <c r="M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8" t="str">
        <f aca="false">IF(AND(A120&lt;&gt;"",COUNT(H120:I120)=2),ROUND(I120-H120,2),"")</f>
        <v/>
      </c>
      <c r="K120" s="4"/>
      <c r="L120" s="4"/>
      <c r="M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8" t="str">
        <f aca="false">IF(AND(A121&lt;&gt;"",COUNT(H121:I121)=2),ROUND(I121-H121,2),"")</f>
        <v/>
      </c>
      <c r="K121" s="4"/>
      <c r="L121" s="4"/>
      <c r="M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8" t="str">
        <f aca="false">IF(AND(A122&lt;&gt;"",COUNT(H122:I122)=2),ROUND(I122-H122,2),"")</f>
        <v/>
      </c>
      <c r="K122" s="4"/>
      <c r="L122" s="4"/>
      <c r="M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8" t="str">
        <f aca="false">IF(AND(A123&lt;&gt;"",COUNT(H123:I123)=2),ROUND(I123-H123,2),"")</f>
        <v/>
      </c>
      <c r="K123" s="4"/>
      <c r="L123" s="4"/>
      <c r="M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8" t="str">
        <f aca="false">IF(AND(A124&lt;&gt;"",COUNT(H124:I124)=2),ROUND(I124-H124,2),"")</f>
        <v/>
      </c>
      <c r="K124" s="4"/>
      <c r="L124" s="4"/>
      <c r="M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8" t="str">
        <f aca="false">IF(AND(A125&lt;&gt;"",COUNT(H125:I125)=2),ROUND(I125-H125,2),"")</f>
        <v/>
      </c>
      <c r="K125" s="4"/>
      <c r="L125" s="4"/>
      <c r="M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8" t="str">
        <f aca="false">IF(AND(A126&lt;&gt;"",COUNT(H126:I126)=2),ROUND(I126-H126,2),"")</f>
        <v/>
      </c>
      <c r="K126" s="4"/>
      <c r="L126" s="4"/>
      <c r="M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8" t="str">
        <f aca="false">IF(AND(A127&lt;&gt;"",COUNT(H127:I127)=2),ROUND(I127-H127,2),"")</f>
        <v/>
      </c>
      <c r="K127" s="4"/>
      <c r="L127" s="4"/>
      <c r="M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8" t="str">
        <f aca="false">IF(AND(A128&lt;&gt;"",COUNT(H128:I128)=2),ROUND(I128-H128,2),"")</f>
        <v/>
      </c>
      <c r="K128" s="4"/>
      <c r="L128" s="4"/>
      <c r="M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8" t="str">
        <f aca="false">IF(AND(A129&lt;&gt;"",COUNT(H129:I129)=2),ROUND(I129-H129,2),"")</f>
        <v/>
      </c>
      <c r="K129" s="4"/>
      <c r="L129" s="4"/>
      <c r="M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8" t="str">
        <f aca="false">IF(AND(A130&lt;&gt;"",COUNT(H130:I130)=2),ROUND(I130-H130,2),"")</f>
        <v/>
      </c>
      <c r="K130" s="4"/>
      <c r="L130" s="4"/>
      <c r="M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8" t="str">
        <f aca="false">IF(AND(A131&lt;&gt;"",COUNT(H131:I131)=2),ROUND(I131-H131,2),"")</f>
        <v/>
      </c>
      <c r="K131" s="4"/>
      <c r="L131" s="4"/>
      <c r="M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8" t="str">
        <f aca="false">IF(AND(A132&lt;&gt;"",COUNT(H132:I132)=2),ROUND(I132-H132,2),"")</f>
        <v/>
      </c>
      <c r="K132" s="4"/>
      <c r="L132" s="4"/>
      <c r="M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8" t="str">
        <f aca="false">IF(AND(A133&lt;&gt;"",COUNT(H133:I133)=2),ROUND(I133-H133,2),"")</f>
        <v/>
      </c>
      <c r="K133" s="4"/>
      <c r="L133" s="4"/>
      <c r="M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8" t="str">
        <f aca="false">IF(AND(A134&lt;&gt;"",COUNT(H134:I134)=2),ROUND(I134-H134,2),"")</f>
        <v/>
      </c>
      <c r="K134" s="4"/>
      <c r="L134" s="4"/>
      <c r="M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8" t="str">
        <f aca="false">IF(AND(A135&lt;&gt;"",COUNT(H135:I135)=2),ROUND(I135-H135,2),"")</f>
        <v/>
      </c>
      <c r="K135" s="4"/>
      <c r="L135" s="4"/>
      <c r="M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8" t="str">
        <f aca="false">IF(AND(A136&lt;&gt;"",COUNT(H136:I136)=2),ROUND(I136-H136,2),"")</f>
        <v/>
      </c>
      <c r="K136" s="4"/>
      <c r="L136" s="4"/>
      <c r="M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8" t="str">
        <f aca="false">IF(AND(A137&lt;&gt;"",COUNT(H137:I137)=2),ROUND(I137-H137,2),"")</f>
        <v/>
      </c>
      <c r="K137" s="4"/>
      <c r="L137" s="4"/>
      <c r="M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8" t="str">
        <f aca="false">IF(AND(A138&lt;&gt;"",COUNT(H138:I138)=2),ROUND(I138-H138,2),"")</f>
        <v/>
      </c>
      <c r="K138" s="4"/>
      <c r="L138" s="4"/>
      <c r="M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8" t="str">
        <f aca="false">IF(AND(A139&lt;&gt;"",COUNT(H139:I139)=2),ROUND(I139-H139,2),"")</f>
        <v/>
      </c>
      <c r="K139" s="4"/>
      <c r="L139" s="4"/>
      <c r="M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8" t="str">
        <f aca="false">IF(AND(A140&lt;&gt;"",COUNT(H140:I140)=2),ROUND(I140-H140,2),"")</f>
        <v/>
      </c>
      <c r="K140" s="4"/>
      <c r="L140" s="4"/>
      <c r="M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8" t="str">
        <f aca="false">IF(AND(A141&lt;&gt;"",COUNT(H141:I141)=2),ROUND(I141-H141,2),"")</f>
        <v/>
      </c>
      <c r="K141" s="4"/>
      <c r="L141" s="4"/>
      <c r="M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8" t="str">
        <f aca="false">IF(AND(A142&lt;&gt;"",COUNT(H142:I142)=2),ROUND(I142-H142,2),"")</f>
        <v/>
      </c>
      <c r="K142" s="4"/>
      <c r="L142" s="4"/>
      <c r="M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8" t="str">
        <f aca="false">IF(AND(A143&lt;&gt;"",COUNT(H143:I143)=2),ROUND(I143-H143,2),"")</f>
        <v/>
      </c>
      <c r="K143" s="4"/>
      <c r="L143" s="4"/>
      <c r="M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8" t="str">
        <f aca="false">IF(AND(A144&lt;&gt;"",COUNT(H144:I144)=2),ROUND(I144-H144,2),"")</f>
        <v/>
      </c>
      <c r="K144" s="4"/>
      <c r="L144" s="4"/>
      <c r="M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8" t="str">
        <f aca="false">IF(AND(A145&lt;&gt;"",COUNT(H145:I145)=2),ROUND(I145-H145,2),"")</f>
        <v/>
      </c>
      <c r="K145" s="4"/>
      <c r="L145" s="4"/>
      <c r="M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8" t="str">
        <f aca="false">IF(AND(A146&lt;&gt;"",COUNT(H146:I146)=2),ROUND(I146-H146,2),"")</f>
        <v/>
      </c>
      <c r="K146" s="4"/>
      <c r="L146" s="4"/>
      <c r="M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8" t="str">
        <f aca="false">IF(AND(A147&lt;&gt;"",COUNT(H147:I147)=2),ROUND(I147-H147,2),"")</f>
        <v/>
      </c>
      <c r="K147" s="4"/>
      <c r="L147" s="4"/>
      <c r="M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8" t="str">
        <f aca="false">IF(AND(A148&lt;&gt;"",COUNT(H148:I148)=2),ROUND(I148-H148,2),"")</f>
        <v/>
      </c>
      <c r="K148" s="4"/>
      <c r="L148" s="4"/>
      <c r="M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8" t="str">
        <f aca="false">IF(AND(A149&lt;&gt;"",COUNT(H149:I149)=2),ROUND(I149-H149,2),"")</f>
        <v/>
      </c>
      <c r="K149" s="4"/>
      <c r="L149" s="4"/>
      <c r="M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8" t="str">
        <f aca="false">IF(AND(A150&lt;&gt;"",COUNT(H150:I150)=2),ROUND(I150-H150,2),"")</f>
        <v/>
      </c>
      <c r="K150" s="4"/>
      <c r="L150" s="4"/>
      <c r="M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8" t="str">
        <f aca="false">IF(AND(A151&lt;&gt;"",COUNT(H151:I151)=2),ROUND(I151-H151,2),"")</f>
        <v/>
      </c>
      <c r="K151" s="4"/>
      <c r="L151" s="4"/>
      <c r="M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8" t="str">
        <f aca="false">IF(AND(A152&lt;&gt;"",COUNT(H152:I152)=2),ROUND(I152-H152,2),"")</f>
        <v/>
      </c>
      <c r="K152" s="4"/>
      <c r="L152" s="4"/>
      <c r="M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8" t="str">
        <f aca="false">IF(AND(A153&lt;&gt;"",COUNT(H153:I153)=2),ROUND(I153-H153,2),"")</f>
        <v/>
      </c>
      <c r="K153" s="4"/>
      <c r="L153" s="4"/>
      <c r="M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8" t="str">
        <f aca="false">IF(AND(A154&lt;&gt;"",COUNT(H154:I154)=2),ROUND(I154-H154,2),"")</f>
        <v/>
      </c>
      <c r="K154" s="4"/>
      <c r="L154" s="4"/>
      <c r="M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8" t="str">
        <f aca="false">IF(AND(A155&lt;&gt;"",COUNT(H155:I155)=2),ROUND(I155-H155,2),"")</f>
        <v/>
      </c>
      <c r="K155" s="4"/>
      <c r="L155" s="4"/>
      <c r="M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8" t="str">
        <f aca="false">IF(AND(A156&lt;&gt;"",COUNT(H156:I156)=2),ROUND(I156-H156,2),"")</f>
        <v/>
      </c>
      <c r="K156" s="4"/>
      <c r="L156" s="4"/>
      <c r="M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8" t="str">
        <f aca="false">IF(AND(A157&lt;&gt;"",COUNT(H157:I157)=2),ROUND(I157-H157,2),"")</f>
        <v/>
      </c>
      <c r="K157" s="4"/>
      <c r="L157" s="4"/>
      <c r="M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8" t="str">
        <f aca="false">IF(AND(A158&lt;&gt;"",COUNT(H158:I158)=2),ROUND(I158-H158,2),"")</f>
        <v/>
      </c>
      <c r="K158" s="4"/>
      <c r="L158" s="4"/>
      <c r="M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8" t="str">
        <f aca="false">IF(AND(A159&lt;&gt;"",COUNT(H159:I159)=2),ROUND(I159-H159,2),"")</f>
        <v/>
      </c>
      <c r="K159" s="4"/>
      <c r="L159" s="4"/>
      <c r="M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8" t="str">
        <f aca="false">IF(AND(A160&lt;&gt;"",COUNT(H160:I160)=2),ROUND(I160-H160,2),"")</f>
        <v/>
      </c>
      <c r="K160" s="4"/>
      <c r="L160" s="4"/>
      <c r="M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8" t="str">
        <f aca="false">IF(AND(A161&lt;&gt;"",COUNT(H161:I161)=2),ROUND(I161-H161,2),"")</f>
        <v/>
      </c>
      <c r="K161" s="4"/>
      <c r="L161" s="4"/>
      <c r="M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8" t="str">
        <f aca="false">IF(AND(A162&lt;&gt;"",COUNT(H162:I162)=2),ROUND(I162-H162,2),"")</f>
        <v/>
      </c>
      <c r="K162" s="4"/>
      <c r="L162" s="4"/>
      <c r="M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8" t="str">
        <f aca="false">IF(AND(A163&lt;&gt;"",COUNT(H163:I163)=2),ROUND(I163-H163,2),"")</f>
        <v/>
      </c>
      <c r="K163" s="4"/>
      <c r="L163" s="4"/>
      <c r="M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8" t="str">
        <f aca="false">IF(AND(A164&lt;&gt;"",COUNT(H164:I164)=2),ROUND(I164-H164,2),"")</f>
        <v/>
      </c>
      <c r="K164" s="4"/>
      <c r="L164" s="4"/>
      <c r="M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8" t="str">
        <f aca="false">IF(AND(A165&lt;&gt;"",COUNT(H165:I165)=2),ROUND(I165-H165,2),"")</f>
        <v/>
      </c>
      <c r="K165" s="4"/>
      <c r="L165" s="4"/>
      <c r="M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8" t="str">
        <f aca="false">IF(AND(A166&lt;&gt;"",COUNT(H166:I166)=2),ROUND(I166-H166,2),"")</f>
        <v/>
      </c>
      <c r="K166" s="4"/>
      <c r="L166" s="4"/>
      <c r="M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8" t="str">
        <f aca="false">IF(AND(A167&lt;&gt;"",COUNT(H167:I167)=2),ROUND(I167-H167,2),"")</f>
        <v/>
      </c>
      <c r="K167" s="4"/>
      <c r="L167" s="4"/>
      <c r="M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8" t="str">
        <f aca="false">IF(AND(A168&lt;&gt;"",COUNT(H168:I168)=2),ROUND(I168-H168,2),"")</f>
        <v/>
      </c>
      <c r="K168" s="4"/>
      <c r="L168" s="4"/>
      <c r="M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8" t="str">
        <f aca="false">IF(AND(A169&lt;&gt;"",COUNT(H169:I169)=2),ROUND(I169-H169,2),"")</f>
        <v/>
      </c>
      <c r="K169" s="4"/>
      <c r="L169" s="4"/>
      <c r="M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8" t="str">
        <f aca="false">IF(AND(A170&lt;&gt;"",COUNT(H170:I170)=2),ROUND(I170-H170,2),"")</f>
        <v/>
      </c>
      <c r="K170" s="4"/>
      <c r="L170" s="4"/>
      <c r="M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8" t="str">
        <f aca="false">IF(AND(A171&lt;&gt;"",COUNT(H171:I171)=2),ROUND(I171-H171,2),"")</f>
        <v/>
      </c>
      <c r="K171" s="4"/>
      <c r="L171" s="4"/>
      <c r="M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8" t="str">
        <f aca="false">IF(AND(A172&lt;&gt;"",COUNT(H172:I172)=2),ROUND(I172-H172,2),"")</f>
        <v/>
      </c>
      <c r="K172" s="4"/>
      <c r="L172" s="4"/>
      <c r="M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8" t="str">
        <f aca="false">IF(AND(A173&lt;&gt;"",COUNT(H173:I173)=2),ROUND(I173-H173,2),"")</f>
        <v/>
      </c>
      <c r="K173" s="4"/>
      <c r="L173" s="4"/>
      <c r="M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8" t="str">
        <f aca="false">IF(AND(A174&lt;&gt;"",COUNT(H174:I174)=2),ROUND(I174-H174,2),"")</f>
        <v/>
      </c>
      <c r="K174" s="4"/>
      <c r="L174" s="4"/>
      <c r="M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8" t="str">
        <f aca="false">IF(AND(A175&lt;&gt;"",COUNT(H175:I175)=2),ROUND(I175-H175,2),"")</f>
        <v/>
      </c>
      <c r="K175" s="4"/>
      <c r="L175" s="4"/>
      <c r="M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8" t="str">
        <f aca="false">IF(AND(A176&lt;&gt;"",COUNT(H176:I176)=2),ROUND(I176-H176,2),"")</f>
        <v/>
      </c>
      <c r="K176" s="4"/>
      <c r="L176" s="4"/>
      <c r="M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8" t="str">
        <f aca="false">IF(AND(A177&lt;&gt;"",COUNT(H177:I177)=2),ROUND(I177-H177,2),"")</f>
        <v/>
      </c>
      <c r="K177" s="4"/>
      <c r="L177" s="4"/>
      <c r="M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8" t="str">
        <f aca="false">IF(AND(A178&lt;&gt;"",COUNT(H178:I178)=2),ROUND(I178-H178,2),"")</f>
        <v/>
      </c>
      <c r="K178" s="4"/>
      <c r="L178" s="4"/>
      <c r="M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8" t="str">
        <f aca="false">IF(AND(A179&lt;&gt;"",COUNT(H179:I179)=2),ROUND(I179-H179,2),"")</f>
        <v/>
      </c>
      <c r="K179" s="4"/>
      <c r="L179" s="4"/>
      <c r="M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8" t="str">
        <f aca="false">IF(AND(A180&lt;&gt;"",COUNT(H180:I180)=2),ROUND(I180-H180,2),"")</f>
        <v/>
      </c>
      <c r="K180" s="4"/>
      <c r="L180" s="4"/>
      <c r="M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8" t="str">
        <f aca="false">IF(AND(A181&lt;&gt;"",COUNT(H181:I181)=2),ROUND(I181-H181,2),"")</f>
        <v/>
      </c>
      <c r="K181" s="4"/>
      <c r="L181" s="4"/>
      <c r="M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8" t="str">
        <f aca="false">IF(AND(A182&lt;&gt;"",COUNT(H182:I182)=2),ROUND(I182-H182,2),"")</f>
        <v/>
      </c>
      <c r="K182" s="4"/>
      <c r="L182" s="4"/>
      <c r="M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8" t="str">
        <f aca="false">IF(AND(A183&lt;&gt;"",COUNT(H183:I183)=2),ROUND(I183-H183,2),"")</f>
        <v/>
      </c>
      <c r="K183" s="4"/>
      <c r="L183" s="4"/>
      <c r="M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8" t="str">
        <f aca="false">IF(AND(A184&lt;&gt;"",COUNT(H184:I184)=2),ROUND(I184-H184,2),"")</f>
        <v/>
      </c>
      <c r="K184" s="4"/>
      <c r="L184" s="4"/>
      <c r="M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8" t="str">
        <f aca="false">IF(AND(A185&lt;&gt;"",COUNT(H185:I185)=2),ROUND(I185-H185,2),"")</f>
        <v/>
      </c>
      <c r="K185" s="4"/>
      <c r="L185" s="4"/>
      <c r="M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8" t="str">
        <f aca="false">IF(AND(A186&lt;&gt;"",COUNT(H186:I186)=2),ROUND(I186-H186,2),"")</f>
        <v/>
      </c>
      <c r="K186" s="4"/>
      <c r="L186" s="4"/>
      <c r="M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8" t="str">
        <f aca="false">IF(AND(A187&lt;&gt;"",COUNT(H187:I187)=2),ROUND(I187-H187,2),"")</f>
        <v/>
      </c>
      <c r="K187" s="4"/>
      <c r="L187" s="4"/>
      <c r="M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8" t="str">
        <f aca="false">IF(AND(A188&lt;&gt;"",COUNT(H188:I188)=2),ROUND(I188-H188,2),"")</f>
        <v/>
      </c>
      <c r="K188" s="4"/>
      <c r="L188" s="4"/>
      <c r="M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8" t="str">
        <f aca="false">IF(AND(A189&lt;&gt;"",COUNT(H189:I189)=2),ROUND(I189-H189,2),"")</f>
        <v/>
      </c>
      <c r="K189" s="4"/>
      <c r="L189" s="4"/>
      <c r="M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8" t="str">
        <f aca="false">IF(AND(A190&lt;&gt;"",COUNT(H190:I190)=2),ROUND(I190-H190,2),"")</f>
        <v/>
      </c>
      <c r="K190" s="4"/>
      <c r="L190" s="4"/>
      <c r="M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8" t="str">
        <f aca="false">IF(AND(A191&lt;&gt;"",COUNT(H191:I191)=2),ROUND(I191-H191,2),"")</f>
        <v/>
      </c>
      <c r="K191" s="4"/>
      <c r="L191" s="4"/>
      <c r="M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8" t="str">
        <f aca="false">IF(AND(A192&lt;&gt;"",COUNT(H192:I192)=2),ROUND(I192-H192,2),"")</f>
        <v/>
      </c>
      <c r="K192" s="4"/>
      <c r="L192" s="4"/>
      <c r="M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8" t="str">
        <f aca="false">IF(AND(A193&lt;&gt;"",COUNT(H193:I193)=2),ROUND(I193-H193,2),"")</f>
        <v/>
      </c>
      <c r="K193" s="4"/>
      <c r="L193" s="4"/>
      <c r="M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8" t="str">
        <f aca="false">IF(AND(A194&lt;&gt;"",COUNT(H194:I194)=2),ROUND(I194-H194,2),"")</f>
        <v/>
      </c>
      <c r="K194" s="4"/>
      <c r="L194" s="4"/>
      <c r="M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8" t="str">
        <f aca="false">IF(AND(A195&lt;&gt;"",COUNT(H195:I195)=2),ROUND(I195-H195,2),"")</f>
        <v/>
      </c>
      <c r="K195" s="4"/>
      <c r="L195" s="4"/>
      <c r="M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8" t="str">
        <f aca="false">IF(AND(A196&lt;&gt;"",COUNT(H196:I196)=2),ROUND(I196-H196,2),"")</f>
        <v/>
      </c>
      <c r="K196" s="4"/>
      <c r="L196" s="4"/>
      <c r="M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8" t="str">
        <f aca="false">IF(AND(A197&lt;&gt;"",COUNT(H197:I197)=2),ROUND(I197-H197,2),"")</f>
        <v/>
      </c>
      <c r="K197" s="4"/>
      <c r="L197" s="4"/>
      <c r="M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8" t="str">
        <f aca="false">IF(AND(A198&lt;&gt;"",COUNT(H198:I198)=2),ROUND(I198-H198,2),"")</f>
        <v/>
      </c>
      <c r="K198" s="4"/>
      <c r="L198" s="4"/>
      <c r="M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8" t="str">
        <f aca="false">IF(AND(A199&lt;&gt;"",COUNT(H199:I199)=2),ROUND(I199-H199,2),"")</f>
        <v/>
      </c>
      <c r="K199" s="4"/>
      <c r="L199" s="4"/>
      <c r="M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8" t="str">
        <f aca="false">IF(AND(A200&lt;&gt;"",COUNT(H200:I200)=2),ROUND(I200-H200,2),"")</f>
        <v/>
      </c>
      <c r="K200" s="4"/>
      <c r="L200" s="4"/>
      <c r="M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8" t="str">
        <f aca="false">IF(AND(A201&lt;&gt;"",COUNT(H201:I201)=2),ROUND(I201-H201,2),"")</f>
        <v/>
      </c>
      <c r="K201" s="4"/>
      <c r="L201" s="4"/>
      <c r="M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8" t="str">
        <f aca="false">IF(AND(A202&lt;&gt;"",COUNT(H202:I202)=2),ROUND(I202-H202,2),"")</f>
        <v/>
      </c>
      <c r="K202" s="4"/>
      <c r="L202" s="4"/>
      <c r="M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8" t="str">
        <f aca="false">IF(AND(A203&lt;&gt;"",COUNT(H203:I203)=2),ROUND(I203-H203,2),"")</f>
        <v/>
      </c>
      <c r="K203" s="4"/>
      <c r="L203" s="4"/>
      <c r="M203" s="4"/>
    </row>
  </sheetData>
  <autoFilter ref="A3:M203"/>
  <mergeCells count="2">
    <mergeCell ref="A1:M1"/>
    <mergeCell ref="A2:M2"/>
  </mergeCells>
  <dataValidations count="2">
    <dataValidation allowBlank="true" error="Требуется допустимое число." errorStyle="stop" operator="greaterThanOrEqual" showDropDown="false" showErrorMessage="true" showInputMessage="false" sqref="H4:I203" type="decimal">
      <formula1>0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L4:L203" type="list">
      <formula1>"PROPOSED,REVIEWED,APPROVED,REJECTED"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4" min="4" style="0" width="28"/>
  </cols>
  <sheetData>
    <row r="1" customFormat="false" ht="33.75" hidden="false" customHeight="true" outlineLevel="0" collapsed="false">
      <c r="A1" s="1" t="s">
        <v>677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8" hidden="false" customHeight="true" outlineLevel="0" collapsed="false">
      <c r="A3" s="3" t="s">
        <v>678</v>
      </c>
      <c r="B3" s="3" t="s">
        <v>73</v>
      </c>
      <c r="C3" s="3" t="s">
        <v>679</v>
      </c>
      <c r="D3" s="3" t="s">
        <v>680</v>
      </c>
      <c r="E3" s="3" t="s">
        <v>681</v>
      </c>
      <c r="F3" s="3" t="s">
        <v>682</v>
      </c>
      <c r="G3" s="3" t="s">
        <v>683</v>
      </c>
      <c r="H3" s="3" t="s">
        <v>684</v>
      </c>
      <c r="I3" s="3" t="s">
        <v>685</v>
      </c>
      <c r="J3" s="3" t="s">
        <v>686</v>
      </c>
      <c r="K3" s="3" t="s">
        <v>687</v>
      </c>
      <c r="L3" s="3" t="s">
        <v>688</v>
      </c>
      <c r="M3" s="3" t="s">
        <v>41</v>
      </c>
      <c r="N3" s="3" t="s">
        <v>514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8" t="str">
        <f aca="false">IF(N4="INPUTS_PRESENT_CHECK_OVERLAP",ROUND(F4+H4+I4+J4,2),"")</f>
        <v/>
      </c>
      <c r="L4" s="8" t="str">
        <f aca="false">IF(ISNUMBER(K4),ROUND(K4-D4,2),"")</f>
        <v/>
      </c>
      <c r="M4" s="4"/>
      <c r="N4" s="5" t="str">
        <f aca="false">IF(A4="","",IF(AND(C4&lt;&gt;"",M4&lt;&gt;"",COUNT(D4:J4)=7,01_Основания!$B$16&lt;&gt;"",01_Основания!$B$8&lt;&gt;""),"INPUTS_PRESENT_CHECK_OVERLAP","INCOMPLETE"))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8" t="str">
        <f aca="false">IF(N5="INPUTS_PRESENT_CHECK_OVERLAP",ROUND(F5+H5+I5+J5,2),"")</f>
        <v/>
      </c>
      <c r="L5" s="8" t="str">
        <f aca="false">IF(ISNUMBER(K5),ROUND(K5-D5,2),"")</f>
        <v/>
      </c>
      <c r="M5" s="4"/>
      <c r="N5" s="5" t="str">
        <f aca="false">IF(A5="","",IF(AND(C5&lt;&gt;"",M5&lt;&gt;"",COUNT(D5:J5)=7,01_Основания!$B$16&lt;&gt;"",01_Основания!$B$8&lt;&gt;""),"INPUTS_PRESENT_CHECK_OVERLAP","INCOMPLETE"))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8" t="str">
        <f aca="false">IF(N6="INPUTS_PRESENT_CHECK_OVERLAP",ROUND(F6+H6+I6+J6,2),"")</f>
        <v/>
      </c>
      <c r="L6" s="8" t="str">
        <f aca="false">IF(ISNUMBER(K6),ROUND(K6-D6,2),"")</f>
        <v/>
      </c>
      <c r="M6" s="4"/>
      <c r="N6" s="5" t="str">
        <f aca="false">IF(A6="","",IF(AND(C6&lt;&gt;"",M6&lt;&gt;"",COUNT(D6:J6)=7,01_Основания!$B$16&lt;&gt;"",01_Основания!$B$8&lt;&gt;""),"INPUTS_PRESENT_CHECK_OVERLAP","INCOMPLETE"))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8" t="str">
        <f aca="false">IF(N7="INPUTS_PRESENT_CHECK_OVERLAP",ROUND(F7+H7+I7+J7,2),"")</f>
        <v/>
      </c>
      <c r="L7" s="8" t="str">
        <f aca="false">IF(ISNUMBER(K7),ROUND(K7-D7,2),"")</f>
        <v/>
      </c>
      <c r="M7" s="4"/>
      <c r="N7" s="5" t="str">
        <f aca="false">IF(A7="","",IF(AND(C7&lt;&gt;"",M7&lt;&gt;"",COUNT(D7:J7)=7,01_Основания!$B$16&lt;&gt;"",01_Основания!$B$8&lt;&gt;""),"INPUTS_PRESENT_CHECK_OVERLAP","INCOMPLETE"))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8" t="str">
        <f aca="false">IF(N8="INPUTS_PRESENT_CHECK_OVERLAP",ROUND(F8+H8+I8+J8,2),"")</f>
        <v/>
      </c>
      <c r="L8" s="8" t="str">
        <f aca="false">IF(ISNUMBER(K8),ROUND(K8-D8,2),"")</f>
        <v/>
      </c>
      <c r="M8" s="4"/>
      <c r="N8" s="5" t="str">
        <f aca="false">IF(A8="","",IF(AND(C8&lt;&gt;"",M8&lt;&gt;"",COUNT(D8:J8)=7,01_Основания!$B$16&lt;&gt;"",01_Основания!$B$8&lt;&gt;""),"INPUTS_PRESENT_CHECK_OVERLAP","INCOMPLETE"))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8" t="str">
        <f aca="false">IF(N9="INPUTS_PRESENT_CHECK_OVERLAP",ROUND(F9+H9+I9+J9,2),"")</f>
        <v/>
      </c>
      <c r="L9" s="8" t="str">
        <f aca="false">IF(ISNUMBER(K9),ROUND(K9-D9,2),"")</f>
        <v/>
      </c>
      <c r="M9" s="4"/>
      <c r="N9" s="5" t="str">
        <f aca="false">IF(A9="","",IF(AND(C9&lt;&gt;"",M9&lt;&gt;"",COUNT(D9:J9)=7,01_Основания!$B$16&lt;&gt;"",01_Основания!$B$8&lt;&gt;""),"INPUTS_PRESENT_CHECK_OVERLAP","INCOMPLETE"))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8" t="str">
        <f aca="false">IF(N10="INPUTS_PRESENT_CHECK_OVERLAP",ROUND(F10+H10+I10+J10,2),"")</f>
        <v/>
      </c>
      <c r="L10" s="8" t="str">
        <f aca="false">IF(ISNUMBER(K10),ROUND(K10-D10,2),"")</f>
        <v/>
      </c>
      <c r="M10" s="4"/>
      <c r="N10" s="5" t="str">
        <f aca="false">IF(A10="","",IF(AND(C10&lt;&gt;"",M10&lt;&gt;"",COUNT(D10:J10)=7,01_Основания!$B$16&lt;&gt;"",01_Основания!$B$8&lt;&gt;""),"INPUTS_PRESENT_CHECK_OVERLAP","INCOMPLETE"))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8" t="str">
        <f aca="false">IF(N11="INPUTS_PRESENT_CHECK_OVERLAP",ROUND(F11+H11+I11+J11,2),"")</f>
        <v/>
      </c>
      <c r="L11" s="8" t="str">
        <f aca="false">IF(ISNUMBER(K11),ROUND(K11-D11,2),"")</f>
        <v/>
      </c>
      <c r="M11" s="4"/>
      <c r="N11" s="5" t="str">
        <f aca="false">IF(A11="","",IF(AND(C11&lt;&gt;"",M11&lt;&gt;"",COUNT(D11:J11)=7,01_Основания!$B$16&lt;&gt;"",01_Основания!$B$8&lt;&gt;""),"INPUTS_PRESENT_CHECK_OVERLAP","INCOMPLETE"))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8" t="str">
        <f aca="false">IF(N12="INPUTS_PRESENT_CHECK_OVERLAP",ROUND(F12+H12+I12+J12,2),"")</f>
        <v/>
      </c>
      <c r="L12" s="8" t="str">
        <f aca="false">IF(ISNUMBER(K12),ROUND(K12-D12,2),"")</f>
        <v/>
      </c>
      <c r="M12" s="4"/>
      <c r="N12" s="5" t="str">
        <f aca="false">IF(A12="","",IF(AND(C12&lt;&gt;"",M12&lt;&gt;"",COUNT(D12:J12)=7,01_Основания!$B$16&lt;&gt;"",01_Основания!$B$8&lt;&gt;""),"INPUTS_PRESENT_CHECK_OVERLAP","INCOMPLETE"))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8" t="str">
        <f aca="false">IF(N13="INPUTS_PRESENT_CHECK_OVERLAP",ROUND(F13+H13+I13+J13,2),"")</f>
        <v/>
      </c>
      <c r="L13" s="8" t="str">
        <f aca="false">IF(ISNUMBER(K13),ROUND(K13-D13,2),"")</f>
        <v/>
      </c>
      <c r="M13" s="4"/>
      <c r="N13" s="5" t="str">
        <f aca="false">IF(A13="","",IF(AND(C13&lt;&gt;"",M13&lt;&gt;"",COUNT(D13:J13)=7,01_Основания!$B$16&lt;&gt;"",01_Основания!$B$8&lt;&gt;""),"INPUTS_PRESENT_CHECK_OVERLAP","INCOMPLETE"))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tr">
        <f aca="false">IF(N14="INPUTS_PRESENT_CHECK_OVERLAP",ROUND(F14+H14+I14+J14,2),"")</f>
        <v/>
      </c>
      <c r="L14" s="8" t="str">
        <f aca="false">IF(ISNUMBER(K14),ROUND(K14-D14,2),"")</f>
        <v/>
      </c>
      <c r="M14" s="4"/>
      <c r="N14" s="5" t="str">
        <f aca="false">IF(A14="","",IF(AND(C14&lt;&gt;"",M14&lt;&gt;"",COUNT(D14:J14)=7,01_Основания!$B$16&lt;&gt;"",01_Основания!$B$8&lt;&gt;""),"INPUTS_PRESENT_CHECK_OVERLAP","INCOMPLETE"))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8" t="str">
        <f aca="false">IF(N15="INPUTS_PRESENT_CHECK_OVERLAP",ROUND(F15+H15+I15+J15,2),"")</f>
        <v/>
      </c>
      <c r="L15" s="8" t="str">
        <f aca="false">IF(ISNUMBER(K15),ROUND(K15-D15,2),"")</f>
        <v/>
      </c>
      <c r="M15" s="4"/>
      <c r="N15" s="5" t="str">
        <f aca="false">IF(A15="","",IF(AND(C15&lt;&gt;"",M15&lt;&gt;"",COUNT(D15:J15)=7,01_Основания!$B$16&lt;&gt;"",01_Основания!$B$8&lt;&gt;""),"INPUTS_PRESENT_CHECK_OVERLAP","INCOMPLETE"))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tr">
        <f aca="false">IF(N16="INPUTS_PRESENT_CHECK_OVERLAP",ROUND(F16+H16+I16+J16,2),"")</f>
        <v/>
      </c>
      <c r="L16" s="8" t="str">
        <f aca="false">IF(ISNUMBER(K16),ROUND(K16-D16,2),"")</f>
        <v/>
      </c>
      <c r="M16" s="4"/>
      <c r="N16" s="5" t="str">
        <f aca="false">IF(A16="","",IF(AND(C16&lt;&gt;"",M16&lt;&gt;"",COUNT(D16:J16)=7,01_Основания!$B$16&lt;&gt;"",01_Основания!$B$8&lt;&gt;""),"INPUTS_PRESENT_CHECK_OVERLAP","INCOMPLETE"))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8" t="str">
        <f aca="false">IF(N17="INPUTS_PRESENT_CHECK_OVERLAP",ROUND(F17+H17+I17+J17,2),"")</f>
        <v/>
      </c>
      <c r="L17" s="8" t="str">
        <f aca="false">IF(ISNUMBER(K17),ROUND(K17-D17,2),"")</f>
        <v/>
      </c>
      <c r="M17" s="4"/>
      <c r="N17" s="5" t="str">
        <f aca="false">IF(A17="","",IF(AND(C17&lt;&gt;"",M17&lt;&gt;"",COUNT(D17:J17)=7,01_Основания!$B$16&lt;&gt;"",01_Основания!$B$8&lt;&gt;""),"INPUTS_PRESENT_CHECK_OVERLAP","INCOMPLETE"))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8" t="str">
        <f aca="false">IF(N18="INPUTS_PRESENT_CHECK_OVERLAP",ROUND(F18+H18+I18+J18,2),"")</f>
        <v/>
      </c>
      <c r="L18" s="8" t="str">
        <f aca="false">IF(ISNUMBER(K18),ROUND(K18-D18,2),"")</f>
        <v/>
      </c>
      <c r="M18" s="4"/>
      <c r="N18" s="5" t="str">
        <f aca="false">IF(A18="","",IF(AND(C18&lt;&gt;"",M18&lt;&gt;"",COUNT(D18:J18)=7,01_Основания!$B$16&lt;&gt;"",01_Основания!$B$8&lt;&gt;""),"INPUTS_PRESENT_CHECK_OVERLAP","INCOMPLETE"))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8" t="str">
        <f aca="false">IF(N19="INPUTS_PRESENT_CHECK_OVERLAP",ROUND(F19+H19+I19+J19,2),"")</f>
        <v/>
      </c>
      <c r="L19" s="8" t="str">
        <f aca="false">IF(ISNUMBER(K19),ROUND(K19-D19,2),"")</f>
        <v/>
      </c>
      <c r="M19" s="4"/>
      <c r="N19" s="5" t="str">
        <f aca="false">IF(A19="","",IF(AND(C19&lt;&gt;"",M19&lt;&gt;"",COUNT(D19:J19)=7,01_Основания!$B$16&lt;&gt;"",01_Основания!$B$8&lt;&gt;""),"INPUTS_PRESENT_CHECK_OVERLAP","INCOMPLETE"))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8" t="str">
        <f aca="false">IF(N20="INPUTS_PRESENT_CHECK_OVERLAP",ROUND(F20+H20+I20+J20,2),"")</f>
        <v/>
      </c>
      <c r="L20" s="8" t="str">
        <f aca="false">IF(ISNUMBER(K20),ROUND(K20-D20,2),"")</f>
        <v/>
      </c>
      <c r="M20" s="4"/>
      <c r="N20" s="5" t="str">
        <f aca="false">IF(A20="","",IF(AND(C20&lt;&gt;"",M20&lt;&gt;"",COUNT(D20:J20)=7,01_Основания!$B$16&lt;&gt;"",01_Основания!$B$8&lt;&gt;""),"INPUTS_PRESENT_CHECK_OVERLAP","INCOMPLETE"))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8" t="str">
        <f aca="false">IF(N21="INPUTS_PRESENT_CHECK_OVERLAP",ROUND(F21+H21+I21+J21,2),"")</f>
        <v/>
      </c>
      <c r="L21" s="8" t="str">
        <f aca="false">IF(ISNUMBER(K21),ROUND(K21-D21,2),"")</f>
        <v/>
      </c>
      <c r="M21" s="4"/>
      <c r="N21" s="5" t="str">
        <f aca="false">IF(A21="","",IF(AND(C21&lt;&gt;"",M21&lt;&gt;"",COUNT(D21:J21)=7,01_Основания!$B$16&lt;&gt;"",01_Основания!$B$8&lt;&gt;""),"INPUTS_PRESENT_CHECK_OVERLAP","INCOMPLETE"))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8" t="str">
        <f aca="false">IF(N22="INPUTS_PRESENT_CHECK_OVERLAP",ROUND(F22+H22+I22+J22,2),"")</f>
        <v/>
      </c>
      <c r="L22" s="8" t="str">
        <f aca="false">IF(ISNUMBER(K22),ROUND(K22-D22,2),"")</f>
        <v/>
      </c>
      <c r="M22" s="4"/>
      <c r="N22" s="5" t="str">
        <f aca="false">IF(A22="","",IF(AND(C22&lt;&gt;"",M22&lt;&gt;"",COUNT(D22:J22)=7,01_Основания!$B$16&lt;&gt;"",01_Основания!$B$8&lt;&gt;""),"INPUTS_PRESENT_CHECK_OVERLAP","INCOMPLETE"))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8" t="str">
        <f aca="false">IF(N23="INPUTS_PRESENT_CHECK_OVERLAP",ROUND(F23+H23+I23+J23,2),"")</f>
        <v/>
      </c>
      <c r="L23" s="8" t="str">
        <f aca="false">IF(ISNUMBER(K23),ROUND(K23-D23,2),"")</f>
        <v/>
      </c>
      <c r="M23" s="4"/>
      <c r="N23" s="5" t="str">
        <f aca="false">IF(A23="","",IF(AND(C23&lt;&gt;"",M23&lt;&gt;"",COUNT(D23:J23)=7,01_Основания!$B$16&lt;&gt;"",01_Основания!$B$8&lt;&gt;""),"INPUTS_PRESENT_CHECK_OVERLAP","INCOMPLETE"))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8" t="str">
        <f aca="false">IF(N24="INPUTS_PRESENT_CHECK_OVERLAP",ROUND(F24+H24+I24+J24,2),"")</f>
        <v/>
      </c>
      <c r="L24" s="8" t="str">
        <f aca="false">IF(ISNUMBER(K24),ROUND(K24-D24,2),"")</f>
        <v/>
      </c>
      <c r="M24" s="4"/>
      <c r="N24" s="5" t="str">
        <f aca="false">IF(A24="","",IF(AND(C24&lt;&gt;"",M24&lt;&gt;"",COUNT(D24:J24)=7,01_Основания!$B$16&lt;&gt;"",01_Основания!$B$8&lt;&gt;""),"INPUTS_PRESENT_CHECK_OVERLAP","INCOMPLETE"))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8" t="str">
        <f aca="false">IF(N25="INPUTS_PRESENT_CHECK_OVERLAP",ROUND(F25+H25+I25+J25,2),"")</f>
        <v/>
      </c>
      <c r="L25" s="8" t="str">
        <f aca="false">IF(ISNUMBER(K25),ROUND(K25-D25,2),"")</f>
        <v/>
      </c>
      <c r="M25" s="4"/>
      <c r="N25" s="5" t="str">
        <f aca="false">IF(A25="","",IF(AND(C25&lt;&gt;"",M25&lt;&gt;"",COUNT(D25:J25)=7,01_Основания!$B$16&lt;&gt;"",01_Основания!$B$8&lt;&gt;""),"INPUTS_PRESENT_CHECK_OVERLAP","INCOMPLETE"))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8" t="str">
        <f aca="false">IF(N26="INPUTS_PRESENT_CHECK_OVERLAP",ROUND(F26+H26+I26+J26,2),"")</f>
        <v/>
      </c>
      <c r="L26" s="8" t="str">
        <f aca="false">IF(ISNUMBER(K26),ROUND(K26-D26,2),"")</f>
        <v/>
      </c>
      <c r="M26" s="4"/>
      <c r="N26" s="5" t="str">
        <f aca="false">IF(A26="","",IF(AND(C26&lt;&gt;"",M26&lt;&gt;"",COUNT(D26:J26)=7,01_Основания!$B$16&lt;&gt;"",01_Основания!$B$8&lt;&gt;""),"INPUTS_PRESENT_CHECK_OVERLAP","INCOMPLETE"))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8" t="str">
        <f aca="false">IF(N27="INPUTS_PRESENT_CHECK_OVERLAP",ROUND(F27+H27+I27+J27,2),"")</f>
        <v/>
      </c>
      <c r="L27" s="8" t="str">
        <f aca="false">IF(ISNUMBER(K27),ROUND(K27-D27,2),"")</f>
        <v/>
      </c>
      <c r="M27" s="4"/>
      <c r="N27" s="5" t="str">
        <f aca="false">IF(A27="","",IF(AND(C27&lt;&gt;"",M27&lt;&gt;"",COUNT(D27:J27)=7,01_Основания!$B$16&lt;&gt;"",01_Основания!$B$8&lt;&gt;""),"INPUTS_PRESENT_CHECK_OVERLAP","INCOMPLETE"))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8" t="str">
        <f aca="false">IF(N28="INPUTS_PRESENT_CHECK_OVERLAP",ROUND(F28+H28+I28+J28,2),"")</f>
        <v/>
      </c>
      <c r="L28" s="8" t="str">
        <f aca="false">IF(ISNUMBER(K28),ROUND(K28-D28,2),"")</f>
        <v/>
      </c>
      <c r="M28" s="4"/>
      <c r="N28" s="5" t="str">
        <f aca="false">IF(A28="","",IF(AND(C28&lt;&gt;"",M28&lt;&gt;"",COUNT(D28:J28)=7,01_Основания!$B$16&lt;&gt;"",01_Основания!$B$8&lt;&gt;""),"INPUTS_PRESENT_CHECK_OVERLAP","INCOMPLETE"))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8" t="str">
        <f aca="false">IF(N29="INPUTS_PRESENT_CHECK_OVERLAP",ROUND(F29+H29+I29+J29,2),"")</f>
        <v/>
      </c>
      <c r="L29" s="8" t="str">
        <f aca="false">IF(ISNUMBER(K29),ROUND(K29-D29,2),"")</f>
        <v/>
      </c>
      <c r="M29" s="4"/>
      <c r="N29" s="5" t="str">
        <f aca="false">IF(A29="","",IF(AND(C29&lt;&gt;"",M29&lt;&gt;"",COUNT(D29:J29)=7,01_Основания!$B$16&lt;&gt;"",01_Основания!$B$8&lt;&gt;""),"INPUTS_PRESENT_CHECK_OVERLAP","INCOMPLETE"))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8" t="str">
        <f aca="false">IF(N30="INPUTS_PRESENT_CHECK_OVERLAP",ROUND(F30+H30+I30+J30,2),"")</f>
        <v/>
      </c>
      <c r="L30" s="8" t="str">
        <f aca="false">IF(ISNUMBER(K30),ROUND(K30-D30,2),"")</f>
        <v/>
      </c>
      <c r="M30" s="4"/>
      <c r="N30" s="5" t="str">
        <f aca="false">IF(A30="","",IF(AND(C30&lt;&gt;"",M30&lt;&gt;"",COUNT(D30:J30)=7,01_Основания!$B$16&lt;&gt;"",01_Основания!$B$8&lt;&gt;""),"INPUTS_PRESENT_CHECK_OVERLAP","INCOMPLETE"))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8" t="str">
        <f aca="false">IF(N31="INPUTS_PRESENT_CHECK_OVERLAP",ROUND(F31+H31+I31+J31,2),"")</f>
        <v/>
      </c>
      <c r="L31" s="8" t="str">
        <f aca="false">IF(ISNUMBER(K31),ROUND(K31-D31,2),"")</f>
        <v/>
      </c>
      <c r="M31" s="4"/>
      <c r="N31" s="5" t="str">
        <f aca="false">IF(A31="","",IF(AND(C31&lt;&gt;"",M31&lt;&gt;"",COUNT(D31:J31)=7,01_Основания!$B$16&lt;&gt;"",01_Основания!$B$8&lt;&gt;""),"INPUTS_PRESENT_CHECK_OVERLAP","INCOMPLETE"))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8" t="str">
        <f aca="false">IF(N32="INPUTS_PRESENT_CHECK_OVERLAP",ROUND(F32+H32+I32+J32,2),"")</f>
        <v/>
      </c>
      <c r="L32" s="8" t="str">
        <f aca="false">IF(ISNUMBER(K32),ROUND(K32-D32,2),"")</f>
        <v/>
      </c>
      <c r="M32" s="4"/>
      <c r="N32" s="5" t="str">
        <f aca="false">IF(A32="","",IF(AND(C32&lt;&gt;"",M32&lt;&gt;"",COUNT(D32:J32)=7,01_Основания!$B$16&lt;&gt;"",01_Основания!$B$8&lt;&gt;""),"INPUTS_PRESENT_CHECK_OVERLAP","INCOMPLETE"))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8" t="str">
        <f aca="false">IF(N33="INPUTS_PRESENT_CHECK_OVERLAP",ROUND(F33+H33+I33+J33,2),"")</f>
        <v/>
      </c>
      <c r="L33" s="8" t="str">
        <f aca="false">IF(ISNUMBER(K33),ROUND(K33-D33,2),"")</f>
        <v/>
      </c>
      <c r="M33" s="4"/>
      <c r="N33" s="5" t="str">
        <f aca="false">IF(A33="","",IF(AND(C33&lt;&gt;"",M33&lt;&gt;"",COUNT(D33:J33)=7,01_Основания!$B$16&lt;&gt;"",01_Основания!$B$8&lt;&gt;""),"INPUTS_PRESENT_CHECK_OVERLAP","INCOMPLETE"))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8" t="str">
        <f aca="false">IF(N34="INPUTS_PRESENT_CHECK_OVERLAP",ROUND(F34+H34+I34+J34,2),"")</f>
        <v/>
      </c>
      <c r="L34" s="8" t="str">
        <f aca="false">IF(ISNUMBER(K34),ROUND(K34-D34,2),"")</f>
        <v/>
      </c>
      <c r="M34" s="4"/>
      <c r="N34" s="5" t="str">
        <f aca="false">IF(A34="","",IF(AND(C34&lt;&gt;"",M34&lt;&gt;"",COUNT(D34:J34)=7,01_Основания!$B$16&lt;&gt;"",01_Основания!$B$8&lt;&gt;""),"INPUTS_PRESENT_CHECK_OVERLAP","INCOMPLETE"))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8" t="str">
        <f aca="false">IF(N35="INPUTS_PRESENT_CHECK_OVERLAP",ROUND(F35+H35+I35+J35,2),"")</f>
        <v/>
      </c>
      <c r="L35" s="8" t="str">
        <f aca="false">IF(ISNUMBER(K35),ROUND(K35-D35,2),"")</f>
        <v/>
      </c>
      <c r="M35" s="4"/>
      <c r="N35" s="5" t="str">
        <f aca="false">IF(A35="","",IF(AND(C35&lt;&gt;"",M35&lt;&gt;"",COUNT(D35:J35)=7,01_Основания!$B$16&lt;&gt;"",01_Основания!$B$8&lt;&gt;""),"INPUTS_PRESENT_CHECK_OVERLAP","INCOMPLETE"))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8" t="str">
        <f aca="false">IF(N36="INPUTS_PRESENT_CHECK_OVERLAP",ROUND(F36+H36+I36+J36,2),"")</f>
        <v/>
      </c>
      <c r="L36" s="8" t="str">
        <f aca="false">IF(ISNUMBER(K36),ROUND(K36-D36,2),"")</f>
        <v/>
      </c>
      <c r="M36" s="4"/>
      <c r="N36" s="5" t="str">
        <f aca="false">IF(A36="","",IF(AND(C36&lt;&gt;"",M36&lt;&gt;"",COUNT(D36:J36)=7,01_Основания!$B$16&lt;&gt;"",01_Основания!$B$8&lt;&gt;""),"INPUTS_PRESENT_CHECK_OVERLAP","INCOMPLETE"))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8" t="str">
        <f aca="false">IF(N37="INPUTS_PRESENT_CHECK_OVERLAP",ROUND(F37+H37+I37+J37,2),"")</f>
        <v/>
      </c>
      <c r="L37" s="8" t="str">
        <f aca="false">IF(ISNUMBER(K37),ROUND(K37-D37,2),"")</f>
        <v/>
      </c>
      <c r="M37" s="4"/>
      <c r="N37" s="5" t="str">
        <f aca="false">IF(A37="","",IF(AND(C37&lt;&gt;"",M37&lt;&gt;"",COUNT(D37:J37)=7,01_Основания!$B$16&lt;&gt;"",01_Основания!$B$8&lt;&gt;""),"INPUTS_PRESENT_CHECK_OVERLAP","INCOMPLETE"))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8" t="str">
        <f aca="false">IF(N38="INPUTS_PRESENT_CHECK_OVERLAP",ROUND(F38+H38+I38+J38,2),"")</f>
        <v/>
      </c>
      <c r="L38" s="8" t="str">
        <f aca="false">IF(ISNUMBER(K38),ROUND(K38-D38,2),"")</f>
        <v/>
      </c>
      <c r="M38" s="4"/>
      <c r="N38" s="5" t="str">
        <f aca="false">IF(A38="","",IF(AND(C38&lt;&gt;"",M38&lt;&gt;"",COUNT(D38:J38)=7,01_Основания!$B$16&lt;&gt;"",01_Основания!$B$8&lt;&gt;""),"INPUTS_PRESENT_CHECK_OVERLAP","INCOMPLETE"))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8" t="str">
        <f aca="false">IF(N39="INPUTS_PRESENT_CHECK_OVERLAP",ROUND(F39+H39+I39+J39,2),"")</f>
        <v/>
      </c>
      <c r="L39" s="8" t="str">
        <f aca="false">IF(ISNUMBER(K39),ROUND(K39-D39,2),"")</f>
        <v/>
      </c>
      <c r="M39" s="4"/>
      <c r="N39" s="5" t="str">
        <f aca="false">IF(A39="","",IF(AND(C39&lt;&gt;"",M39&lt;&gt;"",COUNT(D39:J39)=7,01_Основания!$B$16&lt;&gt;"",01_Основания!$B$8&lt;&gt;""),"INPUTS_PRESENT_CHECK_OVERLAP","INCOMPLETE"))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8" t="str">
        <f aca="false">IF(N40="INPUTS_PRESENT_CHECK_OVERLAP",ROUND(F40+H40+I40+J40,2),"")</f>
        <v/>
      </c>
      <c r="L40" s="8" t="str">
        <f aca="false">IF(ISNUMBER(K40),ROUND(K40-D40,2),"")</f>
        <v/>
      </c>
      <c r="M40" s="4"/>
      <c r="N40" s="5" t="str">
        <f aca="false">IF(A40="","",IF(AND(C40&lt;&gt;"",M40&lt;&gt;"",COUNT(D40:J40)=7,01_Основания!$B$16&lt;&gt;"",01_Основания!$B$8&lt;&gt;""),"INPUTS_PRESENT_CHECK_OVERLAP","INCOMPLETE"))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8" t="str">
        <f aca="false">IF(N41="INPUTS_PRESENT_CHECK_OVERLAP",ROUND(F41+H41+I41+J41,2),"")</f>
        <v/>
      </c>
      <c r="L41" s="8" t="str">
        <f aca="false">IF(ISNUMBER(K41),ROUND(K41-D41,2),"")</f>
        <v/>
      </c>
      <c r="M41" s="4"/>
      <c r="N41" s="5" t="str">
        <f aca="false">IF(A41="","",IF(AND(C41&lt;&gt;"",M41&lt;&gt;"",COUNT(D41:J41)=7,01_Основания!$B$16&lt;&gt;"",01_Основания!$B$8&lt;&gt;""),"INPUTS_PRESENT_CHECK_OVERLAP","INCOMPLETE"))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8" t="str">
        <f aca="false">IF(N42="INPUTS_PRESENT_CHECK_OVERLAP",ROUND(F42+H42+I42+J42,2),"")</f>
        <v/>
      </c>
      <c r="L42" s="8" t="str">
        <f aca="false">IF(ISNUMBER(K42),ROUND(K42-D42,2),"")</f>
        <v/>
      </c>
      <c r="M42" s="4"/>
      <c r="N42" s="5" t="str">
        <f aca="false">IF(A42="","",IF(AND(C42&lt;&gt;"",M42&lt;&gt;"",COUNT(D42:J42)=7,01_Основания!$B$16&lt;&gt;"",01_Основания!$B$8&lt;&gt;""),"INPUTS_PRESENT_CHECK_OVERLAP","INCOMPLETE"))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8" t="str">
        <f aca="false">IF(N43="INPUTS_PRESENT_CHECK_OVERLAP",ROUND(F43+H43+I43+J43,2),"")</f>
        <v/>
      </c>
      <c r="L43" s="8" t="str">
        <f aca="false">IF(ISNUMBER(K43),ROUND(K43-D43,2),"")</f>
        <v/>
      </c>
      <c r="M43" s="4"/>
      <c r="N43" s="5" t="str">
        <f aca="false">IF(A43="","",IF(AND(C43&lt;&gt;"",M43&lt;&gt;"",COUNT(D43:J43)=7,01_Основания!$B$16&lt;&gt;"",01_Основания!$B$8&lt;&gt;""),"INPUTS_PRESENT_CHECK_OVERLAP","INCOMPLETE"))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8" t="str">
        <f aca="false">IF(N44="INPUTS_PRESENT_CHECK_OVERLAP",ROUND(F44+H44+I44+J44,2),"")</f>
        <v/>
      </c>
      <c r="L44" s="8" t="str">
        <f aca="false">IF(ISNUMBER(K44),ROUND(K44-D44,2),"")</f>
        <v/>
      </c>
      <c r="M44" s="4"/>
      <c r="N44" s="5" t="str">
        <f aca="false">IF(A44="","",IF(AND(C44&lt;&gt;"",M44&lt;&gt;"",COUNT(D44:J44)=7,01_Основания!$B$16&lt;&gt;"",01_Основания!$B$8&lt;&gt;""),"INPUTS_PRESENT_CHECK_OVERLAP","INCOMPLETE"))</f>
        <v/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8" t="str">
        <f aca="false">IF(N45="INPUTS_PRESENT_CHECK_OVERLAP",ROUND(F45+H45+I45+J45,2),"")</f>
        <v/>
      </c>
      <c r="L45" s="8" t="str">
        <f aca="false">IF(ISNUMBER(K45),ROUND(K45-D45,2),"")</f>
        <v/>
      </c>
      <c r="M45" s="4"/>
      <c r="N45" s="5" t="str">
        <f aca="false">IF(A45="","",IF(AND(C45&lt;&gt;"",M45&lt;&gt;"",COUNT(D45:J45)=7,01_Основания!$B$16&lt;&gt;"",01_Основания!$B$8&lt;&gt;""),"INPUTS_PRESENT_CHECK_OVERLAP","INCOMPLETE"))</f>
        <v/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8" t="str">
        <f aca="false">IF(N46="INPUTS_PRESENT_CHECK_OVERLAP",ROUND(F46+H46+I46+J46,2),"")</f>
        <v/>
      </c>
      <c r="L46" s="8" t="str">
        <f aca="false">IF(ISNUMBER(K46),ROUND(K46-D46,2),"")</f>
        <v/>
      </c>
      <c r="M46" s="4"/>
      <c r="N46" s="5" t="str">
        <f aca="false">IF(A46="","",IF(AND(C46&lt;&gt;"",M46&lt;&gt;"",COUNT(D46:J46)=7,01_Основания!$B$16&lt;&gt;"",01_Основания!$B$8&lt;&gt;""),"INPUTS_PRESENT_CHECK_OVERLAP","INCOMPLETE"))</f>
        <v/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8" t="str">
        <f aca="false">IF(N47="INPUTS_PRESENT_CHECK_OVERLAP",ROUND(F47+H47+I47+J47,2),"")</f>
        <v/>
      </c>
      <c r="L47" s="8" t="str">
        <f aca="false">IF(ISNUMBER(K47),ROUND(K47-D47,2),"")</f>
        <v/>
      </c>
      <c r="M47" s="4"/>
      <c r="N47" s="5" t="str">
        <f aca="false">IF(A47="","",IF(AND(C47&lt;&gt;"",M47&lt;&gt;"",COUNT(D47:J47)=7,01_Основания!$B$16&lt;&gt;"",01_Основания!$B$8&lt;&gt;""),"INPUTS_PRESENT_CHECK_OVERLAP","INCOMPLETE"))</f>
        <v/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8" t="str">
        <f aca="false">IF(N48="INPUTS_PRESENT_CHECK_OVERLAP",ROUND(F48+H48+I48+J48,2),"")</f>
        <v/>
      </c>
      <c r="L48" s="8" t="str">
        <f aca="false">IF(ISNUMBER(K48),ROUND(K48-D48,2),"")</f>
        <v/>
      </c>
      <c r="M48" s="4"/>
      <c r="N48" s="5" t="str">
        <f aca="false">IF(A48="","",IF(AND(C48&lt;&gt;"",M48&lt;&gt;"",COUNT(D48:J48)=7,01_Основания!$B$16&lt;&gt;"",01_Основания!$B$8&lt;&gt;""),"INPUTS_PRESENT_CHECK_OVERLAP","INCOMPLETE"))</f>
        <v/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8" t="str">
        <f aca="false">IF(N49="INPUTS_PRESENT_CHECK_OVERLAP",ROUND(F49+H49+I49+J49,2),"")</f>
        <v/>
      </c>
      <c r="L49" s="8" t="str">
        <f aca="false">IF(ISNUMBER(K49),ROUND(K49-D49,2),"")</f>
        <v/>
      </c>
      <c r="M49" s="4"/>
      <c r="N49" s="5" t="str">
        <f aca="false">IF(A49="","",IF(AND(C49&lt;&gt;"",M49&lt;&gt;"",COUNT(D49:J49)=7,01_Основания!$B$16&lt;&gt;"",01_Основания!$B$8&lt;&gt;""),"INPUTS_PRESENT_CHECK_OVERLAP","INCOMPLETE"))</f>
        <v/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8" t="str">
        <f aca="false">IF(N50="INPUTS_PRESENT_CHECK_OVERLAP",ROUND(F50+H50+I50+J50,2),"")</f>
        <v/>
      </c>
      <c r="L50" s="8" t="str">
        <f aca="false">IF(ISNUMBER(K50),ROUND(K50-D50,2),"")</f>
        <v/>
      </c>
      <c r="M50" s="4"/>
      <c r="N50" s="5" t="str">
        <f aca="false">IF(A50="","",IF(AND(C50&lt;&gt;"",M50&lt;&gt;"",COUNT(D50:J50)=7,01_Основания!$B$16&lt;&gt;"",01_Основания!$B$8&lt;&gt;""),"INPUTS_PRESENT_CHECK_OVERLAP","INCOMPLETE"))</f>
        <v/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8" t="str">
        <f aca="false">IF(N51="INPUTS_PRESENT_CHECK_OVERLAP",ROUND(F51+H51+I51+J51,2),"")</f>
        <v/>
      </c>
      <c r="L51" s="8" t="str">
        <f aca="false">IF(ISNUMBER(K51),ROUND(K51-D51,2),"")</f>
        <v/>
      </c>
      <c r="M51" s="4"/>
      <c r="N51" s="5" t="str">
        <f aca="false">IF(A51="","",IF(AND(C51&lt;&gt;"",M51&lt;&gt;"",COUNT(D51:J51)=7,01_Основания!$B$16&lt;&gt;"",01_Основания!$B$8&lt;&gt;""),"INPUTS_PRESENT_CHECK_OVERLAP","INCOMPLETE"))</f>
        <v/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8" t="str">
        <f aca="false">IF(N52="INPUTS_PRESENT_CHECK_OVERLAP",ROUND(F52+H52+I52+J52,2),"")</f>
        <v/>
      </c>
      <c r="L52" s="8" t="str">
        <f aca="false">IF(ISNUMBER(K52),ROUND(K52-D52,2),"")</f>
        <v/>
      </c>
      <c r="M52" s="4"/>
      <c r="N52" s="5" t="str">
        <f aca="false">IF(A52="","",IF(AND(C52&lt;&gt;"",M52&lt;&gt;"",COUNT(D52:J52)=7,01_Основания!$B$16&lt;&gt;"",01_Основания!$B$8&lt;&gt;""),"INPUTS_PRESENT_CHECK_OVERLAP","INCOMPLETE"))</f>
        <v/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8" t="str">
        <f aca="false">IF(N53="INPUTS_PRESENT_CHECK_OVERLAP",ROUND(F53+H53+I53+J53,2),"")</f>
        <v/>
      </c>
      <c r="L53" s="8" t="str">
        <f aca="false">IF(ISNUMBER(K53),ROUND(K53-D53,2),"")</f>
        <v/>
      </c>
      <c r="M53" s="4"/>
      <c r="N53" s="5" t="str">
        <f aca="false">IF(A53="","",IF(AND(C53&lt;&gt;"",M53&lt;&gt;"",COUNT(D53:J53)=7,01_Основания!$B$16&lt;&gt;"",01_Основания!$B$8&lt;&gt;""),"INPUTS_PRESENT_CHECK_OVERLAP","INCOMPLETE"))</f>
        <v/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8" t="str">
        <f aca="false">IF(N54="INPUTS_PRESENT_CHECK_OVERLAP",ROUND(F54+H54+I54+J54,2),"")</f>
        <v/>
      </c>
      <c r="L54" s="8" t="str">
        <f aca="false">IF(ISNUMBER(K54),ROUND(K54-D54,2),"")</f>
        <v/>
      </c>
      <c r="M54" s="4"/>
      <c r="N54" s="5" t="str">
        <f aca="false">IF(A54="","",IF(AND(C54&lt;&gt;"",M54&lt;&gt;"",COUNT(D54:J54)=7,01_Основания!$B$16&lt;&gt;"",01_Основания!$B$8&lt;&gt;""),"INPUTS_PRESENT_CHECK_OVERLAP","INCOMPLETE"))</f>
        <v/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8" t="str">
        <f aca="false">IF(N55="INPUTS_PRESENT_CHECK_OVERLAP",ROUND(F55+H55+I55+J55,2),"")</f>
        <v/>
      </c>
      <c r="L55" s="8" t="str">
        <f aca="false">IF(ISNUMBER(K55),ROUND(K55-D55,2),"")</f>
        <v/>
      </c>
      <c r="M55" s="4"/>
      <c r="N55" s="5" t="str">
        <f aca="false">IF(A55="","",IF(AND(C55&lt;&gt;"",M55&lt;&gt;"",COUNT(D55:J55)=7,01_Основания!$B$16&lt;&gt;"",01_Основания!$B$8&lt;&gt;""),"INPUTS_PRESENT_CHECK_OVERLAP","INCOMPLETE"))</f>
        <v/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8" t="str">
        <f aca="false">IF(N56="INPUTS_PRESENT_CHECK_OVERLAP",ROUND(F56+H56+I56+J56,2),"")</f>
        <v/>
      </c>
      <c r="L56" s="8" t="str">
        <f aca="false">IF(ISNUMBER(K56),ROUND(K56-D56,2),"")</f>
        <v/>
      </c>
      <c r="M56" s="4"/>
      <c r="N56" s="5" t="str">
        <f aca="false">IF(A56="","",IF(AND(C56&lt;&gt;"",M56&lt;&gt;"",COUNT(D56:J56)=7,01_Основания!$B$16&lt;&gt;"",01_Основания!$B$8&lt;&gt;""),"INPUTS_PRESENT_CHECK_OVERLAP","INCOMPLETE"))</f>
        <v/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8" t="str">
        <f aca="false">IF(N57="INPUTS_PRESENT_CHECK_OVERLAP",ROUND(F57+H57+I57+J57,2),"")</f>
        <v/>
      </c>
      <c r="L57" s="8" t="str">
        <f aca="false">IF(ISNUMBER(K57),ROUND(K57-D57,2),"")</f>
        <v/>
      </c>
      <c r="M57" s="4"/>
      <c r="N57" s="5" t="str">
        <f aca="false">IF(A57="","",IF(AND(C57&lt;&gt;"",M57&lt;&gt;"",COUNT(D57:J57)=7,01_Основания!$B$16&lt;&gt;"",01_Основания!$B$8&lt;&gt;""),"INPUTS_PRESENT_CHECK_OVERLAP","INCOMPLETE"))</f>
        <v/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8" t="str">
        <f aca="false">IF(N58="INPUTS_PRESENT_CHECK_OVERLAP",ROUND(F58+H58+I58+J58,2),"")</f>
        <v/>
      </c>
      <c r="L58" s="8" t="str">
        <f aca="false">IF(ISNUMBER(K58),ROUND(K58-D58,2),"")</f>
        <v/>
      </c>
      <c r="M58" s="4"/>
      <c r="N58" s="5" t="str">
        <f aca="false">IF(A58="","",IF(AND(C58&lt;&gt;"",M58&lt;&gt;"",COUNT(D58:J58)=7,01_Основания!$B$16&lt;&gt;"",01_Основания!$B$8&lt;&gt;""),"INPUTS_PRESENT_CHECK_OVERLAP","INCOMPLETE"))</f>
        <v/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8" t="str">
        <f aca="false">IF(N59="INPUTS_PRESENT_CHECK_OVERLAP",ROUND(F59+H59+I59+J59,2),"")</f>
        <v/>
      </c>
      <c r="L59" s="8" t="str">
        <f aca="false">IF(ISNUMBER(K59),ROUND(K59-D59,2),"")</f>
        <v/>
      </c>
      <c r="M59" s="4"/>
      <c r="N59" s="5" t="str">
        <f aca="false">IF(A59="","",IF(AND(C59&lt;&gt;"",M59&lt;&gt;"",COUNT(D59:J59)=7,01_Основания!$B$16&lt;&gt;"",01_Основания!$B$8&lt;&gt;""),"INPUTS_PRESENT_CHECK_OVERLAP","INCOMPLETE"))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8" t="str">
        <f aca="false">IF(N60="INPUTS_PRESENT_CHECK_OVERLAP",ROUND(F60+H60+I60+J60,2),"")</f>
        <v/>
      </c>
      <c r="L60" s="8" t="str">
        <f aca="false">IF(ISNUMBER(K60),ROUND(K60-D60,2),"")</f>
        <v/>
      </c>
      <c r="M60" s="4"/>
      <c r="N60" s="5" t="str">
        <f aca="false">IF(A60="","",IF(AND(C60&lt;&gt;"",M60&lt;&gt;"",COUNT(D60:J60)=7,01_Основания!$B$16&lt;&gt;"",01_Основания!$B$8&lt;&gt;""),"INPUTS_PRESENT_CHECK_OVERLAP","INCOMPLETE"))</f>
        <v/>
      </c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8" t="str">
        <f aca="false">IF(N61="INPUTS_PRESENT_CHECK_OVERLAP",ROUND(F61+H61+I61+J61,2),"")</f>
        <v/>
      </c>
      <c r="L61" s="8" t="str">
        <f aca="false">IF(ISNUMBER(K61),ROUND(K61-D61,2),"")</f>
        <v/>
      </c>
      <c r="M61" s="4"/>
      <c r="N61" s="5" t="str">
        <f aca="false">IF(A61="","",IF(AND(C61&lt;&gt;"",M61&lt;&gt;"",COUNT(D61:J61)=7,01_Основания!$B$16&lt;&gt;"",01_Основания!$B$8&lt;&gt;""),"INPUTS_PRESENT_CHECK_OVERLAP","INCOMPLETE"))</f>
        <v/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8" t="str">
        <f aca="false">IF(N62="INPUTS_PRESENT_CHECK_OVERLAP",ROUND(F62+H62+I62+J62,2),"")</f>
        <v/>
      </c>
      <c r="L62" s="8" t="str">
        <f aca="false">IF(ISNUMBER(K62),ROUND(K62-D62,2),"")</f>
        <v/>
      </c>
      <c r="M62" s="4"/>
      <c r="N62" s="5" t="str">
        <f aca="false">IF(A62="","",IF(AND(C62&lt;&gt;"",M62&lt;&gt;"",COUNT(D62:J62)=7,01_Основания!$B$16&lt;&gt;"",01_Основания!$B$8&lt;&gt;""),"INPUTS_PRESENT_CHECK_OVERLAP","INCOMPLETE"))</f>
        <v/>
      </c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8" t="str">
        <f aca="false">IF(N63="INPUTS_PRESENT_CHECK_OVERLAP",ROUND(F63+H63+I63+J63,2),"")</f>
        <v/>
      </c>
      <c r="L63" s="8" t="str">
        <f aca="false">IF(ISNUMBER(K63),ROUND(K63-D63,2),"")</f>
        <v/>
      </c>
      <c r="M63" s="4"/>
      <c r="N63" s="5" t="str">
        <f aca="false">IF(A63="","",IF(AND(C63&lt;&gt;"",M63&lt;&gt;"",COUNT(D63:J63)=7,01_Основания!$B$16&lt;&gt;"",01_Основания!$B$8&lt;&gt;""),"INPUTS_PRESENT_CHECK_OVERLAP","INCOMPLETE"))</f>
        <v/>
      </c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8" t="str">
        <f aca="false">IF(N64="INPUTS_PRESENT_CHECK_OVERLAP",ROUND(F64+H64+I64+J64,2),"")</f>
        <v/>
      </c>
      <c r="L64" s="8" t="str">
        <f aca="false">IF(ISNUMBER(K64),ROUND(K64-D64,2),"")</f>
        <v/>
      </c>
      <c r="M64" s="4"/>
      <c r="N64" s="5" t="str">
        <f aca="false">IF(A64="","",IF(AND(C64&lt;&gt;"",M64&lt;&gt;"",COUNT(D64:J64)=7,01_Основания!$B$16&lt;&gt;"",01_Основания!$B$8&lt;&gt;""),"INPUTS_PRESENT_CHECK_OVERLAP","INCOMPLETE"))</f>
        <v/>
      </c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8" t="str">
        <f aca="false">IF(N65="INPUTS_PRESENT_CHECK_OVERLAP",ROUND(F65+H65+I65+J65,2),"")</f>
        <v/>
      </c>
      <c r="L65" s="8" t="str">
        <f aca="false">IF(ISNUMBER(K65),ROUND(K65-D65,2),"")</f>
        <v/>
      </c>
      <c r="M65" s="4"/>
      <c r="N65" s="5" t="str">
        <f aca="false">IF(A65="","",IF(AND(C65&lt;&gt;"",M65&lt;&gt;"",COUNT(D65:J65)=7,01_Основания!$B$16&lt;&gt;"",01_Основания!$B$8&lt;&gt;""),"INPUTS_PRESENT_CHECK_OVERLAP","INCOMPLETE"))</f>
        <v/>
      </c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8" t="str">
        <f aca="false">IF(N66="INPUTS_PRESENT_CHECK_OVERLAP",ROUND(F66+H66+I66+J66,2),"")</f>
        <v/>
      </c>
      <c r="L66" s="8" t="str">
        <f aca="false">IF(ISNUMBER(K66),ROUND(K66-D66,2),"")</f>
        <v/>
      </c>
      <c r="M66" s="4"/>
      <c r="N66" s="5" t="str">
        <f aca="false">IF(A66="","",IF(AND(C66&lt;&gt;"",M66&lt;&gt;"",COUNT(D66:J66)=7,01_Основания!$B$16&lt;&gt;"",01_Основания!$B$8&lt;&gt;""),"INPUTS_PRESENT_CHECK_OVERLAP","INCOMPLETE"))</f>
        <v/>
      </c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8" t="str">
        <f aca="false">IF(N67="INPUTS_PRESENT_CHECK_OVERLAP",ROUND(F67+H67+I67+J67,2),"")</f>
        <v/>
      </c>
      <c r="L67" s="8" t="str">
        <f aca="false">IF(ISNUMBER(K67),ROUND(K67-D67,2),"")</f>
        <v/>
      </c>
      <c r="M67" s="4"/>
      <c r="N67" s="5" t="str">
        <f aca="false">IF(A67="","",IF(AND(C67&lt;&gt;"",M67&lt;&gt;"",COUNT(D67:J67)=7,01_Основания!$B$16&lt;&gt;"",01_Основания!$B$8&lt;&gt;""),"INPUTS_PRESENT_CHECK_OVERLAP","INCOMPLETE"))</f>
        <v/>
      </c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8" t="str">
        <f aca="false">IF(N68="INPUTS_PRESENT_CHECK_OVERLAP",ROUND(F68+H68+I68+J68,2),"")</f>
        <v/>
      </c>
      <c r="L68" s="8" t="str">
        <f aca="false">IF(ISNUMBER(K68),ROUND(K68-D68,2),"")</f>
        <v/>
      </c>
      <c r="M68" s="4"/>
      <c r="N68" s="5" t="str">
        <f aca="false">IF(A68="","",IF(AND(C68&lt;&gt;"",M68&lt;&gt;"",COUNT(D68:J68)=7,01_Основания!$B$16&lt;&gt;"",01_Основания!$B$8&lt;&gt;""),"INPUTS_PRESENT_CHECK_OVERLAP","INCOMPLETE"))</f>
        <v/>
      </c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8" t="str">
        <f aca="false">IF(N69="INPUTS_PRESENT_CHECK_OVERLAP",ROUND(F69+H69+I69+J69,2),"")</f>
        <v/>
      </c>
      <c r="L69" s="8" t="str">
        <f aca="false">IF(ISNUMBER(K69),ROUND(K69-D69,2),"")</f>
        <v/>
      </c>
      <c r="M69" s="4"/>
      <c r="N69" s="5" t="str">
        <f aca="false">IF(A69="","",IF(AND(C69&lt;&gt;"",M69&lt;&gt;"",COUNT(D69:J69)=7,01_Основания!$B$16&lt;&gt;"",01_Основания!$B$8&lt;&gt;""),"INPUTS_PRESENT_CHECK_OVERLAP","INCOMPLETE"))</f>
        <v/>
      </c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8" t="str">
        <f aca="false">IF(N70="INPUTS_PRESENT_CHECK_OVERLAP",ROUND(F70+H70+I70+J70,2),"")</f>
        <v/>
      </c>
      <c r="L70" s="8" t="str">
        <f aca="false">IF(ISNUMBER(K70),ROUND(K70-D70,2),"")</f>
        <v/>
      </c>
      <c r="M70" s="4"/>
      <c r="N70" s="5" t="str">
        <f aca="false">IF(A70="","",IF(AND(C70&lt;&gt;"",M70&lt;&gt;"",COUNT(D70:J70)=7,01_Основания!$B$16&lt;&gt;"",01_Основания!$B$8&lt;&gt;""),"INPUTS_PRESENT_CHECK_OVERLAP","INCOMPLETE"))</f>
        <v/>
      </c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8" t="str">
        <f aca="false">IF(N71="INPUTS_PRESENT_CHECK_OVERLAP",ROUND(F71+H71+I71+J71,2),"")</f>
        <v/>
      </c>
      <c r="L71" s="8" t="str">
        <f aca="false">IF(ISNUMBER(K71),ROUND(K71-D71,2),"")</f>
        <v/>
      </c>
      <c r="M71" s="4"/>
      <c r="N71" s="5" t="str">
        <f aca="false">IF(A71="","",IF(AND(C71&lt;&gt;"",M71&lt;&gt;"",COUNT(D71:J71)=7,01_Основания!$B$16&lt;&gt;"",01_Основания!$B$8&lt;&gt;""),"INPUTS_PRESENT_CHECK_OVERLAP","INCOMPLETE"))</f>
        <v/>
      </c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8" t="str">
        <f aca="false">IF(N72="INPUTS_PRESENT_CHECK_OVERLAP",ROUND(F72+H72+I72+J72,2),"")</f>
        <v/>
      </c>
      <c r="L72" s="8" t="str">
        <f aca="false">IF(ISNUMBER(K72),ROUND(K72-D72,2),"")</f>
        <v/>
      </c>
      <c r="M72" s="4"/>
      <c r="N72" s="5" t="str">
        <f aca="false">IF(A72="","",IF(AND(C72&lt;&gt;"",M72&lt;&gt;"",COUNT(D72:J72)=7,01_Основания!$B$16&lt;&gt;"",01_Основания!$B$8&lt;&gt;""),"INPUTS_PRESENT_CHECK_OVERLAP","INCOMPLETE"))</f>
        <v/>
      </c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8" t="str">
        <f aca="false">IF(N73="INPUTS_PRESENT_CHECK_OVERLAP",ROUND(F73+H73+I73+J73,2),"")</f>
        <v/>
      </c>
      <c r="L73" s="8" t="str">
        <f aca="false">IF(ISNUMBER(K73),ROUND(K73-D73,2),"")</f>
        <v/>
      </c>
      <c r="M73" s="4"/>
      <c r="N73" s="5" t="str">
        <f aca="false">IF(A73="","",IF(AND(C73&lt;&gt;"",M73&lt;&gt;"",COUNT(D73:J73)=7,01_Основания!$B$16&lt;&gt;"",01_Основания!$B$8&lt;&gt;""),"INPUTS_PRESENT_CHECK_OVERLAP","INCOMPLETE"))</f>
        <v/>
      </c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8" t="str">
        <f aca="false">IF(N74="INPUTS_PRESENT_CHECK_OVERLAP",ROUND(F74+H74+I74+J74,2),"")</f>
        <v/>
      </c>
      <c r="L74" s="8" t="str">
        <f aca="false">IF(ISNUMBER(K74),ROUND(K74-D74,2),"")</f>
        <v/>
      </c>
      <c r="M74" s="4"/>
      <c r="N74" s="5" t="str">
        <f aca="false">IF(A74="","",IF(AND(C74&lt;&gt;"",M74&lt;&gt;"",COUNT(D74:J74)=7,01_Основания!$B$16&lt;&gt;"",01_Основания!$B$8&lt;&gt;""),"INPUTS_PRESENT_CHECK_OVERLAP","INCOMPLETE"))</f>
        <v/>
      </c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8" t="str">
        <f aca="false">IF(N75="INPUTS_PRESENT_CHECK_OVERLAP",ROUND(F75+H75+I75+J75,2),"")</f>
        <v/>
      </c>
      <c r="L75" s="8" t="str">
        <f aca="false">IF(ISNUMBER(K75),ROUND(K75-D75,2),"")</f>
        <v/>
      </c>
      <c r="M75" s="4"/>
      <c r="N75" s="5" t="str">
        <f aca="false">IF(A75="","",IF(AND(C75&lt;&gt;"",M75&lt;&gt;"",COUNT(D75:J75)=7,01_Основания!$B$16&lt;&gt;"",01_Основания!$B$8&lt;&gt;""),"INPUTS_PRESENT_CHECK_OVERLAP","INCOMPLETE"))</f>
        <v/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8" t="str">
        <f aca="false">IF(N76="INPUTS_PRESENT_CHECK_OVERLAP",ROUND(F76+H76+I76+J76,2),"")</f>
        <v/>
      </c>
      <c r="L76" s="8" t="str">
        <f aca="false">IF(ISNUMBER(K76),ROUND(K76-D76,2),"")</f>
        <v/>
      </c>
      <c r="M76" s="4"/>
      <c r="N76" s="5" t="str">
        <f aca="false">IF(A76="","",IF(AND(C76&lt;&gt;"",M76&lt;&gt;"",COUNT(D76:J76)=7,01_Основания!$B$16&lt;&gt;"",01_Основания!$B$8&lt;&gt;""),"INPUTS_PRESENT_CHECK_OVERLAP","INCOMPLETE"))</f>
        <v/>
      </c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8" t="str">
        <f aca="false">IF(N77="INPUTS_PRESENT_CHECK_OVERLAP",ROUND(F77+H77+I77+J77,2),"")</f>
        <v/>
      </c>
      <c r="L77" s="8" t="str">
        <f aca="false">IF(ISNUMBER(K77),ROUND(K77-D77,2),"")</f>
        <v/>
      </c>
      <c r="M77" s="4"/>
      <c r="N77" s="5" t="str">
        <f aca="false">IF(A77="","",IF(AND(C77&lt;&gt;"",M77&lt;&gt;"",COUNT(D77:J77)=7,01_Основания!$B$16&lt;&gt;"",01_Основания!$B$8&lt;&gt;""),"INPUTS_PRESENT_CHECK_OVERLAP","INCOMPLETE"))</f>
        <v/>
      </c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8" t="str">
        <f aca="false">IF(N78="INPUTS_PRESENT_CHECK_OVERLAP",ROUND(F78+H78+I78+J78,2),"")</f>
        <v/>
      </c>
      <c r="L78" s="8" t="str">
        <f aca="false">IF(ISNUMBER(K78),ROUND(K78-D78,2),"")</f>
        <v/>
      </c>
      <c r="M78" s="4"/>
      <c r="N78" s="5" t="str">
        <f aca="false">IF(A78="","",IF(AND(C78&lt;&gt;"",M78&lt;&gt;"",COUNT(D78:J78)=7,01_Основания!$B$16&lt;&gt;"",01_Основания!$B$8&lt;&gt;""),"INPUTS_PRESENT_CHECK_OVERLAP","INCOMPLETE"))</f>
        <v/>
      </c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8" t="str">
        <f aca="false">IF(N79="INPUTS_PRESENT_CHECK_OVERLAP",ROUND(F79+H79+I79+J79,2),"")</f>
        <v/>
      </c>
      <c r="L79" s="8" t="str">
        <f aca="false">IF(ISNUMBER(K79),ROUND(K79-D79,2),"")</f>
        <v/>
      </c>
      <c r="M79" s="4"/>
      <c r="N79" s="5" t="str">
        <f aca="false">IF(A79="","",IF(AND(C79&lt;&gt;"",M79&lt;&gt;"",COUNT(D79:J79)=7,01_Основания!$B$16&lt;&gt;"",01_Основания!$B$8&lt;&gt;""),"INPUTS_PRESENT_CHECK_OVERLAP","INCOMPLETE"))</f>
        <v/>
      </c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8" t="str">
        <f aca="false">IF(N80="INPUTS_PRESENT_CHECK_OVERLAP",ROUND(F80+H80+I80+J80,2),"")</f>
        <v/>
      </c>
      <c r="L80" s="8" t="str">
        <f aca="false">IF(ISNUMBER(K80),ROUND(K80-D80,2),"")</f>
        <v/>
      </c>
      <c r="M80" s="4"/>
      <c r="N80" s="5" t="str">
        <f aca="false">IF(A80="","",IF(AND(C80&lt;&gt;"",M80&lt;&gt;"",COUNT(D80:J80)=7,01_Основания!$B$16&lt;&gt;"",01_Основания!$B$8&lt;&gt;""),"INPUTS_PRESENT_CHECK_OVERLAP","INCOMPLETE"))</f>
        <v/>
      </c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8" t="str">
        <f aca="false">IF(N81="INPUTS_PRESENT_CHECK_OVERLAP",ROUND(F81+H81+I81+J81,2),"")</f>
        <v/>
      </c>
      <c r="L81" s="8" t="str">
        <f aca="false">IF(ISNUMBER(K81),ROUND(K81-D81,2),"")</f>
        <v/>
      </c>
      <c r="M81" s="4"/>
      <c r="N81" s="5" t="str">
        <f aca="false">IF(A81="","",IF(AND(C81&lt;&gt;"",M81&lt;&gt;"",COUNT(D81:J81)=7,01_Основания!$B$16&lt;&gt;"",01_Основания!$B$8&lt;&gt;""),"INPUTS_PRESENT_CHECK_OVERLAP","INCOMPLETE"))</f>
        <v/>
      </c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8" t="str">
        <f aca="false">IF(N82="INPUTS_PRESENT_CHECK_OVERLAP",ROUND(F82+H82+I82+J82,2),"")</f>
        <v/>
      </c>
      <c r="L82" s="8" t="str">
        <f aca="false">IF(ISNUMBER(K82),ROUND(K82-D82,2),"")</f>
        <v/>
      </c>
      <c r="M82" s="4"/>
      <c r="N82" s="5" t="str">
        <f aca="false">IF(A82="","",IF(AND(C82&lt;&gt;"",M82&lt;&gt;"",COUNT(D82:J82)=7,01_Основания!$B$16&lt;&gt;"",01_Основания!$B$8&lt;&gt;""),"INPUTS_PRESENT_CHECK_OVERLAP","INCOMPLETE"))</f>
        <v/>
      </c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8" t="str">
        <f aca="false">IF(N83="INPUTS_PRESENT_CHECK_OVERLAP",ROUND(F83+H83+I83+J83,2),"")</f>
        <v/>
      </c>
      <c r="L83" s="8" t="str">
        <f aca="false">IF(ISNUMBER(K83),ROUND(K83-D83,2),"")</f>
        <v/>
      </c>
      <c r="M83" s="4"/>
      <c r="N83" s="5" t="str">
        <f aca="false">IF(A83="","",IF(AND(C83&lt;&gt;"",M83&lt;&gt;"",COUNT(D83:J83)=7,01_Основания!$B$16&lt;&gt;"",01_Основания!$B$8&lt;&gt;""),"INPUTS_PRESENT_CHECK_OVERLAP","INCOMPLETE"))</f>
        <v/>
      </c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8" t="str">
        <f aca="false">IF(N84="INPUTS_PRESENT_CHECK_OVERLAP",ROUND(F84+H84+I84+J84,2),"")</f>
        <v/>
      </c>
      <c r="L84" s="8" t="str">
        <f aca="false">IF(ISNUMBER(K84),ROUND(K84-D84,2),"")</f>
        <v/>
      </c>
      <c r="M84" s="4"/>
      <c r="N84" s="5" t="str">
        <f aca="false">IF(A84="","",IF(AND(C84&lt;&gt;"",M84&lt;&gt;"",COUNT(D84:J84)=7,01_Основания!$B$16&lt;&gt;"",01_Основания!$B$8&lt;&gt;""),"INPUTS_PRESENT_CHECK_OVERLAP","INCOMPLETE"))</f>
        <v/>
      </c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8" t="str">
        <f aca="false">IF(N85="INPUTS_PRESENT_CHECK_OVERLAP",ROUND(F85+H85+I85+J85,2),"")</f>
        <v/>
      </c>
      <c r="L85" s="8" t="str">
        <f aca="false">IF(ISNUMBER(K85),ROUND(K85-D85,2),"")</f>
        <v/>
      </c>
      <c r="M85" s="4"/>
      <c r="N85" s="5" t="str">
        <f aca="false">IF(A85="","",IF(AND(C85&lt;&gt;"",M85&lt;&gt;"",COUNT(D85:J85)=7,01_Основания!$B$16&lt;&gt;"",01_Основания!$B$8&lt;&gt;""),"INPUTS_PRESENT_CHECK_OVERLAP","INCOMPLETE"))</f>
        <v/>
      </c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8" t="str">
        <f aca="false">IF(N86="INPUTS_PRESENT_CHECK_OVERLAP",ROUND(F86+H86+I86+J86,2),"")</f>
        <v/>
      </c>
      <c r="L86" s="8" t="str">
        <f aca="false">IF(ISNUMBER(K86),ROUND(K86-D86,2),"")</f>
        <v/>
      </c>
      <c r="M86" s="4"/>
      <c r="N86" s="5" t="str">
        <f aca="false">IF(A86="","",IF(AND(C86&lt;&gt;"",M86&lt;&gt;"",COUNT(D86:J86)=7,01_Основания!$B$16&lt;&gt;"",01_Основания!$B$8&lt;&gt;""),"INPUTS_PRESENT_CHECK_OVERLAP","INCOMPLETE"))</f>
        <v/>
      </c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8" t="str">
        <f aca="false">IF(N87="INPUTS_PRESENT_CHECK_OVERLAP",ROUND(F87+H87+I87+J87,2),"")</f>
        <v/>
      </c>
      <c r="L87" s="8" t="str">
        <f aca="false">IF(ISNUMBER(K87),ROUND(K87-D87,2),"")</f>
        <v/>
      </c>
      <c r="M87" s="4"/>
      <c r="N87" s="5" t="str">
        <f aca="false">IF(A87="","",IF(AND(C87&lt;&gt;"",M87&lt;&gt;"",COUNT(D87:J87)=7,01_Основания!$B$16&lt;&gt;"",01_Основания!$B$8&lt;&gt;""),"INPUTS_PRESENT_CHECK_OVERLAP","INCOMPLETE"))</f>
        <v/>
      </c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8" t="str">
        <f aca="false">IF(N88="INPUTS_PRESENT_CHECK_OVERLAP",ROUND(F88+H88+I88+J88,2),"")</f>
        <v/>
      </c>
      <c r="L88" s="8" t="str">
        <f aca="false">IF(ISNUMBER(K88),ROUND(K88-D88,2),"")</f>
        <v/>
      </c>
      <c r="M88" s="4"/>
      <c r="N88" s="5" t="str">
        <f aca="false">IF(A88="","",IF(AND(C88&lt;&gt;"",M88&lt;&gt;"",COUNT(D88:J88)=7,01_Основания!$B$16&lt;&gt;"",01_Основания!$B$8&lt;&gt;""),"INPUTS_PRESENT_CHECK_OVERLAP","INCOMPLETE"))</f>
        <v/>
      </c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8" t="str">
        <f aca="false">IF(N89="INPUTS_PRESENT_CHECK_OVERLAP",ROUND(F89+H89+I89+J89,2),"")</f>
        <v/>
      </c>
      <c r="L89" s="8" t="str">
        <f aca="false">IF(ISNUMBER(K89),ROUND(K89-D89,2),"")</f>
        <v/>
      </c>
      <c r="M89" s="4"/>
      <c r="N89" s="5" t="str">
        <f aca="false">IF(A89="","",IF(AND(C89&lt;&gt;"",M89&lt;&gt;"",COUNT(D89:J89)=7,01_Основания!$B$16&lt;&gt;"",01_Основания!$B$8&lt;&gt;""),"INPUTS_PRESENT_CHECK_OVERLAP","INCOMPLETE"))</f>
        <v/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8" t="str">
        <f aca="false">IF(N90="INPUTS_PRESENT_CHECK_OVERLAP",ROUND(F90+H90+I90+J90,2),"")</f>
        <v/>
      </c>
      <c r="L90" s="8" t="str">
        <f aca="false">IF(ISNUMBER(K90),ROUND(K90-D90,2),"")</f>
        <v/>
      </c>
      <c r="M90" s="4"/>
      <c r="N90" s="5" t="str">
        <f aca="false">IF(A90="","",IF(AND(C90&lt;&gt;"",M90&lt;&gt;"",COUNT(D90:J90)=7,01_Основания!$B$16&lt;&gt;"",01_Основания!$B$8&lt;&gt;""),"INPUTS_PRESENT_CHECK_OVERLAP","INCOMPLETE"))</f>
        <v/>
      </c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8" t="str">
        <f aca="false">IF(N91="INPUTS_PRESENT_CHECK_OVERLAP",ROUND(F91+H91+I91+J91,2),"")</f>
        <v/>
      </c>
      <c r="L91" s="8" t="str">
        <f aca="false">IF(ISNUMBER(K91),ROUND(K91-D91,2),"")</f>
        <v/>
      </c>
      <c r="M91" s="4"/>
      <c r="N91" s="5" t="str">
        <f aca="false">IF(A91="","",IF(AND(C91&lt;&gt;"",M91&lt;&gt;"",COUNT(D91:J91)=7,01_Основания!$B$16&lt;&gt;"",01_Основания!$B$8&lt;&gt;""),"INPUTS_PRESENT_CHECK_OVERLAP","INCOMPLETE"))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8" t="str">
        <f aca="false">IF(N92="INPUTS_PRESENT_CHECK_OVERLAP",ROUND(F92+H92+I92+J92,2),"")</f>
        <v/>
      </c>
      <c r="L92" s="8" t="str">
        <f aca="false">IF(ISNUMBER(K92),ROUND(K92-D92,2),"")</f>
        <v/>
      </c>
      <c r="M92" s="4"/>
      <c r="N92" s="5" t="str">
        <f aca="false">IF(A92="","",IF(AND(C92&lt;&gt;"",M92&lt;&gt;"",COUNT(D92:J92)=7,01_Основания!$B$16&lt;&gt;"",01_Основания!$B$8&lt;&gt;""),"INPUTS_PRESENT_CHECK_OVERLAP","INCOMPLETE"))</f>
        <v/>
      </c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8" t="str">
        <f aca="false">IF(N93="INPUTS_PRESENT_CHECK_OVERLAP",ROUND(F93+H93+I93+J93,2),"")</f>
        <v/>
      </c>
      <c r="L93" s="8" t="str">
        <f aca="false">IF(ISNUMBER(K93),ROUND(K93-D93,2),"")</f>
        <v/>
      </c>
      <c r="M93" s="4"/>
      <c r="N93" s="5" t="str">
        <f aca="false">IF(A93="","",IF(AND(C93&lt;&gt;"",M93&lt;&gt;"",COUNT(D93:J93)=7,01_Основания!$B$16&lt;&gt;"",01_Основания!$B$8&lt;&gt;""),"INPUTS_PRESENT_CHECK_OVERLAP","INCOMPLETE"))</f>
        <v/>
      </c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8" t="str">
        <f aca="false">IF(N94="INPUTS_PRESENT_CHECK_OVERLAP",ROUND(F94+H94+I94+J94,2),"")</f>
        <v/>
      </c>
      <c r="L94" s="8" t="str">
        <f aca="false">IF(ISNUMBER(K94),ROUND(K94-D94,2),"")</f>
        <v/>
      </c>
      <c r="M94" s="4"/>
      <c r="N94" s="5" t="str">
        <f aca="false">IF(A94="","",IF(AND(C94&lt;&gt;"",M94&lt;&gt;"",COUNT(D94:J94)=7,01_Основания!$B$16&lt;&gt;"",01_Основания!$B$8&lt;&gt;""),"INPUTS_PRESENT_CHECK_OVERLAP","INCOMPLETE"))</f>
        <v/>
      </c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8" t="str">
        <f aca="false">IF(N95="INPUTS_PRESENT_CHECK_OVERLAP",ROUND(F95+H95+I95+J95,2),"")</f>
        <v/>
      </c>
      <c r="L95" s="8" t="str">
        <f aca="false">IF(ISNUMBER(K95),ROUND(K95-D95,2),"")</f>
        <v/>
      </c>
      <c r="M95" s="4"/>
      <c r="N95" s="5" t="str">
        <f aca="false">IF(A95="","",IF(AND(C95&lt;&gt;"",M95&lt;&gt;"",COUNT(D95:J95)=7,01_Основания!$B$16&lt;&gt;"",01_Основания!$B$8&lt;&gt;""),"INPUTS_PRESENT_CHECK_OVERLAP","INCOMPLETE"))</f>
        <v/>
      </c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8" t="str">
        <f aca="false">IF(N96="INPUTS_PRESENT_CHECK_OVERLAP",ROUND(F96+H96+I96+J96,2),"")</f>
        <v/>
      </c>
      <c r="L96" s="8" t="str">
        <f aca="false">IF(ISNUMBER(K96),ROUND(K96-D96,2),"")</f>
        <v/>
      </c>
      <c r="M96" s="4"/>
      <c r="N96" s="5" t="str">
        <f aca="false">IF(A96="","",IF(AND(C96&lt;&gt;"",M96&lt;&gt;"",COUNT(D96:J96)=7,01_Основания!$B$16&lt;&gt;"",01_Основания!$B$8&lt;&gt;""),"INPUTS_PRESENT_CHECK_OVERLAP","INCOMPLETE"))</f>
        <v/>
      </c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8" t="str">
        <f aca="false">IF(N97="INPUTS_PRESENT_CHECK_OVERLAP",ROUND(F97+H97+I97+J97,2),"")</f>
        <v/>
      </c>
      <c r="L97" s="8" t="str">
        <f aca="false">IF(ISNUMBER(K97),ROUND(K97-D97,2),"")</f>
        <v/>
      </c>
      <c r="M97" s="4"/>
      <c r="N97" s="5" t="str">
        <f aca="false">IF(A97="","",IF(AND(C97&lt;&gt;"",M97&lt;&gt;"",COUNT(D97:J97)=7,01_Основания!$B$16&lt;&gt;"",01_Основания!$B$8&lt;&gt;""),"INPUTS_PRESENT_CHECK_OVERLAP","INCOMPLETE"))</f>
        <v/>
      </c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8" t="str">
        <f aca="false">IF(N98="INPUTS_PRESENT_CHECK_OVERLAP",ROUND(F98+H98+I98+J98,2),"")</f>
        <v/>
      </c>
      <c r="L98" s="8" t="str">
        <f aca="false">IF(ISNUMBER(K98),ROUND(K98-D98,2),"")</f>
        <v/>
      </c>
      <c r="M98" s="4"/>
      <c r="N98" s="5" t="str">
        <f aca="false">IF(A98="","",IF(AND(C98&lt;&gt;"",M98&lt;&gt;"",COUNT(D98:J98)=7,01_Основания!$B$16&lt;&gt;"",01_Основания!$B$8&lt;&gt;""),"INPUTS_PRESENT_CHECK_OVERLAP","INCOMPLETE"))</f>
        <v/>
      </c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8" t="str">
        <f aca="false">IF(N99="INPUTS_PRESENT_CHECK_OVERLAP",ROUND(F99+H99+I99+J99,2),"")</f>
        <v/>
      </c>
      <c r="L99" s="8" t="str">
        <f aca="false">IF(ISNUMBER(K99),ROUND(K99-D99,2),"")</f>
        <v/>
      </c>
      <c r="M99" s="4"/>
      <c r="N99" s="5" t="str">
        <f aca="false">IF(A99="","",IF(AND(C99&lt;&gt;"",M99&lt;&gt;"",COUNT(D99:J99)=7,01_Основания!$B$16&lt;&gt;"",01_Основания!$B$8&lt;&gt;""),"INPUTS_PRESENT_CHECK_OVERLAP","INCOMPLETE"))</f>
        <v/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8" t="str">
        <f aca="false">IF(N100="INPUTS_PRESENT_CHECK_OVERLAP",ROUND(F100+H100+I100+J100,2),"")</f>
        <v/>
      </c>
      <c r="L100" s="8" t="str">
        <f aca="false">IF(ISNUMBER(K100),ROUND(K100-D100,2),"")</f>
        <v/>
      </c>
      <c r="M100" s="4"/>
      <c r="N100" s="5" t="str">
        <f aca="false">IF(A100="","",IF(AND(C100&lt;&gt;"",M100&lt;&gt;"",COUNT(D100:J100)=7,01_Основания!$B$16&lt;&gt;"",01_Основания!$B$8&lt;&gt;""),"INPUTS_PRESENT_CHECK_OVERLAP","INCOMPLETE"))</f>
        <v/>
      </c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8" t="str">
        <f aca="false">IF(N101="INPUTS_PRESENT_CHECK_OVERLAP",ROUND(F101+H101+I101+J101,2),"")</f>
        <v/>
      </c>
      <c r="L101" s="8" t="str">
        <f aca="false">IF(ISNUMBER(K101),ROUND(K101-D101,2),"")</f>
        <v/>
      </c>
      <c r="M101" s="4"/>
      <c r="N101" s="5" t="str">
        <f aca="false">IF(A101="","",IF(AND(C101&lt;&gt;"",M101&lt;&gt;"",COUNT(D101:J101)=7,01_Основания!$B$16&lt;&gt;"",01_Основания!$B$8&lt;&gt;""),"INPUTS_PRESENT_CHECK_OVERLAP","INCOMPLETE"))</f>
        <v/>
      </c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8" t="str">
        <f aca="false">IF(N102="INPUTS_PRESENT_CHECK_OVERLAP",ROUND(F102+H102+I102+J102,2),"")</f>
        <v/>
      </c>
      <c r="L102" s="8" t="str">
        <f aca="false">IF(ISNUMBER(K102),ROUND(K102-D102,2),"")</f>
        <v/>
      </c>
      <c r="M102" s="4"/>
      <c r="N102" s="5" t="str">
        <f aca="false">IF(A102="","",IF(AND(C102&lt;&gt;"",M102&lt;&gt;"",COUNT(D102:J102)=7,01_Основания!$B$16&lt;&gt;"",01_Основания!$B$8&lt;&gt;""),"INPUTS_PRESENT_CHECK_OVERLAP","INCOMPLETE"))</f>
        <v/>
      </c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8" t="str">
        <f aca="false">IF(N103="INPUTS_PRESENT_CHECK_OVERLAP",ROUND(F103+H103+I103+J103,2),"")</f>
        <v/>
      </c>
      <c r="L103" s="8" t="str">
        <f aca="false">IF(ISNUMBER(K103),ROUND(K103-D103,2),"")</f>
        <v/>
      </c>
      <c r="M103" s="4"/>
      <c r="N103" s="5" t="str">
        <f aca="false">IF(A103="","",IF(AND(C103&lt;&gt;"",M103&lt;&gt;"",COUNT(D103:J103)=7,01_Основания!$B$16&lt;&gt;"",01_Основания!$B$8&lt;&gt;""),"INPUTS_PRESENT_CHECK_OVERLAP","INCOMPLETE"))</f>
        <v/>
      </c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8" t="str">
        <f aca="false">IF(N104="INPUTS_PRESENT_CHECK_OVERLAP",ROUND(F104+H104+I104+J104,2),"")</f>
        <v/>
      </c>
      <c r="L104" s="8" t="str">
        <f aca="false">IF(ISNUMBER(K104),ROUND(K104-D104,2),"")</f>
        <v/>
      </c>
      <c r="M104" s="4"/>
      <c r="N104" s="5" t="str">
        <f aca="false">IF(A104="","",IF(AND(C104&lt;&gt;"",M104&lt;&gt;"",COUNT(D104:J104)=7,01_Основания!$B$16&lt;&gt;"",01_Основания!$B$8&lt;&gt;""),"INPUTS_PRESENT_CHECK_OVERLAP","INCOMPLETE"))</f>
        <v/>
      </c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8" t="str">
        <f aca="false">IF(N105="INPUTS_PRESENT_CHECK_OVERLAP",ROUND(F105+H105+I105+J105,2),"")</f>
        <v/>
      </c>
      <c r="L105" s="8" t="str">
        <f aca="false">IF(ISNUMBER(K105),ROUND(K105-D105,2),"")</f>
        <v/>
      </c>
      <c r="M105" s="4"/>
      <c r="N105" s="5" t="str">
        <f aca="false">IF(A105="","",IF(AND(C105&lt;&gt;"",M105&lt;&gt;"",COUNT(D105:J105)=7,01_Основания!$B$16&lt;&gt;"",01_Основания!$B$8&lt;&gt;""),"INPUTS_PRESENT_CHECK_OVERLAP","INCOMPLETE"))</f>
        <v/>
      </c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8" t="str">
        <f aca="false">IF(N106="INPUTS_PRESENT_CHECK_OVERLAP",ROUND(F106+H106+I106+J106,2),"")</f>
        <v/>
      </c>
      <c r="L106" s="8" t="str">
        <f aca="false">IF(ISNUMBER(K106),ROUND(K106-D106,2),"")</f>
        <v/>
      </c>
      <c r="M106" s="4"/>
      <c r="N106" s="5" t="str">
        <f aca="false">IF(A106="","",IF(AND(C106&lt;&gt;"",M106&lt;&gt;"",COUNT(D106:J106)=7,01_Основания!$B$16&lt;&gt;"",01_Основания!$B$8&lt;&gt;""),"INPUTS_PRESENT_CHECK_OVERLAP","INCOMPLETE"))</f>
        <v/>
      </c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8" t="str">
        <f aca="false">IF(N107="INPUTS_PRESENT_CHECK_OVERLAP",ROUND(F107+H107+I107+J107,2),"")</f>
        <v/>
      </c>
      <c r="L107" s="8" t="str">
        <f aca="false">IF(ISNUMBER(K107),ROUND(K107-D107,2),"")</f>
        <v/>
      </c>
      <c r="M107" s="4"/>
      <c r="N107" s="5" t="str">
        <f aca="false">IF(A107="","",IF(AND(C107&lt;&gt;"",M107&lt;&gt;"",COUNT(D107:J107)=7,01_Основания!$B$16&lt;&gt;"",01_Основания!$B$8&lt;&gt;""),"INPUTS_PRESENT_CHECK_OVERLAP","INCOMPLETE"))</f>
        <v/>
      </c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8" t="str">
        <f aca="false">IF(N108="INPUTS_PRESENT_CHECK_OVERLAP",ROUND(F108+H108+I108+J108,2),"")</f>
        <v/>
      </c>
      <c r="L108" s="8" t="str">
        <f aca="false">IF(ISNUMBER(K108),ROUND(K108-D108,2),"")</f>
        <v/>
      </c>
      <c r="M108" s="4"/>
      <c r="N108" s="5" t="str">
        <f aca="false">IF(A108="","",IF(AND(C108&lt;&gt;"",M108&lt;&gt;"",COUNT(D108:J108)=7,01_Основания!$B$16&lt;&gt;"",01_Основания!$B$8&lt;&gt;""),"INPUTS_PRESENT_CHECK_OVERLAP","INCOMPLETE"))</f>
        <v/>
      </c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8" t="str">
        <f aca="false">IF(N109="INPUTS_PRESENT_CHECK_OVERLAP",ROUND(F109+H109+I109+J109,2),"")</f>
        <v/>
      </c>
      <c r="L109" s="8" t="str">
        <f aca="false">IF(ISNUMBER(K109),ROUND(K109-D109,2),"")</f>
        <v/>
      </c>
      <c r="M109" s="4"/>
      <c r="N109" s="5" t="str">
        <f aca="false">IF(A109="","",IF(AND(C109&lt;&gt;"",M109&lt;&gt;"",COUNT(D109:J109)=7,01_Основания!$B$16&lt;&gt;"",01_Основания!$B$8&lt;&gt;""),"INPUTS_PRESENT_CHECK_OVERLAP","INCOMPLETE"))</f>
        <v/>
      </c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8" t="str">
        <f aca="false">IF(N110="INPUTS_PRESENT_CHECK_OVERLAP",ROUND(F110+H110+I110+J110,2),"")</f>
        <v/>
      </c>
      <c r="L110" s="8" t="str">
        <f aca="false">IF(ISNUMBER(K110),ROUND(K110-D110,2),"")</f>
        <v/>
      </c>
      <c r="M110" s="4"/>
      <c r="N110" s="5" t="str">
        <f aca="false">IF(A110="","",IF(AND(C110&lt;&gt;"",M110&lt;&gt;"",COUNT(D110:J110)=7,01_Основания!$B$16&lt;&gt;"",01_Основания!$B$8&lt;&gt;""),"INPUTS_PRESENT_CHECK_OVERLAP","INCOMPLETE"))</f>
        <v/>
      </c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8" t="str">
        <f aca="false">IF(N111="INPUTS_PRESENT_CHECK_OVERLAP",ROUND(F111+H111+I111+J111,2),"")</f>
        <v/>
      </c>
      <c r="L111" s="8" t="str">
        <f aca="false">IF(ISNUMBER(K111),ROUND(K111-D111,2),"")</f>
        <v/>
      </c>
      <c r="M111" s="4"/>
      <c r="N111" s="5" t="str">
        <f aca="false">IF(A111="","",IF(AND(C111&lt;&gt;"",M111&lt;&gt;"",COUNT(D111:J111)=7,01_Основания!$B$16&lt;&gt;"",01_Основания!$B$8&lt;&gt;""),"INPUTS_PRESENT_CHECK_OVERLAP","INCOMPLETE"))</f>
        <v/>
      </c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8" t="str">
        <f aca="false">IF(N112="INPUTS_PRESENT_CHECK_OVERLAP",ROUND(F112+H112+I112+J112,2),"")</f>
        <v/>
      </c>
      <c r="L112" s="8" t="str">
        <f aca="false">IF(ISNUMBER(K112),ROUND(K112-D112,2),"")</f>
        <v/>
      </c>
      <c r="M112" s="4"/>
      <c r="N112" s="5" t="str">
        <f aca="false">IF(A112="","",IF(AND(C112&lt;&gt;"",M112&lt;&gt;"",COUNT(D112:J112)=7,01_Основания!$B$16&lt;&gt;"",01_Основания!$B$8&lt;&gt;""),"INPUTS_PRESENT_CHECK_OVERLAP","INCOMPLETE"))</f>
        <v/>
      </c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8" t="str">
        <f aca="false">IF(N113="INPUTS_PRESENT_CHECK_OVERLAP",ROUND(F113+H113+I113+J113,2),"")</f>
        <v/>
      </c>
      <c r="L113" s="8" t="str">
        <f aca="false">IF(ISNUMBER(K113),ROUND(K113-D113,2),"")</f>
        <v/>
      </c>
      <c r="M113" s="4"/>
      <c r="N113" s="5" t="str">
        <f aca="false">IF(A113="","",IF(AND(C113&lt;&gt;"",M113&lt;&gt;"",COUNT(D113:J113)=7,01_Основания!$B$16&lt;&gt;"",01_Основания!$B$8&lt;&gt;""),"INPUTS_PRESENT_CHECK_OVERLAP","INCOMPLETE"))</f>
        <v/>
      </c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8" t="str">
        <f aca="false">IF(N114="INPUTS_PRESENT_CHECK_OVERLAP",ROUND(F114+H114+I114+J114,2),"")</f>
        <v/>
      </c>
      <c r="L114" s="8" t="str">
        <f aca="false">IF(ISNUMBER(K114),ROUND(K114-D114,2),"")</f>
        <v/>
      </c>
      <c r="M114" s="4"/>
      <c r="N114" s="5" t="str">
        <f aca="false">IF(A114="","",IF(AND(C114&lt;&gt;"",M114&lt;&gt;"",COUNT(D114:J114)=7,01_Основания!$B$16&lt;&gt;"",01_Основания!$B$8&lt;&gt;""),"INPUTS_PRESENT_CHECK_OVERLAP","INCOMPLETE"))</f>
        <v/>
      </c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8" t="str">
        <f aca="false">IF(N115="INPUTS_PRESENT_CHECK_OVERLAP",ROUND(F115+H115+I115+J115,2),"")</f>
        <v/>
      </c>
      <c r="L115" s="8" t="str">
        <f aca="false">IF(ISNUMBER(K115),ROUND(K115-D115,2),"")</f>
        <v/>
      </c>
      <c r="M115" s="4"/>
      <c r="N115" s="5" t="str">
        <f aca="false">IF(A115="","",IF(AND(C115&lt;&gt;"",M115&lt;&gt;"",COUNT(D115:J115)=7,01_Основания!$B$16&lt;&gt;"",01_Основания!$B$8&lt;&gt;""),"INPUTS_PRESENT_CHECK_OVERLAP","INCOMPLETE"))</f>
        <v/>
      </c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8" t="str">
        <f aca="false">IF(N116="INPUTS_PRESENT_CHECK_OVERLAP",ROUND(F116+H116+I116+J116,2),"")</f>
        <v/>
      </c>
      <c r="L116" s="8" t="str">
        <f aca="false">IF(ISNUMBER(K116),ROUND(K116-D116,2),"")</f>
        <v/>
      </c>
      <c r="M116" s="4"/>
      <c r="N116" s="5" t="str">
        <f aca="false">IF(A116="","",IF(AND(C116&lt;&gt;"",M116&lt;&gt;"",COUNT(D116:J116)=7,01_Основания!$B$16&lt;&gt;"",01_Основания!$B$8&lt;&gt;""),"INPUTS_PRESENT_CHECK_OVERLAP","INCOMPLETE"))</f>
        <v/>
      </c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8" t="str">
        <f aca="false">IF(N117="INPUTS_PRESENT_CHECK_OVERLAP",ROUND(F117+H117+I117+J117,2),"")</f>
        <v/>
      </c>
      <c r="L117" s="8" t="str">
        <f aca="false">IF(ISNUMBER(K117),ROUND(K117-D117,2),"")</f>
        <v/>
      </c>
      <c r="M117" s="4"/>
      <c r="N117" s="5" t="str">
        <f aca="false">IF(A117="","",IF(AND(C117&lt;&gt;"",M117&lt;&gt;"",COUNT(D117:J117)=7,01_Основания!$B$16&lt;&gt;"",01_Основания!$B$8&lt;&gt;""),"INPUTS_PRESENT_CHECK_OVERLAP","INCOMPLETE"))</f>
        <v/>
      </c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8" t="str">
        <f aca="false">IF(N118="INPUTS_PRESENT_CHECK_OVERLAP",ROUND(F118+H118+I118+J118,2),"")</f>
        <v/>
      </c>
      <c r="L118" s="8" t="str">
        <f aca="false">IF(ISNUMBER(K118),ROUND(K118-D118,2),"")</f>
        <v/>
      </c>
      <c r="M118" s="4"/>
      <c r="N118" s="5" t="str">
        <f aca="false">IF(A118="","",IF(AND(C118&lt;&gt;"",M118&lt;&gt;"",COUNT(D118:J118)=7,01_Основания!$B$16&lt;&gt;"",01_Основания!$B$8&lt;&gt;""),"INPUTS_PRESENT_CHECK_OVERLAP","INCOMPLETE"))</f>
        <v/>
      </c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8" t="str">
        <f aca="false">IF(N119="INPUTS_PRESENT_CHECK_OVERLAP",ROUND(F119+H119+I119+J119,2),"")</f>
        <v/>
      </c>
      <c r="L119" s="8" t="str">
        <f aca="false">IF(ISNUMBER(K119),ROUND(K119-D119,2),"")</f>
        <v/>
      </c>
      <c r="M119" s="4"/>
      <c r="N119" s="5" t="str">
        <f aca="false">IF(A119="","",IF(AND(C119&lt;&gt;"",M119&lt;&gt;"",COUNT(D119:J119)=7,01_Основания!$B$16&lt;&gt;"",01_Основания!$B$8&lt;&gt;""),"INPUTS_PRESENT_CHECK_OVERLAP","INCOMPLETE"))</f>
        <v/>
      </c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8" t="str">
        <f aca="false">IF(N120="INPUTS_PRESENT_CHECK_OVERLAP",ROUND(F120+H120+I120+J120,2),"")</f>
        <v/>
      </c>
      <c r="L120" s="8" t="str">
        <f aca="false">IF(ISNUMBER(K120),ROUND(K120-D120,2),"")</f>
        <v/>
      </c>
      <c r="M120" s="4"/>
      <c r="N120" s="5" t="str">
        <f aca="false">IF(A120="","",IF(AND(C120&lt;&gt;"",M120&lt;&gt;"",COUNT(D120:J120)=7,01_Основания!$B$16&lt;&gt;"",01_Основания!$B$8&lt;&gt;""),"INPUTS_PRESENT_CHECK_OVERLAP","INCOMPLETE"))</f>
        <v/>
      </c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8" t="str">
        <f aca="false">IF(N121="INPUTS_PRESENT_CHECK_OVERLAP",ROUND(F121+H121+I121+J121,2),"")</f>
        <v/>
      </c>
      <c r="L121" s="8" t="str">
        <f aca="false">IF(ISNUMBER(K121),ROUND(K121-D121,2),"")</f>
        <v/>
      </c>
      <c r="M121" s="4"/>
      <c r="N121" s="5" t="str">
        <f aca="false">IF(A121="","",IF(AND(C121&lt;&gt;"",M121&lt;&gt;"",COUNT(D121:J121)=7,01_Основания!$B$16&lt;&gt;"",01_Основания!$B$8&lt;&gt;""),"INPUTS_PRESENT_CHECK_OVERLAP","INCOMPLETE"))</f>
        <v/>
      </c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8" t="str">
        <f aca="false">IF(N122="INPUTS_PRESENT_CHECK_OVERLAP",ROUND(F122+H122+I122+J122,2),"")</f>
        <v/>
      </c>
      <c r="L122" s="8" t="str">
        <f aca="false">IF(ISNUMBER(K122),ROUND(K122-D122,2),"")</f>
        <v/>
      </c>
      <c r="M122" s="4"/>
      <c r="N122" s="5" t="str">
        <f aca="false">IF(A122="","",IF(AND(C122&lt;&gt;"",M122&lt;&gt;"",COUNT(D122:J122)=7,01_Основания!$B$16&lt;&gt;"",01_Основания!$B$8&lt;&gt;""),"INPUTS_PRESENT_CHECK_OVERLAP","INCOMPLETE"))</f>
        <v/>
      </c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8" t="str">
        <f aca="false">IF(N123="INPUTS_PRESENT_CHECK_OVERLAP",ROUND(F123+H123+I123+J123,2),"")</f>
        <v/>
      </c>
      <c r="L123" s="8" t="str">
        <f aca="false">IF(ISNUMBER(K123),ROUND(K123-D123,2),"")</f>
        <v/>
      </c>
      <c r="M123" s="4"/>
      <c r="N123" s="5" t="str">
        <f aca="false">IF(A123="","",IF(AND(C123&lt;&gt;"",M123&lt;&gt;"",COUNT(D123:J123)=7,01_Основания!$B$16&lt;&gt;"",01_Основания!$B$8&lt;&gt;""),"INPUTS_PRESENT_CHECK_OVERLAP","INCOMPLETE"))</f>
        <v/>
      </c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8" t="str">
        <f aca="false">IF(N124="INPUTS_PRESENT_CHECK_OVERLAP",ROUND(F124+H124+I124+J124,2),"")</f>
        <v/>
      </c>
      <c r="L124" s="8" t="str">
        <f aca="false">IF(ISNUMBER(K124),ROUND(K124-D124,2),"")</f>
        <v/>
      </c>
      <c r="M124" s="4"/>
      <c r="N124" s="5" t="str">
        <f aca="false">IF(A124="","",IF(AND(C124&lt;&gt;"",M124&lt;&gt;"",COUNT(D124:J124)=7,01_Основания!$B$16&lt;&gt;"",01_Основания!$B$8&lt;&gt;""),"INPUTS_PRESENT_CHECK_OVERLAP","INCOMPLETE"))</f>
        <v/>
      </c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8" t="str">
        <f aca="false">IF(N125="INPUTS_PRESENT_CHECK_OVERLAP",ROUND(F125+H125+I125+J125,2),"")</f>
        <v/>
      </c>
      <c r="L125" s="8" t="str">
        <f aca="false">IF(ISNUMBER(K125),ROUND(K125-D125,2),"")</f>
        <v/>
      </c>
      <c r="M125" s="4"/>
      <c r="N125" s="5" t="str">
        <f aca="false">IF(A125="","",IF(AND(C125&lt;&gt;"",M125&lt;&gt;"",COUNT(D125:J125)=7,01_Основания!$B$16&lt;&gt;"",01_Основания!$B$8&lt;&gt;""),"INPUTS_PRESENT_CHECK_OVERLAP","INCOMPLETE"))</f>
        <v/>
      </c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8" t="str">
        <f aca="false">IF(N126="INPUTS_PRESENT_CHECK_OVERLAP",ROUND(F126+H126+I126+J126,2),"")</f>
        <v/>
      </c>
      <c r="L126" s="8" t="str">
        <f aca="false">IF(ISNUMBER(K126),ROUND(K126-D126,2),"")</f>
        <v/>
      </c>
      <c r="M126" s="4"/>
      <c r="N126" s="5" t="str">
        <f aca="false">IF(A126="","",IF(AND(C126&lt;&gt;"",M126&lt;&gt;"",COUNT(D126:J126)=7,01_Основания!$B$16&lt;&gt;"",01_Основания!$B$8&lt;&gt;""),"INPUTS_PRESENT_CHECK_OVERLAP","INCOMPLETE"))</f>
        <v/>
      </c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8" t="str">
        <f aca="false">IF(N127="INPUTS_PRESENT_CHECK_OVERLAP",ROUND(F127+H127+I127+J127,2),"")</f>
        <v/>
      </c>
      <c r="L127" s="8" t="str">
        <f aca="false">IF(ISNUMBER(K127),ROUND(K127-D127,2),"")</f>
        <v/>
      </c>
      <c r="M127" s="4"/>
      <c r="N127" s="5" t="str">
        <f aca="false">IF(A127="","",IF(AND(C127&lt;&gt;"",M127&lt;&gt;"",COUNT(D127:J127)=7,01_Основания!$B$16&lt;&gt;"",01_Основания!$B$8&lt;&gt;""),"INPUTS_PRESENT_CHECK_OVERLAP","INCOMPLETE"))</f>
        <v/>
      </c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8" t="str">
        <f aca="false">IF(N128="INPUTS_PRESENT_CHECK_OVERLAP",ROUND(F128+H128+I128+J128,2),"")</f>
        <v/>
      </c>
      <c r="L128" s="8" t="str">
        <f aca="false">IF(ISNUMBER(K128),ROUND(K128-D128,2),"")</f>
        <v/>
      </c>
      <c r="M128" s="4"/>
      <c r="N128" s="5" t="str">
        <f aca="false">IF(A128="","",IF(AND(C128&lt;&gt;"",M128&lt;&gt;"",COUNT(D128:J128)=7,01_Основания!$B$16&lt;&gt;"",01_Основания!$B$8&lt;&gt;""),"INPUTS_PRESENT_CHECK_OVERLAP","INCOMPLETE"))</f>
        <v/>
      </c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8" t="str">
        <f aca="false">IF(N129="INPUTS_PRESENT_CHECK_OVERLAP",ROUND(F129+H129+I129+J129,2),"")</f>
        <v/>
      </c>
      <c r="L129" s="8" t="str">
        <f aca="false">IF(ISNUMBER(K129),ROUND(K129-D129,2),"")</f>
        <v/>
      </c>
      <c r="M129" s="4"/>
      <c r="N129" s="5" t="str">
        <f aca="false">IF(A129="","",IF(AND(C129&lt;&gt;"",M129&lt;&gt;"",COUNT(D129:J129)=7,01_Основания!$B$16&lt;&gt;"",01_Основания!$B$8&lt;&gt;""),"INPUTS_PRESENT_CHECK_OVERLAP","INCOMPLETE"))</f>
        <v/>
      </c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8" t="str">
        <f aca="false">IF(N130="INPUTS_PRESENT_CHECK_OVERLAP",ROUND(F130+H130+I130+J130,2),"")</f>
        <v/>
      </c>
      <c r="L130" s="8" t="str">
        <f aca="false">IF(ISNUMBER(K130),ROUND(K130-D130,2),"")</f>
        <v/>
      </c>
      <c r="M130" s="4"/>
      <c r="N130" s="5" t="str">
        <f aca="false">IF(A130="","",IF(AND(C130&lt;&gt;"",M130&lt;&gt;"",COUNT(D130:J130)=7,01_Основания!$B$16&lt;&gt;"",01_Основания!$B$8&lt;&gt;""),"INPUTS_PRESENT_CHECK_OVERLAP","INCOMPLETE"))</f>
        <v/>
      </c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8" t="str">
        <f aca="false">IF(N131="INPUTS_PRESENT_CHECK_OVERLAP",ROUND(F131+H131+I131+J131,2),"")</f>
        <v/>
      </c>
      <c r="L131" s="8" t="str">
        <f aca="false">IF(ISNUMBER(K131),ROUND(K131-D131,2),"")</f>
        <v/>
      </c>
      <c r="M131" s="4"/>
      <c r="N131" s="5" t="str">
        <f aca="false">IF(A131="","",IF(AND(C131&lt;&gt;"",M131&lt;&gt;"",COUNT(D131:J131)=7,01_Основания!$B$16&lt;&gt;"",01_Основания!$B$8&lt;&gt;""),"INPUTS_PRESENT_CHECK_OVERLAP","INCOMPLETE"))</f>
        <v/>
      </c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8" t="str">
        <f aca="false">IF(N132="INPUTS_PRESENT_CHECK_OVERLAP",ROUND(F132+H132+I132+J132,2),"")</f>
        <v/>
      </c>
      <c r="L132" s="8" t="str">
        <f aca="false">IF(ISNUMBER(K132),ROUND(K132-D132,2),"")</f>
        <v/>
      </c>
      <c r="M132" s="4"/>
      <c r="N132" s="5" t="str">
        <f aca="false">IF(A132="","",IF(AND(C132&lt;&gt;"",M132&lt;&gt;"",COUNT(D132:J132)=7,01_Основания!$B$16&lt;&gt;"",01_Основания!$B$8&lt;&gt;""),"INPUTS_PRESENT_CHECK_OVERLAP","INCOMPLETE"))</f>
        <v/>
      </c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8" t="str">
        <f aca="false">IF(N133="INPUTS_PRESENT_CHECK_OVERLAP",ROUND(F133+H133+I133+J133,2),"")</f>
        <v/>
      </c>
      <c r="L133" s="8" t="str">
        <f aca="false">IF(ISNUMBER(K133),ROUND(K133-D133,2),"")</f>
        <v/>
      </c>
      <c r="M133" s="4"/>
      <c r="N133" s="5" t="str">
        <f aca="false">IF(A133="","",IF(AND(C133&lt;&gt;"",M133&lt;&gt;"",COUNT(D133:J133)=7,01_Основания!$B$16&lt;&gt;"",01_Основания!$B$8&lt;&gt;""),"INPUTS_PRESENT_CHECK_OVERLAP","INCOMPLETE"))</f>
        <v/>
      </c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8" t="str">
        <f aca="false">IF(N134="INPUTS_PRESENT_CHECK_OVERLAP",ROUND(F134+H134+I134+J134,2),"")</f>
        <v/>
      </c>
      <c r="L134" s="8" t="str">
        <f aca="false">IF(ISNUMBER(K134),ROUND(K134-D134,2),"")</f>
        <v/>
      </c>
      <c r="M134" s="4"/>
      <c r="N134" s="5" t="str">
        <f aca="false">IF(A134="","",IF(AND(C134&lt;&gt;"",M134&lt;&gt;"",COUNT(D134:J134)=7,01_Основания!$B$16&lt;&gt;"",01_Основания!$B$8&lt;&gt;""),"INPUTS_PRESENT_CHECK_OVERLAP","INCOMPLETE"))</f>
        <v/>
      </c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8" t="str">
        <f aca="false">IF(N135="INPUTS_PRESENT_CHECK_OVERLAP",ROUND(F135+H135+I135+J135,2),"")</f>
        <v/>
      </c>
      <c r="L135" s="8" t="str">
        <f aca="false">IF(ISNUMBER(K135),ROUND(K135-D135,2),"")</f>
        <v/>
      </c>
      <c r="M135" s="4"/>
      <c r="N135" s="5" t="str">
        <f aca="false">IF(A135="","",IF(AND(C135&lt;&gt;"",M135&lt;&gt;"",COUNT(D135:J135)=7,01_Основания!$B$16&lt;&gt;"",01_Основания!$B$8&lt;&gt;""),"INPUTS_PRESENT_CHECK_OVERLAP","INCOMPLETE"))</f>
        <v/>
      </c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8" t="str">
        <f aca="false">IF(N136="INPUTS_PRESENT_CHECK_OVERLAP",ROUND(F136+H136+I136+J136,2),"")</f>
        <v/>
      </c>
      <c r="L136" s="8" t="str">
        <f aca="false">IF(ISNUMBER(K136),ROUND(K136-D136,2),"")</f>
        <v/>
      </c>
      <c r="M136" s="4"/>
      <c r="N136" s="5" t="str">
        <f aca="false">IF(A136="","",IF(AND(C136&lt;&gt;"",M136&lt;&gt;"",COUNT(D136:J136)=7,01_Основания!$B$16&lt;&gt;"",01_Основания!$B$8&lt;&gt;""),"INPUTS_PRESENT_CHECK_OVERLAP","INCOMPLETE"))</f>
        <v/>
      </c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8" t="str">
        <f aca="false">IF(N137="INPUTS_PRESENT_CHECK_OVERLAP",ROUND(F137+H137+I137+J137,2),"")</f>
        <v/>
      </c>
      <c r="L137" s="8" t="str">
        <f aca="false">IF(ISNUMBER(K137),ROUND(K137-D137,2),"")</f>
        <v/>
      </c>
      <c r="M137" s="4"/>
      <c r="N137" s="5" t="str">
        <f aca="false">IF(A137="","",IF(AND(C137&lt;&gt;"",M137&lt;&gt;"",COUNT(D137:J137)=7,01_Основания!$B$16&lt;&gt;"",01_Основания!$B$8&lt;&gt;""),"INPUTS_PRESENT_CHECK_OVERLAP","INCOMPLETE"))</f>
        <v/>
      </c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8" t="str">
        <f aca="false">IF(N138="INPUTS_PRESENT_CHECK_OVERLAP",ROUND(F138+H138+I138+J138,2),"")</f>
        <v/>
      </c>
      <c r="L138" s="8" t="str">
        <f aca="false">IF(ISNUMBER(K138),ROUND(K138-D138,2),"")</f>
        <v/>
      </c>
      <c r="M138" s="4"/>
      <c r="N138" s="5" t="str">
        <f aca="false">IF(A138="","",IF(AND(C138&lt;&gt;"",M138&lt;&gt;"",COUNT(D138:J138)=7,01_Основания!$B$16&lt;&gt;"",01_Основания!$B$8&lt;&gt;""),"INPUTS_PRESENT_CHECK_OVERLAP","INCOMPLETE"))</f>
        <v/>
      </c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8" t="str">
        <f aca="false">IF(N139="INPUTS_PRESENT_CHECK_OVERLAP",ROUND(F139+H139+I139+J139,2),"")</f>
        <v/>
      </c>
      <c r="L139" s="8" t="str">
        <f aca="false">IF(ISNUMBER(K139),ROUND(K139-D139,2),"")</f>
        <v/>
      </c>
      <c r="M139" s="4"/>
      <c r="N139" s="5" t="str">
        <f aca="false">IF(A139="","",IF(AND(C139&lt;&gt;"",M139&lt;&gt;"",COUNT(D139:J139)=7,01_Основания!$B$16&lt;&gt;"",01_Основания!$B$8&lt;&gt;""),"INPUTS_PRESENT_CHECK_OVERLAP","INCOMPLETE"))</f>
        <v/>
      </c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8" t="str">
        <f aca="false">IF(N140="INPUTS_PRESENT_CHECK_OVERLAP",ROUND(F140+H140+I140+J140,2),"")</f>
        <v/>
      </c>
      <c r="L140" s="8" t="str">
        <f aca="false">IF(ISNUMBER(K140),ROUND(K140-D140,2),"")</f>
        <v/>
      </c>
      <c r="M140" s="4"/>
      <c r="N140" s="5" t="str">
        <f aca="false">IF(A140="","",IF(AND(C140&lt;&gt;"",M140&lt;&gt;"",COUNT(D140:J140)=7,01_Основания!$B$16&lt;&gt;"",01_Основания!$B$8&lt;&gt;""),"INPUTS_PRESENT_CHECK_OVERLAP","INCOMPLETE"))</f>
        <v/>
      </c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8" t="str">
        <f aca="false">IF(N141="INPUTS_PRESENT_CHECK_OVERLAP",ROUND(F141+H141+I141+J141,2),"")</f>
        <v/>
      </c>
      <c r="L141" s="8" t="str">
        <f aca="false">IF(ISNUMBER(K141),ROUND(K141-D141,2),"")</f>
        <v/>
      </c>
      <c r="M141" s="4"/>
      <c r="N141" s="5" t="str">
        <f aca="false">IF(A141="","",IF(AND(C141&lt;&gt;"",M141&lt;&gt;"",COUNT(D141:J141)=7,01_Основания!$B$16&lt;&gt;"",01_Основания!$B$8&lt;&gt;""),"INPUTS_PRESENT_CHECK_OVERLAP","INCOMPLETE"))</f>
        <v/>
      </c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8" t="str">
        <f aca="false">IF(N142="INPUTS_PRESENT_CHECK_OVERLAP",ROUND(F142+H142+I142+J142,2),"")</f>
        <v/>
      </c>
      <c r="L142" s="8" t="str">
        <f aca="false">IF(ISNUMBER(K142),ROUND(K142-D142,2),"")</f>
        <v/>
      </c>
      <c r="M142" s="4"/>
      <c r="N142" s="5" t="str">
        <f aca="false">IF(A142="","",IF(AND(C142&lt;&gt;"",M142&lt;&gt;"",COUNT(D142:J142)=7,01_Основания!$B$16&lt;&gt;"",01_Основания!$B$8&lt;&gt;""),"INPUTS_PRESENT_CHECK_OVERLAP","INCOMPLETE"))</f>
        <v/>
      </c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8" t="str">
        <f aca="false">IF(N143="INPUTS_PRESENT_CHECK_OVERLAP",ROUND(F143+H143+I143+J143,2),"")</f>
        <v/>
      </c>
      <c r="L143" s="8" t="str">
        <f aca="false">IF(ISNUMBER(K143),ROUND(K143-D143,2),"")</f>
        <v/>
      </c>
      <c r="M143" s="4"/>
      <c r="N143" s="5" t="str">
        <f aca="false">IF(A143="","",IF(AND(C143&lt;&gt;"",M143&lt;&gt;"",COUNT(D143:J143)=7,01_Основания!$B$16&lt;&gt;"",01_Основания!$B$8&lt;&gt;""),"INPUTS_PRESENT_CHECK_OVERLAP","INCOMPLETE"))</f>
        <v/>
      </c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8" t="str">
        <f aca="false">IF(N144="INPUTS_PRESENT_CHECK_OVERLAP",ROUND(F144+H144+I144+J144,2),"")</f>
        <v/>
      </c>
      <c r="L144" s="8" t="str">
        <f aca="false">IF(ISNUMBER(K144),ROUND(K144-D144,2),"")</f>
        <v/>
      </c>
      <c r="M144" s="4"/>
      <c r="N144" s="5" t="str">
        <f aca="false">IF(A144="","",IF(AND(C144&lt;&gt;"",M144&lt;&gt;"",COUNT(D144:J144)=7,01_Основания!$B$16&lt;&gt;"",01_Основания!$B$8&lt;&gt;""),"INPUTS_PRESENT_CHECK_OVERLAP","INCOMPLETE"))</f>
        <v/>
      </c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8" t="str">
        <f aca="false">IF(N145="INPUTS_PRESENT_CHECK_OVERLAP",ROUND(F145+H145+I145+J145,2),"")</f>
        <v/>
      </c>
      <c r="L145" s="8" t="str">
        <f aca="false">IF(ISNUMBER(K145),ROUND(K145-D145,2),"")</f>
        <v/>
      </c>
      <c r="M145" s="4"/>
      <c r="N145" s="5" t="str">
        <f aca="false">IF(A145="","",IF(AND(C145&lt;&gt;"",M145&lt;&gt;"",COUNT(D145:J145)=7,01_Основания!$B$16&lt;&gt;"",01_Основания!$B$8&lt;&gt;""),"INPUTS_PRESENT_CHECK_OVERLAP","INCOMPLETE"))</f>
        <v/>
      </c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8" t="str">
        <f aca="false">IF(N146="INPUTS_PRESENT_CHECK_OVERLAP",ROUND(F146+H146+I146+J146,2),"")</f>
        <v/>
      </c>
      <c r="L146" s="8" t="str">
        <f aca="false">IF(ISNUMBER(K146),ROUND(K146-D146,2),"")</f>
        <v/>
      </c>
      <c r="M146" s="4"/>
      <c r="N146" s="5" t="str">
        <f aca="false">IF(A146="","",IF(AND(C146&lt;&gt;"",M146&lt;&gt;"",COUNT(D146:J146)=7,01_Основания!$B$16&lt;&gt;"",01_Основания!$B$8&lt;&gt;""),"INPUTS_PRESENT_CHECK_OVERLAP","INCOMPLETE"))</f>
        <v/>
      </c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8" t="str">
        <f aca="false">IF(N147="INPUTS_PRESENT_CHECK_OVERLAP",ROUND(F147+H147+I147+J147,2),"")</f>
        <v/>
      </c>
      <c r="L147" s="8" t="str">
        <f aca="false">IF(ISNUMBER(K147),ROUND(K147-D147,2),"")</f>
        <v/>
      </c>
      <c r="M147" s="4"/>
      <c r="N147" s="5" t="str">
        <f aca="false">IF(A147="","",IF(AND(C147&lt;&gt;"",M147&lt;&gt;"",COUNT(D147:J147)=7,01_Основания!$B$16&lt;&gt;"",01_Основания!$B$8&lt;&gt;""),"INPUTS_PRESENT_CHECK_OVERLAP","INCOMPLETE"))</f>
        <v/>
      </c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8" t="str">
        <f aca="false">IF(N148="INPUTS_PRESENT_CHECK_OVERLAP",ROUND(F148+H148+I148+J148,2),"")</f>
        <v/>
      </c>
      <c r="L148" s="8" t="str">
        <f aca="false">IF(ISNUMBER(K148),ROUND(K148-D148,2),"")</f>
        <v/>
      </c>
      <c r="M148" s="4"/>
      <c r="N148" s="5" t="str">
        <f aca="false">IF(A148="","",IF(AND(C148&lt;&gt;"",M148&lt;&gt;"",COUNT(D148:J148)=7,01_Основания!$B$16&lt;&gt;"",01_Основания!$B$8&lt;&gt;""),"INPUTS_PRESENT_CHECK_OVERLAP","INCOMPLETE"))</f>
        <v/>
      </c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8" t="str">
        <f aca="false">IF(N149="INPUTS_PRESENT_CHECK_OVERLAP",ROUND(F149+H149+I149+J149,2),"")</f>
        <v/>
      </c>
      <c r="L149" s="8" t="str">
        <f aca="false">IF(ISNUMBER(K149),ROUND(K149-D149,2),"")</f>
        <v/>
      </c>
      <c r="M149" s="4"/>
      <c r="N149" s="5" t="str">
        <f aca="false">IF(A149="","",IF(AND(C149&lt;&gt;"",M149&lt;&gt;"",COUNT(D149:J149)=7,01_Основания!$B$16&lt;&gt;"",01_Основания!$B$8&lt;&gt;""),"INPUTS_PRESENT_CHECK_OVERLAP","INCOMPLETE"))</f>
        <v/>
      </c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8" t="str">
        <f aca="false">IF(N150="INPUTS_PRESENT_CHECK_OVERLAP",ROUND(F150+H150+I150+J150,2),"")</f>
        <v/>
      </c>
      <c r="L150" s="8" t="str">
        <f aca="false">IF(ISNUMBER(K150),ROUND(K150-D150,2),"")</f>
        <v/>
      </c>
      <c r="M150" s="4"/>
      <c r="N150" s="5" t="str">
        <f aca="false">IF(A150="","",IF(AND(C150&lt;&gt;"",M150&lt;&gt;"",COUNT(D150:J150)=7,01_Основания!$B$16&lt;&gt;"",01_Основания!$B$8&lt;&gt;""),"INPUTS_PRESENT_CHECK_OVERLAP","INCOMPLETE"))</f>
        <v/>
      </c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8" t="str">
        <f aca="false">IF(N151="INPUTS_PRESENT_CHECK_OVERLAP",ROUND(F151+H151+I151+J151,2),"")</f>
        <v/>
      </c>
      <c r="L151" s="8" t="str">
        <f aca="false">IF(ISNUMBER(K151),ROUND(K151-D151,2),"")</f>
        <v/>
      </c>
      <c r="M151" s="4"/>
      <c r="N151" s="5" t="str">
        <f aca="false">IF(A151="","",IF(AND(C151&lt;&gt;"",M151&lt;&gt;"",COUNT(D151:J151)=7,01_Основания!$B$16&lt;&gt;"",01_Основания!$B$8&lt;&gt;""),"INPUTS_PRESENT_CHECK_OVERLAP","INCOMPLETE"))</f>
        <v/>
      </c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8" t="str">
        <f aca="false">IF(N152="INPUTS_PRESENT_CHECK_OVERLAP",ROUND(F152+H152+I152+J152,2),"")</f>
        <v/>
      </c>
      <c r="L152" s="8" t="str">
        <f aca="false">IF(ISNUMBER(K152),ROUND(K152-D152,2),"")</f>
        <v/>
      </c>
      <c r="M152" s="4"/>
      <c r="N152" s="5" t="str">
        <f aca="false">IF(A152="","",IF(AND(C152&lt;&gt;"",M152&lt;&gt;"",COUNT(D152:J152)=7,01_Основания!$B$16&lt;&gt;"",01_Основания!$B$8&lt;&gt;""),"INPUTS_PRESENT_CHECK_OVERLAP","INCOMPLETE"))</f>
        <v/>
      </c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8" t="str">
        <f aca="false">IF(N153="INPUTS_PRESENT_CHECK_OVERLAP",ROUND(F153+H153+I153+J153,2),"")</f>
        <v/>
      </c>
      <c r="L153" s="8" t="str">
        <f aca="false">IF(ISNUMBER(K153),ROUND(K153-D153,2),"")</f>
        <v/>
      </c>
      <c r="M153" s="4"/>
      <c r="N153" s="5" t="str">
        <f aca="false">IF(A153="","",IF(AND(C153&lt;&gt;"",M153&lt;&gt;"",COUNT(D153:J153)=7,01_Основания!$B$16&lt;&gt;"",01_Основания!$B$8&lt;&gt;""),"INPUTS_PRESENT_CHECK_OVERLAP","INCOMPLETE"))</f>
        <v/>
      </c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8" t="str">
        <f aca="false">IF(N154="INPUTS_PRESENT_CHECK_OVERLAP",ROUND(F154+H154+I154+J154,2),"")</f>
        <v/>
      </c>
      <c r="L154" s="8" t="str">
        <f aca="false">IF(ISNUMBER(K154),ROUND(K154-D154,2),"")</f>
        <v/>
      </c>
      <c r="M154" s="4"/>
      <c r="N154" s="5" t="str">
        <f aca="false">IF(A154="","",IF(AND(C154&lt;&gt;"",M154&lt;&gt;"",COUNT(D154:J154)=7,01_Основания!$B$16&lt;&gt;"",01_Основания!$B$8&lt;&gt;""),"INPUTS_PRESENT_CHECK_OVERLAP","INCOMPLETE"))</f>
        <v/>
      </c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8" t="str">
        <f aca="false">IF(N155="INPUTS_PRESENT_CHECK_OVERLAP",ROUND(F155+H155+I155+J155,2),"")</f>
        <v/>
      </c>
      <c r="L155" s="8" t="str">
        <f aca="false">IF(ISNUMBER(K155),ROUND(K155-D155,2),"")</f>
        <v/>
      </c>
      <c r="M155" s="4"/>
      <c r="N155" s="5" t="str">
        <f aca="false">IF(A155="","",IF(AND(C155&lt;&gt;"",M155&lt;&gt;"",COUNT(D155:J155)=7,01_Основания!$B$16&lt;&gt;"",01_Основания!$B$8&lt;&gt;""),"INPUTS_PRESENT_CHECK_OVERLAP","INCOMPLETE"))</f>
        <v/>
      </c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8" t="str">
        <f aca="false">IF(N156="INPUTS_PRESENT_CHECK_OVERLAP",ROUND(F156+H156+I156+J156,2),"")</f>
        <v/>
      </c>
      <c r="L156" s="8" t="str">
        <f aca="false">IF(ISNUMBER(K156),ROUND(K156-D156,2),"")</f>
        <v/>
      </c>
      <c r="M156" s="4"/>
      <c r="N156" s="5" t="str">
        <f aca="false">IF(A156="","",IF(AND(C156&lt;&gt;"",M156&lt;&gt;"",COUNT(D156:J156)=7,01_Основания!$B$16&lt;&gt;"",01_Основания!$B$8&lt;&gt;""),"INPUTS_PRESENT_CHECK_OVERLAP","INCOMPLETE"))</f>
        <v/>
      </c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8" t="str">
        <f aca="false">IF(N157="INPUTS_PRESENT_CHECK_OVERLAP",ROUND(F157+H157+I157+J157,2),"")</f>
        <v/>
      </c>
      <c r="L157" s="8" t="str">
        <f aca="false">IF(ISNUMBER(K157),ROUND(K157-D157,2),"")</f>
        <v/>
      </c>
      <c r="M157" s="4"/>
      <c r="N157" s="5" t="str">
        <f aca="false">IF(A157="","",IF(AND(C157&lt;&gt;"",M157&lt;&gt;"",COUNT(D157:J157)=7,01_Основания!$B$16&lt;&gt;"",01_Основания!$B$8&lt;&gt;""),"INPUTS_PRESENT_CHECK_OVERLAP","INCOMPLETE"))</f>
        <v/>
      </c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8" t="str">
        <f aca="false">IF(N158="INPUTS_PRESENT_CHECK_OVERLAP",ROUND(F158+H158+I158+J158,2),"")</f>
        <v/>
      </c>
      <c r="L158" s="8" t="str">
        <f aca="false">IF(ISNUMBER(K158),ROUND(K158-D158,2),"")</f>
        <v/>
      </c>
      <c r="M158" s="4"/>
      <c r="N158" s="5" t="str">
        <f aca="false">IF(A158="","",IF(AND(C158&lt;&gt;"",M158&lt;&gt;"",COUNT(D158:J158)=7,01_Основания!$B$16&lt;&gt;"",01_Основания!$B$8&lt;&gt;""),"INPUTS_PRESENT_CHECK_OVERLAP","INCOMPLETE"))</f>
        <v/>
      </c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8" t="str">
        <f aca="false">IF(N159="INPUTS_PRESENT_CHECK_OVERLAP",ROUND(F159+H159+I159+J159,2),"")</f>
        <v/>
      </c>
      <c r="L159" s="8" t="str">
        <f aca="false">IF(ISNUMBER(K159),ROUND(K159-D159,2),"")</f>
        <v/>
      </c>
      <c r="M159" s="4"/>
      <c r="N159" s="5" t="str">
        <f aca="false">IF(A159="","",IF(AND(C159&lt;&gt;"",M159&lt;&gt;"",COUNT(D159:J159)=7,01_Основания!$B$16&lt;&gt;"",01_Основания!$B$8&lt;&gt;""),"INPUTS_PRESENT_CHECK_OVERLAP","INCOMPLETE"))</f>
        <v/>
      </c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8" t="str">
        <f aca="false">IF(N160="INPUTS_PRESENT_CHECK_OVERLAP",ROUND(F160+H160+I160+J160,2),"")</f>
        <v/>
      </c>
      <c r="L160" s="8" t="str">
        <f aca="false">IF(ISNUMBER(K160),ROUND(K160-D160,2),"")</f>
        <v/>
      </c>
      <c r="M160" s="4"/>
      <c r="N160" s="5" t="str">
        <f aca="false">IF(A160="","",IF(AND(C160&lt;&gt;"",M160&lt;&gt;"",COUNT(D160:J160)=7,01_Основания!$B$16&lt;&gt;"",01_Основания!$B$8&lt;&gt;""),"INPUTS_PRESENT_CHECK_OVERLAP","INCOMPLETE"))</f>
        <v/>
      </c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8" t="str">
        <f aca="false">IF(N161="INPUTS_PRESENT_CHECK_OVERLAP",ROUND(F161+H161+I161+J161,2),"")</f>
        <v/>
      </c>
      <c r="L161" s="8" t="str">
        <f aca="false">IF(ISNUMBER(K161),ROUND(K161-D161,2),"")</f>
        <v/>
      </c>
      <c r="M161" s="4"/>
      <c r="N161" s="5" t="str">
        <f aca="false">IF(A161="","",IF(AND(C161&lt;&gt;"",M161&lt;&gt;"",COUNT(D161:J161)=7,01_Основания!$B$16&lt;&gt;"",01_Основания!$B$8&lt;&gt;""),"INPUTS_PRESENT_CHECK_OVERLAP","INCOMPLETE"))</f>
        <v/>
      </c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8" t="str">
        <f aca="false">IF(N162="INPUTS_PRESENT_CHECK_OVERLAP",ROUND(F162+H162+I162+J162,2),"")</f>
        <v/>
      </c>
      <c r="L162" s="8" t="str">
        <f aca="false">IF(ISNUMBER(K162),ROUND(K162-D162,2),"")</f>
        <v/>
      </c>
      <c r="M162" s="4"/>
      <c r="N162" s="5" t="str">
        <f aca="false">IF(A162="","",IF(AND(C162&lt;&gt;"",M162&lt;&gt;"",COUNT(D162:J162)=7,01_Основания!$B$16&lt;&gt;"",01_Основания!$B$8&lt;&gt;""),"INPUTS_PRESENT_CHECK_OVERLAP","INCOMPLETE"))</f>
        <v/>
      </c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8" t="str">
        <f aca="false">IF(N163="INPUTS_PRESENT_CHECK_OVERLAP",ROUND(F163+H163+I163+J163,2),"")</f>
        <v/>
      </c>
      <c r="L163" s="8" t="str">
        <f aca="false">IF(ISNUMBER(K163),ROUND(K163-D163,2),"")</f>
        <v/>
      </c>
      <c r="M163" s="4"/>
      <c r="N163" s="5" t="str">
        <f aca="false">IF(A163="","",IF(AND(C163&lt;&gt;"",M163&lt;&gt;"",COUNT(D163:J163)=7,01_Основания!$B$16&lt;&gt;"",01_Основания!$B$8&lt;&gt;""),"INPUTS_PRESENT_CHECK_OVERLAP","INCOMPLETE"))</f>
        <v/>
      </c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8" t="str">
        <f aca="false">IF(N164="INPUTS_PRESENT_CHECK_OVERLAP",ROUND(F164+H164+I164+J164,2),"")</f>
        <v/>
      </c>
      <c r="L164" s="8" t="str">
        <f aca="false">IF(ISNUMBER(K164),ROUND(K164-D164,2),"")</f>
        <v/>
      </c>
      <c r="M164" s="4"/>
      <c r="N164" s="5" t="str">
        <f aca="false">IF(A164="","",IF(AND(C164&lt;&gt;"",M164&lt;&gt;"",COUNT(D164:J164)=7,01_Основания!$B$16&lt;&gt;"",01_Основания!$B$8&lt;&gt;""),"INPUTS_PRESENT_CHECK_OVERLAP","INCOMPLETE"))</f>
        <v/>
      </c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8" t="str">
        <f aca="false">IF(N165="INPUTS_PRESENT_CHECK_OVERLAP",ROUND(F165+H165+I165+J165,2),"")</f>
        <v/>
      </c>
      <c r="L165" s="8" t="str">
        <f aca="false">IF(ISNUMBER(K165),ROUND(K165-D165,2),"")</f>
        <v/>
      </c>
      <c r="M165" s="4"/>
      <c r="N165" s="5" t="str">
        <f aca="false">IF(A165="","",IF(AND(C165&lt;&gt;"",M165&lt;&gt;"",COUNT(D165:J165)=7,01_Основания!$B$16&lt;&gt;"",01_Основания!$B$8&lt;&gt;""),"INPUTS_PRESENT_CHECK_OVERLAP","INCOMPLETE"))</f>
        <v/>
      </c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8" t="str">
        <f aca="false">IF(N166="INPUTS_PRESENT_CHECK_OVERLAP",ROUND(F166+H166+I166+J166,2),"")</f>
        <v/>
      </c>
      <c r="L166" s="8" t="str">
        <f aca="false">IF(ISNUMBER(K166),ROUND(K166-D166,2),"")</f>
        <v/>
      </c>
      <c r="M166" s="4"/>
      <c r="N166" s="5" t="str">
        <f aca="false">IF(A166="","",IF(AND(C166&lt;&gt;"",M166&lt;&gt;"",COUNT(D166:J166)=7,01_Основания!$B$16&lt;&gt;"",01_Основания!$B$8&lt;&gt;""),"INPUTS_PRESENT_CHECK_OVERLAP","INCOMPLETE"))</f>
        <v/>
      </c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8" t="str">
        <f aca="false">IF(N167="INPUTS_PRESENT_CHECK_OVERLAP",ROUND(F167+H167+I167+J167,2),"")</f>
        <v/>
      </c>
      <c r="L167" s="8" t="str">
        <f aca="false">IF(ISNUMBER(K167),ROUND(K167-D167,2),"")</f>
        <v/>
      </c>
      <c r="M167" s="4"/>
      <c r="N167" s="5" t="str">
        <f aca="false">IF(A167="","",IF(AND(C167&lt;&gt;"",M167&lt;&gt;"",COUNT(D167:J167)=7,01_Основания!$B$16&lt;&gt;"",01_Основания!$B$8&lt;&gt;""),"INPUTS_PRESENT_CHECK_OVERLAP","INCOMPLETE"))</f>
        <v/>
      </c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8" t="str">
        <f aca="false">IF(N168="INPUTS_PRESENT_CHECK_OVERLAP",ROUND(F168+H168+I168+J168,2),"")</f>
        <v/>
      </c>
      <c r="L168" s="8" t="str">
        <f aca="false">IF(ISNUMBER(K168),ROUND(K168-D168,2),"")</f>
        <v/>
      </c>
      <c r="M168" s="4"/>
      <c r="N168" s="5" t="str">
        <f aca="false">IF(A168="","",IF(AND(C168&lt;&gt;"",M168&lt;&gt;"",COUNT(D168:J168)=7,01_Основания!$B$16&lt;&gt;"",01_Основания!$B$8&lt;&gt;""),"INPUTS_PRESENT_CHECK_OVERLAP","INCOMPLETE"))</f>
        <v/>
      </c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8" t="str">
        <f aca="false">IF(N169="INPUTS_PRESENT_CHECK_OVERLAP",ROUND(F169+H169+I169+J169,2),"")</f>
        <v/>
      </c>
      <c r="L169" s="8" t="str">
        <f aca="false">IF(ISNUMBER(K169),ROUND(K169-D169,2),"")</f>
        <v/>
      </c>
      <c r="M169" s="4"/>
      <c r="N169" s="5" t="str">
        <f aca="false">IF(A169="","",IF(AND(C169&lt;&gt;"",M169&lt;&gt;"",COUNT(D169:J169)=7,01_Основания!$B$16&lt;&gt;"",01_Основания!$B$8&lt;&gt;""),"INPUTS_PRESENT_CHECK_OVERLAP","INCOMPLETE"))</f>
        <v/>
      </c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8" t="str">
        <f aca="false">IF(N170="INPUTS_PRESENT_CHECK_OVERLAP",ROUND(F170+H170+I170+J170,2),"")</f>
        <v/>
      </c>
      <c r="L170" s="8" t="str">
        <f aca="false">IF(ISNUMBER(K170),ROUND(K170-D170,2),"")</f>
        <v/>
      </c>
      <c r="M170" s="4"/>
      <c r="N170" s="5" t="str">
        <f aca="false">IF(A170="","",IF(AND(C170&lt;&gt;"",M170&lt;&gt;"",COUNT(D170:J170)=7,01_Основания!$B$16&lt;&gt;"",01_Основания!$B$8&lt;&gt;""),"INPUTS_PRESENT_CHECK_OVERLAP","INCOMPLETE"))</f>
        <v/>
      </c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8" t="str">
        <f aca="false">IF(N171="INPUTS_PRESENT_CHECK_OVERLAP",ROUND(F171+H171+I171+J171,2),"")</f>
        <v/>
      </c>
      <c r="L171" s="8" t="str">
        <f aca="false">IF(ISNUMBER(K171),ROUND(K171-D171,2),"")</f>
        <v/>
      </c>
      <c r="M171" s="4"/>
      <c r="N171" s="5" t="str">
        <f aca="false">IF(A171="","",IF(AND(C171&lt;&gt;"",M171&lt;&gt;"",COUNT(D171:J171)=7,01_Основания!$B$16&lt;&gt;"",01_Основания!$B$8&lt;&gt;""),"INPUTS_PRESENT_CHECK_OVERLAP","INCOMPLETE"))</f>
        <v/>
      </c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8" t="str">
        <f aca="false">IF(N172="INPUTS_PRESENT_CHECK_OVERLAP",ROUND(F172+H172+I172+J172,2),"")</f>
        <v/>
      </c>
      <c r="L172" s="8" t="str">
        <f aca="false">IF(ISNUMBER(K172),ROUND(K172-D172,2),"")</f>
        <v/>
      </c>
      <c r="M172" s="4"/>
      <c r="N172" s="5" t="str">
        <f aca="false">IF(A172="","",IF(AND(C172&lt;&gt;"",M172&lt;&gt;"",COUNT(D172:J172)=7,01_Основания!$B$16&lt;&gt;"",01_Основания!$B$8&lt;&gt;""),"INPUTS_PRESENT_CHECK_OVERLAP","INCOMPLETE"))</f>
        <v/>
      </c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8" t="str">
        <f aca="false">IF(N173="INPUTS_PRESENT_CHECK_OVERLAP",ROUND(F173+H173+I173+J173,2),"")</f>
        <v/>
      </c>
      <c r="L173" s="8" t="str">
        <f aca="false">IF(ISNUMBER(K173),ROUND(K173-D173,2),"")</f>
        <v/>
      </c>
      <c r="M173" s="4"/>
      <c r="N173" s="5" t="str">
        <f aca="false">IF(A173="","",IF(AND(C173&lt;&gt;"",M173&lt;&gt;"",COUNT(D173:J173)=7,01_Основания!$B$16&lt;&gt;"",01_Основания!$B$8&lt;&gt;""),"INPUTS_PRESENT_CHECK_OVERLAP","INCOMPLETE"))</f>
        <v/>
      </c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8" t="str">
        <f aca="false">IF(N174="INPUTS_PRESENT_CHECK_OVERLAP",ROUND(F174+H174+I174+J174,2),"")</f>
        <v/>
      </c>
      <c r="L174" s="8" t="str">
        <f aca="false">IF(ISNUMBER(K174),ROUND(K174-D174,2),"")</f>
        <v/>
      </c>
      <c r="M174" s="4"/>
      <c r="N174" s="5" t="str">
        <f aca="false">IF(A174="","",IF(AND(C174&lt;&gt;"",M174&lt;&gt;"",COUNT(D174:J174)=7,01_Основания!$B$16&lt;&gt;"",01_Основания!$B$8&lt;&gt;""),"INPUTS_PRESENT_CHECK_OVERLAP","INCOMPLETE"))</f>
        <v/>
      </c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8" t="str">
        <f aca="false">IF(N175="INPUTS_PRESENT_CHECK_OVERLAP",ROUND(F175+H175+I175+J175,2),"")</f>
        <v/>
      </c>
      <c r="L175" s="8" t="str">
        <f aca="false">IF(ISNUMBER(K175),ROUND(K175-D175,2),"")</f>
        <v/>
      </c>
      <c r="M175" s="4"/>
      <c r="N175" s="5" t="str">
        <f aca="false">IF(A175="","",IF(AND(C175&lt;&gt;"",M175&lt;&gt;"",COUNT(D175:J175)=7,01_Основания!$B$16&lt;&gt;"",01_Основания!$B$8&lt;&gt;""),"INPUTS_PRESENT_CHECK_OVERLAP","INCOMPLETE"))</f>
        <v/>
      </c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8" t="str">
        <f aca="false">IF(N176="INPUTS_PRESENT_CHECK_OVERLAP",ROUND(F176+H176+I176+J176,2),"")</f>
        <v/>
      </c>
      <c r="L176" s="8" t="str">
        <f aca="false">IF(ISNUMBER(K176),ROUND(K176-D176,2),"")</f>
        <v/>
      </c>
      <c r="M176" s="4"/>
      <c r="N176" s="5" t="str">
        <f aca="false">IF(A176="","",IF(AND(C176&lt;&gt;"",M176&lt;&gt;"",COUNT(D176:J176)=7,01_Основания!$B$16&lt;&gt;"",01_Основания!$B$8&lt;&gt;""),"INPUTS_PRESENT_CHECK_OVERLAP","INCOMPLETE"))</f>
        <v/>
      </c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8" t="str">
        <f aca="false">IF(N177="INPUTS_PRESENT_CHECK_OVERLAP",ROUND(F177+H177+I177+J177,2),"")</f>
        <v/>
      </c>
      <c r="L177" s="8" t="str">
        <f aca="false">IF(ISNUMBER(K177),ROUND(K177-D177,2),"")</f>
        <v/>
      </c>
      <c r="M177" s="4"/>
      <c r="N177" s="5" t="str">
        <f aca="false">IF(A177="","",IF(AND(C177&lt;&gt;"",M177&lt;&gt;"",COUNT(D177:J177)=7,01_Основания!$B$16&lt;&gt;"",01_Основания!$B$8&lt;&gt;""),"INPUTS_PRESENT_CHECK_OVERLAP","INCOMPLETE"))</f>
        <v/>
      </c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8" t="str">
        <f aca="false">IF(N178="INPUTS_PRESENT_CHECK_OVERLAP",ROUND(F178+H178+I178+J178,2),"")</f>
        <v/>
      </c>
      <c r="L178" s="8" t="str">
        <f aca="false">IF(ISNUMBER(K178),ROUND(K178-D178,2),"")</f>
        <v/>
      </c>
      <c r="M178" s="4"/>
      <c r="N178" s="5" t="str">
        <f aca="false">IF(A178="","",IF(AND(C178&lt;&gt;"",M178&lt;&gt;"",COUNT(D178:J178)=7,01_Основания!$B$16&lt;&gt;"",01_Основания!$B$8&lt;&gt;""),"INPUTS_PRESENT_CHECK_OVERLAP","INCOMPLETE"))</f>
        <v/>
      </c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8" t="str">
        <f aca="false">IF(N179="INPUTS_PRESENT_CHECK_OVERLAP",ROUND(F179+H179+I179+J179,2),"")</f>
        <v/>
      </c>
      <c r="L179" s="8" t="str">
        <f aca="false">IF(ISNUMBER(K179),ROUND(K179-D179,2),"")</f>
        <v/>
      </c>
      <c r="M179" s="4"/>
      <c r="N179" s="5" t="str">
        <f aca="false">IF(A179="","",IF(AND(C179&lt;&gt;"",M179&lt;&gt;"",COUNT(D179:J179)=7,01_Основания!$B$16&lt;&gt;"",01_Основания!$B$8&lt;&gt;""),"INPUTS_PRESENT_CHECK_OVERLAP","INCOMPLETE"))</f>
        <v/>
      </c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8" t="str">
        <f aca="false">IF(N180="INPUTS_PRESENT_CHECK_OVERLAP",ROUND(F180+H180+I180+J180,2),"")</f>
        <v/>
      </c>
      <c r="L180" s="8" t="str">
        <f aca="false">IF(ISNUMBER(K180),ROUND(K180-D180,2),"")</f>
        <v/>
      </c>
      <c r="M180" s="4"/>
      <c r="N180" s="5" t="str">
        <f aca="false">IF(A180="","",IF(AND(C180&lt;&gt;"",M180&lt;&gt;"",COUNT(D180:J180)=7,01_Основания!$B$16&lt;&gt;"",01_Основания!$B$8&lt;&gt;""),"INPUTS_PRESENT_CHECK_OVERLAP","INCOMPLETE"))</f>
        <v/>
      </c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8" t="str">
        <f aca="false">IF(N181="INPUTS_PRESENT_CHECK_OVERLAP",ROUND(F181+H181+I181+J181,2),"")</f>
        <v/>
      </c>
      <c r="L181" s="8" t="str">
        <f aca="false">IF(ISNUMBER(K181),ROUND(K181-D181,2),"")</f>
        <v/>
      </c>
      <c r="M181" s="4"/>
      <c r="N181" s="5" t="str">
        <f aca="false">IF(A181="","",IF(AND(C181&lt;&gt;"",M181&lt;&gt;"",COUNT(D181:J181)=7,01_Основания!$B$16&lt;&gt;"",01_Основания!$B$8&lt;&gt;""),"INPUTS_PRESENT_CHECK_OVERLAP","INCOMPLETE"))</f>
        <v/>
      </c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8" t="str">
        <f aca="false">IF(N182="INPUTS_PRESENT_CHECK_OVERLAP",ROUND(F182+H182+I182+J182,2),"")</f>
        <v/>
      </c>
      <c r="L182" s="8" t="str">
        <f aca="false">IF(ISNUMBER(K182),ROUND(K182-D182,2),"")</f>
        <v/>
      </c>
      <c r="M182" s="4"/>
      <c r="N182" s="5" t="str">
        <f aca="false">IF(A182="","",IF(AND(C182&lt;&gt;"",M182&lt;&gt;"",COUNT(D182:J182)=7,01_Основания!$B$16&lt;&gt;"",01_Основания!$B$8&lt;&gt;""),"INPUTS_PRESENT_CHECK_OVERLAP","INCOMPLETE"))</f>
        <v/>
      </c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8" t="str">
        <f aca="false">IF(N183="INPUTS_PRESENT_CHECK_OVERLAP",ROUND(F183+H183+I183+J183,2),"")</f>
        <v/>
      </c>
      <c r="L183" s="8" t="str">
        <f aca="false">IF(ISNUMBER(K183),ROUND(K183-D183,2),"")</f>
        <v/>
      </c>
      <c r="M183" s="4"/>
      <c r="N183" s="5" t="str">
        <f aca="false">IF(A183="","",IF(AND(C183&lt;&gt;"",M183&lt;&gt;"",COUNT(D183:J183)=7,01_Основания!$B$16&lt;&gt;"",01_Основания!$B$8&lt;&gt;""),"INPUTS_PRESENT_CHECK_OVERLAP","INCOMPLETE"))</f>
        <v/>
      </c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8" t="str">
        <f aca="false">IF(N184="INPUTS_PRESENT_CHECK_OVERLAP",ROUND(F184+H184+I184+J184,2),"")</f>
        <v/>
      </c>
      <c r="L184" s="8" t="str">
        <f aca="false">IF(ISNUMBER(K184),ROUND(K184-D184,2),"")</f>
        <v/>
      </c>
      <c r="M184" s="4"/>
      <c r="N184" s="5" t="str">
        <f aca="false">IF(A184="","",IF(AND(C184&lt;&gt;"",M184&lt;&gt;"",COUNT(D184:J184)=7,01_Основания!$B$16&lt;&gt;"",01_Основания!$B$8&lt;&gt;""),"INPUTS_PRESENT_CHECK_OVERLAP","INCOMPLETE"))</f>
        <v/>
      </c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8" t="str">
        <f aca="false">IF(N185="INPUTS_PRESENT_CHECK_OVERLAP",ROUND(F185+H185+I185+J185,2),"")</f>
        <v/>
      </c>
      <c r="L185" s="8" t="str">
        <f aca="false">IF(ISNUMBER(K185),ROUND(K185-D185,2),"")</f>
        <v/>
      </c>
      <c r="M185" s="4"/>
      <c r="N185" s="5" t="str">
        <f aca="false">IF(A185="","",IF(AND(C185&lt;&gt;"",M185&lt;&gt;"",COUNT(D185:J185)=7,01_Основания!$B$16&lt;&gt;"",01_Основания!$B$8&lt;&gt;""),"INPUTS_PRESENT_CHECK_OVERLAP","INCOMPLETE"))</f>
        <v/>
      </c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8" t="str">
        <f aca="false">IF(N186="INPUTS_PRESENT_CHECK_OVERLAP",ROUND(F186+H186+I186+J186,2),"")</f>
        <v/>
      </c>
      <c r="L186" s="8" t="str">
        <f aca="false">IF(ISNUMBER(K186),ROUND(K186-D186,2),"")</f>
        <v/>
      </c>
      <c r="M186" s="4"/>
      <c r="N186" s="5" t="str">
        <f aca="false">IF(A186="","",IF(AND(C186&lt;&gt;"",M186&lt;&gt;"",COUNT(D186:J186)=7,01_Основания!$B$16&lt;&gt;"",01_Основания!$B$8&lt;&gt;""),"INPUTS_PRESENT_CHECK_OVERLAP","INCOMPLETE"))</f>
        <v/>
      </c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8" t="str">
        <f aca="false">IF(N187="INPUTS_PRESENT_CHECK_OVERLAP",ROUND(F187+H187+I187+J187,2),"")</f>
        <v/>
      </c>
      <c r="L187" s="8" t="str">
        <f aca="false">IF(ISNUMBER(K187),ROUND(K187-D187,2),"")</f>
        <v/>
      </c>
      <c r="M187" s="4"/>
      <c r="N187" s="5" t="str">
        <f aca="false">IF(A187="","",IF(AND(C187&lt;&gt;"",M187&lt;&gt;"",COUNT(D187:J187)=7,01_Основания!$B$16&lt;&gt;"",01_Основания!$B$8&lt;&gt;""),"INPUTS_PRESENT_CHECK_OVERLAP","INCOMPLETE"))</f>
        <v/>
      </c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8" t="str">
        <f aca="false">IF(N188="INPUTS_PRESENT_CHECK_OVERLAP",ROUND(F188+H188+I188+J188,2),"")</f>
        <v/>
      </c>
      <c r="L188" s="8" t="str">
        <f aca="false">IF(ISNUMBER(K188),ROUND(K188-D188,2),"")</f>
        <v/>
      </c>
      <c r="M188" s="4"/>
      <c r="N188" s="5" t="str">
        <f aca="false">IF(A188="","",IF(AND(C188&lt;&gt;"",M188&lt;&gt;"",COUNT(D188:J188)=7,01_Основания!$B$16&lt;&gt;"",01_Основания!$B$8&lt;&gt;""),"INPUTS_PRESENT_CHECK_OVERLAP","INCOMPLETE"))</f>
        <v/>
      </c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8" t="str">
        <f aca="false">IF(N189="INPUTS_PRESENT_CHECK_OVERLAP",ROUND(F189+H189+I189+J189,2),"")</f>
        <v/>
      </c>
      <c r="L189" s="8" t="str">
        <f aca="false">IF(ISNUMBER(K189),ROUND(K189-D189,2),"")</f>
        <v/>
      </c>
      <c r="M189" s="4"/>
      <c r="N189" s="5" t="str">
        <f aca="false">IF(A189="","",IF(AND(C189&lt;&gt;"",M189&lt;&gt;"",COUNT(D189:J189)=7,01_Основания!$B$16&lt;&gt;"",01_Основания!$B$8&lt;&gt;""),"INPUTS_PRESENT_CHECK_OVERLAP","INCOMPLETE"))</f>
        <v/>
      </c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8" t="str">
        <f aca="false">IF(N190="INPUTS_PRESENT_CHECK_OVERLAP",ROUND(F190+H190+I190+J190,2),"")</f>
        <v/>
      </c>
      <c r="L190" s="8" t="str">
        <f aca="false">IF(ISNUMBER(K190),ROUND(K190-D190,2),"")</f>
        <v/>
      </c>
      <c r="M190" s="4"/>
      <c r="N190" s="5" t="str">
        <f aca="false">IF(A190="","",IF(AND(C190&lt;&gt;"",M190&lt;&gt;"",COUNT(D190:J190)=7,01_Основания!$B$16&lt;&gt;"",01_Основания!$B$8&lt;&gt;""),"INPUTS_PRESENT_CHECK_OVERLAP","INCOMPLETE"))</f>
        <v/>
      </c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8" t="str">
        <f aca="false">IF(N191="INPUTS_PRESENT_CHECK_OVERLAP",ROUND(F191+H191+I191+J191,2),"")</f>
        <v/>
      </c>
      <c r="L191" s="8" t="str">
        <f aca="false">IF(ISNUMBER(K191),ROUND(K191-D191,2),"")</f>
        <v/>
      </c>
      <c r="M191" s="4"/>
      <c r="N191" s="5" t="str">
        <f aca="false">IF(A191="","",IF(AND(C191&lt;&gt;"",M191&lt;&gt;"",COUNT(D191:J191)=7,01_Основания!$B$16&lt;&gt;"",01_Основания!$B$8&lt;&gt;""),"INPUTS_PRESENT_CHECK_OVERLAP","INCOMPLETE"))</f>
        <v/>
      </c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8" t="str">
        <f aca="false">IF(N192="INPUTS_PRESENT_CHECK_OVERLAP",ROUND(F192+H192+I192+J192,2),"")</f>
        <v/>
      </c>
      <c r="L192" s="8" t="str">
        <f aca="false">IF(ISNUMBER(K192),ROUND(K192-D192,2),"")</f>
        <v/>
      </c>
      <c r="M192" s="4"/>
      <c r="N192" s="5" t="str">
        <f aca="false">IF(A192="","",IF(AND(C192&lt;&gt;"",M192&lt;&gt;"",COUNT(D192:J192)=7,01_Основания!$B$16&lt;&gt;"",01_Основания!$B$8&lt;&gt;""),"INPUTS_PRESENT_CHECK_OVERLAP","INCOMPLETE"))</f>
        <v/>
      </c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8" t="str">
        <f aca="false">IF(N193="INPUTS_PRESENT_CHECK_OVERLAP",ROUND(F193+H193+I193+J193,2),"")</f>
        <v/>
      </c>
      <c r="L193" s="8" t="str">
        <f aca="false">IF(ISNUMBER(K193),ROUND(K193-D193,2),"")</f>
        <v/>
      </c>
      <c r="M193" s="4"/>
      <c r="N193" s="5" t="str">
        <f aca="false">IF(A193="","",IF(AND(C193&lt;&gt;"",M193&lt;&gt;"",COUNT(D193:J193)=7,01_Основания!$B$16&lt;&gt;"",01_Основания!$B$8&lt;&gt;""),"INPUTS_PRESENT_CHECK_OVERLAP","INCOMPLETE"))</f>
        <v/>
      </c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8" t="str">
        <f aca="false">IF(N194="INPUTS_PRESENT_CHECK_OVERLAP",ROUND(F194+H194+I194+J194,2),"")</f>
        <v/>
      </c>
      <c r="L194" s="8" t="str">
        <f aca="false">IF(ISNUMBER(K194),ROUND(K194-D194,2),"")</f>
        <v/>
      </c>
      <c r="M194" s="4"/>
      <c r="N194" s="5" t="str">
        <f aca="false">IF(A194="","",IF(AND(C194&lt;&gt;"",M194&lt;&gt;"",COUNT(D194:J194)=7,01_Основания!$B$16&lt;&gt;"",01_Основания!$B$8&lt;&gt;""),"INPUTS_PRESENT_CHECK_OVERLAP","INCOMPLETE"))</f>
        <v/>
      </c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8" t="str">
        <f aca="false">IF(N195="INPUTS_PRESENT_CHECK_OVERLAP",ROUND(F195+H195+I195+J195,2),"")</f>
        <v/>
      </c>
      <c r="L195" s="8" t="str">
        <f aca="false">IF(ISNUMBER(K195),ROUND(K195-D195,2),"")</f>
        <v/>
      </c>
      <c r="M195" s="4"/>
      <c r="N195" s="5" t="str">
        <f aca="false">IF(A195="","",IF(AND(C195&lt;&gt;"",M195&lt;&gt;"",COUNT(D195:J195)=7,01_Основания!$B$16&lt;&gt;"",01_Основания!$B$8&lt;&gt;""),"INPUTS_PRESENT_CHECK_OVERLAP","INCOMPLETE"))</f>
        <v/>
      </c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8" t="str">
        <f aca="false">IF(N196="INPUTS_PRESENT_CHECK_OVERLAP",ROUND(F196+H196+I196+J196,2),"")</f>
        <v/>
      </c>
      <c r="L196" s="8" t="str">
        <f aca="false">IF(ISNUMBER(K196),ROUND(K196-D196,2),"")</f>
        <v/>
      </c>
      <c r="M196" s="4"/>
      <c r="N196" s="5" t="str">
        <f aca="false">IF(A196="","",IF(AND(C196&lt;&gt;"",M196&lt;&gt;"",COUNT(D196:J196)=7,01_Основания!$B$16&lt;&gt;"",01_Основания!$B$8&lt;&gt;""),"INPUTS_PRESENT_CHECK_OVERLAP","INCOMPLETE"))</f>
        <v/>
      </c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8" t="str">
        <f aca="false">IF(N197="INPUTS_PRESENT_CHECK_OVERLAP",ROUND(F197+H197+I197+J197,2),"")</f>
        <v/>
      </c>
      <c r="L197" s="8" t="str">
        <f aca="false">IF(ISNUMBER(K197),ROUND(K197-D197,2),"")</f>
        <v/>
      </c>
      <c r="M197" s="4"/>
      <c r="N197" s="5" t="str">
        <f aca="false">IF(A197="","",IF(AND(C197&lt;&gt;"",M197&lt;&gt;"",COUNT(D197:J197)=7,01_Основания!$B$16&lt;&gt;"",01_Основания!$B$8&lt;&gt;""),"INPUTS_PRESENT_CHECK_OVERLAP","INCOMPLETE"))</f>
        <v/>
      </c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8" t="str">
        <f aca="false">IF(N198="INPUTS_PRESENT_CHECK_OVERLAP",ROUND(F198+H198+I198+J198,2),"")</f>
        <v/>
      </c>
      <c r="L198" s="8" t="str">
        <f aca="false">IF(ISNUMBER(K198),ROUND(K198-D198,2),"")</f>
        <v/>
      </c>
      <c r="M198" s="4"/>
      <c r="N198" s="5" t="str">
        <f aca="false">IF(A198="","",IF(AND(C198&lt;&gt;"",M198&lt;&gt;"",COUNT(D198:J198)=7,01_Основания!$B$16&lt;&gt;"",01_Основания!$B$8&lt;&gt;""),"INPUTS_PRESENT_CHECK_OVERLAP","INCOMPLETE"))</f>
        <v/>
      </c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8" t="str">
        <f aca="false">IF(N199="INPUTS_PRESENT_CHECK_OVERLAP",ROUND(F199+H199+I199+J199,2),"")</f>
        <v/>
      </c>
      <c r="L199" s="8" t="str">
        <f aca="false">IF(ISNUMBER(K199),ROUND(K199-D199,2),"")</f>
        <v/>
      </c>
      <c r="M199" s="4"/>
      <c r="N199" s="5" t="str">
        <f aca="false">IF(A199="","",IF(AND(C199&lt;&gt;"",M199&lt;&gt;"",COUNT(D199:J199)=7,01_Основания!$B$16&lt;&gt;"",01_Основания!$B$8&lt;&gt;""),"INPUTS_PRESENT_CHECK_OVERLAP","INCOMPLETE"))</f>
        <v/>
      </c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8" t="str">
        <f aca="false">IF(N200="INPUTS_PRESENT_CHECK_OVERLAP",ROUND(F200+H200+I200+J200,2),"")</f>
        <v/>
      </c>
      <c r="L200" s="8" t="str">
        <f aca="false">IF(ISNUMBER(K200),ROUND(K200-D200,2),"")</f>
        <v/>
      </c>
      <c r="M200" s="4"/>
      <c r="N200" s="5" t="str">
        <f aca="false">IF(A200="","",IF(AND(C200&lt;&gt;"",M200&lt;&gt;"",COUNT(D200:J200)=7,01_Основания!$B$16&lt;&gt;"",01_Основания!$B$8&lt;&gt;""),"INPUTS_PRESENT_CHECK_OVERLAP","INCOMPLETE"))</f>
        <v/>
      </c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8" t="str">
        <f aca="false">IF(N201="INPUTS_PRESENT_CHECK_OVERLAP",ROUND(F201+H201+I201+J201,2),"")</f>
        <v/>
      </c>
      <c r="L201" s="8" t="str">
        <f aca="false">IF(ISNUMBER(K201),ROUND(K201-D201,2),"")</f>
        <v/>
      </c>
      <c r="M201" s="4"/>
      <c r="N201" s="5" t="str">
        <f aca="false">IF(A201="","",IF(AND(C201&lt;&gt;"",M201&lt;&gt;"",COUNT(D201:J201)=7,01_Основания!$B$16&lt;&gt;"",01_Основания!$B$8&lt;&gt;""),"INPUTS_PRESENT_CHECK_OVERLAP","INCOMPLETE"))</f>
        <v/>
      </c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8" t="str">
        <f aca="false">IF(N202="INPUTS_PRESENT_CHECK_OVERLAP",ROUND(F202+H202+I202+J202,2),"")</f>
        <v/>
      </c>
      <c r="L202" s="8" t="str">
        <f aca="false">IF(ISNUMBER(K202),ROUND(K202-D202,2),"")</f>
        <v/>
      </c>
      <c r="M202" s="4"/>
      <c r="N202" s="5" t="str">
        <f aca="false">IF(A202="","",IF(AND(C202&lt;&gt;"",M202&lt;&gt;"",COUNT(D202:J202)=7,01_Основания!$B$16&lt;&gt;"",01_Основания!$B$8&lt;&gt;""),"INPUTS_PRESENT_CHECK_OVERLAP","INCOMPLETE"))</f>
        <v/>
      </c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8" t="str">
        <f aca="false">IF(N203="INPUTS_PRESENT_CHECK_OVERLAP",ROUND(F203+H203+I203+J203,2),"")</f>
        <v/>
      </c>
      <c r="L203" s="8" t="str">
        <f aca="false">IF(ISNUMBER(K203),ROUND(K203-D203,2),"")</f>
        <v/>
      </c>
      <c r="M203" s="4"/>
      <c r="N203" s="5" t="str">
        <f aca="false">IF(A203="","",IF(AND(C203&lt;&gt;"",M203&lt;&gt;"",COUNT(D203:J203)=7,01_Основания!$B$16&lt;&gt;"",01_Основания!$B$8&lt;&gt;""),"INPUTS_PRESENT_CHECK_OVERLAP","INCOMPLETE"))</f>
        <v/>
      </c>
    </row>
  </sheetData>
  <autoFilter ref="A3:N203"/>
  <mergeCells count="2">
    <mergeCell ref="A1:N1"/>
    <mergeCell ref="A2:N2"/>
  </mergeCells>
  <dataValidations count="1">
    <dataValidation allowBlank="true" error="Требуется допустимое число." errorStyle="stop" operator="greaterThanOrEqual" showDropDown="false" showErrorMessage="true" showInputMessage="false" sqref="D4:J203" type="decimal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9" min="4" style="0" width="28"/>
  </cols>
  <sheetData>
    <row r="1" customFormat="false" ht="33.75" hidden="false" customHeight="true" outlineLevel="0" collapsed="false">
      <c r="A1" s="1" t="s">
        <v>689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48" hidden="false" customHeight="true" outlineLevel="0" collapsed="false">
      <c r="A3" s="3" t="s">
        <v>690</v>
      </c>
      <c r="B3" s="3" t="s">
        <v>481</v>
      </c>
      <c r="C3" s="3" t="s">
        <v>691</v>
      </c>
      <c r="D3" s="3" t="s">
        <v>692</v>
      </c>
      <c r="E3" s="3" t="s">
        <v>693</v>
      </c>
      <c r="F3" s="3" t="s">
        <v>694</v>
      </c>
      <c r="G3" s="3" t="s">
        <v>695</v>
      </c>
      <c r="H3" s="3" t="s">
        <v>663</v>
      </c>
      <c r="I3" s="3" t="s">
        <v>4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</sheetData>
  <autoFilter ref="A3:I203"/>
  <mergeCells count="2">
    <mergeCell ref="A1:I1"/>
    <mergeCell ref="A2:I2"/>
  </mergeCells>
  <dataValidations count="2">
    <dataValidation allowBlank="true" error="Используйте значение из списка." errorStyle="stop" errorTitle="Выберите значение" operator="between" showDropDown="false" showErrorMessage="true" showInputMessage="false" sqref="D4:D203" type="list">
      <formula1>"INCLUDED,EXCLUDED,UNKNOWN,NOT_APPLICABLE"</formula1>
      <formula2>0</formula2>
    </dataValidation>
    <dataValidation allowBlank="true" error="Используйте значение из списка." errorStyle="stop" errorTitle="Выберите значение" operator="between" showDropDown="false" showErrorMessage="true" showInputMessage="false" sqref="I4:I203" type="list">
      <formula1>"OPEN,CLOSED"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0" min="4" style="0" width="28"/>
  </cols>
  <sheetData>
    <row r="1" customFormat="false" ht="33.75" hidden="false" customHeight="true" outlineLevel="0" collapsed="false">
      <c r="A1" s="1" t="s">
        <v>696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8" hidden="false" customHeight="true" outlineLevel="0" collapsed="false">
      <c r="A3" s="3" t="s">
        <v>510</v>
      </c>
      <c r="B3" s="3" t="s">
        <v>697</v>
      </c>
      <c r="C3" s="3" t="s">
        <v>482</v>
      </c>
      <c r="D3" s="3" t="s">
        <v>667</v>
      </c>
      <c r="E3" s="3" t="s">
        <v>698</v>
      </c>
      <c r="F3" s="3" t="s">
        <v>699</v>
      </c>
      <c r="G3" s="3" t="s">
        <v>700</v>
      </c>
      <c r="H3" s="3" t="s">
        <v>512</v>
      </c>
      <c r="I3" s="3" t="s">
        <v>4</v>
      </c>
      <c r="J3" s="3" t="s">
        <v>513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</row>
  </sheetData>
  <autoFilter ref="A3:J203"/>
  <mergeCells count="2">
    <mergeCell ref="A1:J1"/>
    <mergeCell ref="A2:J2"/>
  </mergeCells>
  <dataValidations count="1">
    <dataValidation allowBlank="true" error="Используйте значение из списка." errorStyle="stop" errorTitle="Выберите значение" operator="between" showDropDown="false" showErrorMessage="true" showInputMessage="false" sqref="H4:H203" type="list">
      <formula1>"PUBLIC,PRIVATE_LOCAL,RESTRICTED"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&amp;CVDS67 • U01 • TEMPLATE — не утверждённый бюджет&amp;RСтр. &amp;P /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2026-09-10T21:13:41Z</dcterms:created>
  <dc:creator>openpyxl</dc:creator>
  <dc:description/>
  <dc:language>en-US</dc:language>
  <cp:lastModifiedBy/>
  <dcterms:modified xsi:type="dcterms:W3CDTF">2026-09-10T21:13:46Z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