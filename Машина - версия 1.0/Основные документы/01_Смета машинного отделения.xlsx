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0_Итог" sheetId="1" state="visible" r:id="rId3"/>
    <sheet name="01_Смета" sheetId="2" state="visible" r:id="rId4"/>
    <sheet name="02_Сравнение" sheetId="3" state="visible" r:id="rId5"/>
    <sheet name="03_Источники" sheetId="4" state="visible" r:id="rId6"/>
    <sheet name="04_Подстановки_M05" sheetId="5" state="visible" r:id="rId7"/>
    <sheet name="05_Комплектность_M06" sheetId="6" state="visible" r:id="rId8"/>
    <sheet name="06_Основания" sheetId="7" state="visible" r:id="rId9"/>
  </sheets>
  <definedNames>
    <definedName function="false" hidden="false" localSheetId="0" name="_xlnm.Print_Titles" vbProcedure="false">00_Итог!$1:$1</definedName>
    <definedName function="false" hidden="true" localSheetId="0" name="_xlnm._FilterDatabase" vbProcedure="false">00_Итог!$A$1:$H$14</definedName>
    <definedName function="false" hidden="false" localSheetId="1" name="_xlnm.Print_Titles" vbProcedure="false">01_Смета!$1:$1</definedName>
    <definedName function="false" hidden="true" localSheetId="1" name="_xlnm._FilterDatabase" vbProcedure="false">01_Смета!$A$1:$U$39</definedName>
    <definedName function="false" hidden="false" localSheetId="2" name="_xlnm.Print_Titles" vbProcedure="false">02_Сравнение!$1:$1</definedName>
    <definedName function="false" hidden="true" localSheetId="2" name="_xlnm._FilterDatabase" vbProcedure="false">02_Сравнение!$A$1:$I$13</definedName>
    <definedName function="false" hidden="false" localSheetId="3" name="_xlnm.Print_Titles" vbProcedure="false">03_Источники!$1:$1</definedName>
    <definedName function="false" hidden="true" localSheetId="3" name="_xlnm._FilterDatabase" vbProcedure="false">03_Источники!$A$1:$AA$72</definedName>
    <definedName function="false" hidden="false" localSheetId="4" name="_xlnm.Print_Titles" vbProcedure="false">04_Подстановки_M05!$1:$1</definedName>
    <definedName function="false" hidden="true" localSheetId="4" name="_xlnm._FilterDatabase" vbProcedure="false">04_Подстановки_M05!$A$1:$S$6</definedName>
    <definedName function="false" hidden="false" localSheetId="5" name="_xlnm.Print_Titles" vbProcedure="false">05_Комплектность_M06!$1:$1</definedName>
    <definedName function="false" hidden="true" localSheetId="5" name="_xlnm._FilterDatabase" vbProcedure="false">05_Комплектность_M06!$A$1:$Q$50</definedName>
    <definedName function="false" hidden="false" localSheetId="6" name="_xlnm.Print_Titles" vbProcedure="false">06_Основания!$1:$1</definedName>
    <definedName function="false" hidden="true" localSheetId="6" name="_xlnm._FilterDatabase" vbProcedure="false">06_Основания!$A$1:$B$14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<sst xmlns="http://schemas.openxmlformats.org/spreadsheetml/2006/main" count="2896" uniqueCount="1423">
  <si>
    <t xml:space="preserve">Пакет</t>
  </si>
  <si>
    <t xml:space="preserve">Система</t>
  </si>
  <si>
    <t xml:space="preserve">Известная NET EUR</t>
  </si>
  <si>
    <t xml:space="preserve">НДС выделен / расчёт EUR</t>
  </si>
  <si>
    <t xml:space="preserve">Оценено с НДС EUR</t>
  </si>
  <si>
    <t xml:space="preserve">Строк без суммы</t>
  </si>
  <si>
    <t xml:space="preserve">Статус</t>
  </si>
  <si>
    <t xml:space="preserve">Примечание</t>
  </si>
  <si>
    <t xml:space="preserve">PK01</t>
  </si>
  <si>
    <t xml:space="preserve">Ход яхты</t>
  </si>
  <si>
    <t xml:space="preserve">НЕПОЛНЫЙ</t>
  </si>
  <si>
    <t xml:space="preserve">Цена оборудования и компонента не закрывает установочный пакет</t>
  </si>
  <si>
    <t xml:space="preserve">PK02</t>
  </si>
  <si>
    <t xml:space="preserve">Генерация</t>
  </si>
  <si>
    <t xml:space="preserve">PK03</t>
  </si>
  <si>
    <t xml:space="preserve">Электропитание</t>
  </si>
  <si>
    <t xml:space="preserve">PK04</t>
  </si>
  <si>
    <t xml:space="preserve">АКБ и резервный пуск</t>
  </si>
  <si>
    <t xml:space="preserve">PK05</t>
  </si>
  <si>
    <t xml:space="preserve">Пресная вода</t>
  </si>
  <si>
    <t xml:space="preserve">PK06</t>
  </si>
  <si>
    <t xml:space="preserve">Опреснение</t>
  </si>
  <si>
    <t xml:space="preserve">PK07</t>
  </si>
  <si>
    <t xml:space="preserve">Горячая вода</t>
  </si>
  <si>
    <t xml:space="preserve">PK08</t>
  </si>
  <si>
    <t xml:space="preserve">Климат</t>
  </si>
  <si>
    <t xml:space="preserve">PK09</t>
  </si>
  <si>
    <t xml:space="preserve">Обеспечение МО</t>
  </si>
  <si>
    <t xml:space="preserve">PK10</t>
  </si>
  <si>
    <t xml:space="preserve">Аварийные системы</t>
  </si>
  <si>
    <t xml:space="preserve">PK11</t>
  </si>
  <si>
    <t xml:space="preserve">Танки и стоки</t>
  </si>
  <si>
    <t xml:space="preserve">PK12</t>
  </si>
  <si>
    <t xml:space="preserve">Гидравлика</t>
  </si>
  <si>
    <t xml:space="preserve">ADD</t>
  </si>
  <si>
    <t xml:space="preserve">Монтаж и внешние затраты</t>
  </si>
  <si>
    <t xml:space="preserve">ОЦЕНЁННАЯ ЧАСТЬ — НЕ ПОЛНАЯ СТОИМОСТЬ</t>
  </si>
  <si>
    <t xml:space="preserve">M07/v001 — выпуск текущей рабочей сметы по имеющимся сведениям. Не утверждённая УТВ, не заказ, не полный бюджет установленного МО.</t>
  </si>
  <si>
    <t xml:space="preserve">НДС в строках</t>
  </si>
  <si>
    <t xml:space="preserve">По уточнению владельца23% включены предварительно для известныхNET; SOURCE_GROSS уже сналогом, без повторного начисления. Налоговый вычет не применён.</t>
  </si>
  <si>
    <t xml:space="preserve">Смешанный gross</t>
  </si>
  <si>
    <t xml:space="preserve">Yanmar58842EUR включает налог неизвестнойставки. Его NET/VATневыделены. Общая оценённаяgrossсумма не единая унифицированная польская налоговая база и не график платежей.</t>
  </si>
  <si>
    <t xml:space="preserve">Открытые затраты</t>
  </si>
  <si>
    <t xml:space="preserve">Нулевых цен для неизвестного нет. Пустые количества/стоимости требуютданных; полныйитог незадан. Монтаж/материалы/трассы/таможня/ПНР не закрыты.</t>
  </si>
  <si>
    <t xml:space="preserve">Варианты</t>
  </si>
  <si>
    <t xml:space="preserve">Рабочая ветвьB сохранена изM03: Yanmar/Panda. Это не выбор закупки и не средний ценовойранг. A/C показаны в отдельном сравнении; альтернативы не складываются.</t>
  </si>
  <si>
    <t xml:space="preserve">Размещение</t>
  </si>
  <si>
    <t xml:space="preserve">По поручению владельца дальнейшаякомпоновка по сечениям проекта отдельно; G03не блокирует фиксациюэтогосостояниясметы и не подтверждает fit.</t>
  </si>
  <si>
    <t xml:space="preserve">Предыдущие версии</t>
  </si>
  <si>
    <t xml:space="preserve">U01/M01–M06/G03/EXP003 сохранены; сметные числа не перенесены в утверждённыйбюджет.</t>
  </si>
  <si>
    <t xml:space="preserve">Резерв</t>
  </si>
  <si>
    <t xml:space="preserve">Процент риска, накладных и установкиневыдуман. Неоценённыеработы не компенсированы произвольнойнадбавкой.</t>
  </si>
  <si>
    <t xml:space="preserve">Строка</t>
  </si>
  <si>
    <t xml:space="preserve">Группы M01</t>
  </si>
  <si>
    <t xml:space="preserve">Вид затрат</t>
  </si>
  <si>
    <t xml:space="preserve">Количество</t>
  </si>
  <si>
    <t xml:space="preserve">Ед.</t>
  </si>
  <si>
    <t xml:space="preserve">Наименование / исполнение</t>
  </si>
  <si>
    <t xml:space="preserve">Источник ID</t>
  </si>
  <si>
    <t xml:space="preserve">Цена NET EUR/ед.</t>
  </si>
  <si>
    <t xml:space="preserve">Стоимость NET EUR</t>
  </si>
  <si>
    <t xml:space="preserve">Основание НДС</t>
  </si>
  <si>
    <t xml:space="preserve">НДС % предварит.</t>
  </si>
  <si>
    <t xml:space="preserve">Сумма НДС EUR</t>
  </si>
  <si>
    <t xml:space="preserve">Исходный gross EUR/ед.</t>
  </si>
  <si>
    <t xml:space="preserve">Стоимость с НДС EUR</t>
  </si>
  <si>
    <t xml:space="preserve">Комплектность</t>
  </si>
  <si>
    <t xml:space="preserve">Статус цены</t>
  </si>
  <si>
    <t xml:space="preserve">Примечание / исключения</t>
  </si>
  <si>
    <t xml:space="preserve">Прямая ссылка</t>
  </si>
  <si>
    <t xml:space="preserve">Цена в источнике</t>
  </si>
  <si>
    <t xml:space="preserve">Валюта источника</t>
  </si>
  <si>
    <t xml:space="preserve">PK01-B-L01</t>
  </si>
  <si>
    <t xml:space="preserve">ME-01|ME-02</t>
  </si>
  <si>
    <t xml:space="preserve">Оборудование / компонент</t>
  </si>
  <si>
    <t xml:space="preserve">package</t>
  </si>
  <si>
    <t xml:space="preserve">Yanmar 8LV320E-KMH50A + VC20</t>
  </si>
  <si>
    <t xml:space="preserve">YAN-E01</t>
  </si>
  <si>
    <t xml:space="preserve">SOURCE_GROSS</t>
  </si>
  <si>
    <t xml:space="preserve">OPEN</t>
  </si>
  <si>
    <t xml:space="preserve">NO_VERIFIED_NET</t>
  </si>
  <si>
    <t xml:space="preserve">320 mhp / 235 kW at 3800 rpm; 1 engine + 1 KMH50A + VC20; manufacturer 2021 package dry mass 435+52 kg and envelope with gear/elbow; standard 12V starter; front belt PTO optional capacity unverified; dealer includes mounts/panel/wiring/fluids; installed propulsion scope incomplete | Исходный gross включает налог неизвестной ставки; без повторного23%. NET и выделенныйVAT открыты.</t>
  </si>
  <si>
    <t xml:space="preserve">https://www.abma-sneek.nl/yanmar/engines-gears-drives/powerboat-engines?prod_id=650436</t>
  </si>
  <si>
    <t xml:space="preserve">EUR</t>
  </si>
  <si>
    <t xml:space="preserve">PK02-B-L01</t>
  </si>
  <si>
    <t xml:space="preserve">ME-04|ME-19</t>
  </si>
  <si>
    <t xml:space="preserve">Fischer Panda 12000x-230V PMS NautiRadar0028284</t>
  </si>
  <si>
    <t xml:space="preserve">PAN-G02</t>
  </si>
  <si>
    <t xml:space="preserve">PL23_ESTIMATE</t>
  </si>
  <si>
    <t xml:space="preserve">OBSERVED_NET_CONDITIONAL_SCOPE</t>
  </si>
  <si>
    <t xml:space="preserve">50Hz230V not yet accepted as220V target;2generators retained;standard datasheet12Vstarter, priced24V SKU unconfirmed. 10.2kW/12kVA NOMINAL at20C;2026catalogue treats0.85 kVA factor as short inductive starting only;hot continuous useful output OPEN. Capsule dimensions exclude fittings and service space;ME19 partial factory cooling only. SellerSKU0028284 vsOEMsheet0024660:exact revision must be tied to offer. EU seller does not yet prove EU dispatch/free-circulation/Poland delivery. | НДС23% предварительно по поручению владельца; не установленный режим сделки.</t>
  </si>
  <si>
    <t xml:space="preserve">https://www.nautiradar.pt/en/products/fischer-panda/panda-12000x-230v-pms-12kva-fixed-engine-speed-marine-generator</t>
  </si>
  <si>
    <t xml:space="preserve">PK03-B-L01</t>
  </si>
  <si>
    <t xml:space="preserve">ME-05</t>
  </si>
  <si>
    <t xml:space="preserve">pcs</t>
  </si>
  <si>
    <t xml:space="preserve">Victron MultiPlus-II GX 24/3000/70-32 PMP242306000</t>
  </si>
  <si>
    <t xml:space="preserve">EL-INV-B</t>
  </si>
  <si>
    <t xml:space="preserve">24 V; factory230 V;2400 W at25C/2200 W at40C;70 A. GX monitoring differs; two GX units not required by yacht specification. Current manual geometry differs from catalogue: confirm revision. | НДС23% предварительно по поручению владельца; не установленный режим сделки.</t>
  </si>
  <si>
    <t xml:space="preserve">https://www.svb.de/de/victron-wechselrichter-ladegeraet-multiplus-ii-gx-24-v-3000-va-70-a.html</t>
  </si>
  <si>
    <t xml:space="preserve">PK03-B-L02</t>
  </si>
  <si>
    <t xml:space="preserve">ME-09</t>
  </si>
  <si>
    <t xml:space="preserve">Mastervolt Mass GI3.5 88000355</t>
  </si>
  <si>
    <t xml:space="preserve">EL-ISO-B</t>
  </si>
  <si>
    <t xml:space="preserve">3500 VA at230 V;16 A;HF technology;source IP23 supersedes dealer IP21. Not complete shore protection. | НДС23% предварительно по поручению владельца; не установленный режим сделки.</t>
  </si>
  <si>
    <t xml:space="preserve">https://www.svb24.com/en/mastervolt-mass-gi-3-5-isolation-transformer-16-a-3-5-kw.html</t>
  </si>
  <si>
    <t xml:space="preserve">PK04-B-L01</t>
  </si>
  <si>
    <t xml:space="preserve">ME-08</t>
  </si>
  <si>
    <t xml:space="preserve">Aquamot ALS12115 12V115Ah</t>
  </si>
  <si>
    <t xml:space="preserve">EL-BAT-B</t>
  </si>
  <si>
    <t xml:space="preserve">AGM dealer description; legacy manufacturer sheet includes GEL construction wording, chemistry/revision confirmation needed. Body height214mm total220mm; dealer header6.4kg rejected in favour33.7kg technical sheet. | НДС23% предварительно по поручению владельца; не установленный режим сделки.</t>
  </si>
  <si>
    <t xml:space="preserve">https://www.nothnagel-marine.de/product_info.php?info=p3857_aquamot---power-battery--dc-battery-als12115-12v-115ah-agm-deep-cycle-battery.html&amp;language=en</t>
  </si>
  <si>
    <t xml:space="preserve">PK04-B-L02</t>
  </si>
  <si>
    <t xml:space="preserve">ME-07</t>
  </si>
  <si>
    <t xml:space="preserve">Пусковая АКБ двигателя — тип уточняется</t>
  </si>
  <si>
    <t xml:space="preserve">EL-OPEN-MAIN</t>
  </si>
  <si>
    <t xml:space="preserve">1 physical owner battery, capacity/voltage/chemistry unknown. Not automatically ER550 or service115Ah. | НДС23% предварительно по поручению владельца; не установленный режим сделки.</t>
  </si>
  <si>
    <t xml:space="preserve">PK04-B-L03</t>
  </si>
  <si>
    <t xml:space="preserve">ME-27</t>
  </si>
  <si>
    <t xml:space="preserve">Пусковые АКБ генераторов — тип уточняется</t>
  </si>
  <si>
    <t xml:space="preserve">EL-OPEN-GEN</t>
  </si>
  <si>
    <t xml:space="preserve">2 physical owner batteries for2generators; capacity/voltage/CCA unknown; keep9total with6service+1main. No fictitious unit price. | НДС23% предварительно по поручению владельца; не установленный режим сделки.</t>
  </si>
  <si>
    <t xml:space="preserve">PK04-B-L04</t>
  </si>
  <si>
    <t xml:space="preserve">ME-28</t>
  </si>
  <si>
    <t xml:space="preserve">Blue Sea ML-RBS7702 24V</t>
  </si>
  <si>
    <t xml:space="preserve">EL-REM-A</t>
  </si>
  <si>
    <t xml:space="preserve">Manual override;24V coil;500A continuous product rating. Quantity, control failover, crank duty and24V live switching not qualified; dimensions drawing pending. | НДС23% предварительно по поручению владельца; не установленный режим сделки.</t>
  </si>
  <si>
    <t xml:space="preserve">https://www.svb24.com/en/blue-sea-hd-remote-battery-switch-24v.html</t>
  </si>
  <si>
    <t xml:space="preserve">PK05-B-L01</t>
  </si>
  <si>
    <t xml:space="preserve">ME-11</t>
  </si>
  <si>
    <t xml:space="preserve">шт</t>
  </si>
  <si>
    <t xml:space="preserve">Gianneschi EcoInox1 GE011 24V20L</t>
  </si>
  <si>
    <t xml:space="preserve">WC-DC-02</t>
  </si>
  <si>
    <t xml:space="preserve">45L/min max; common proposed15L/min at2bar needs curve. Includes20L tank/gauge/pressure switch; current OEM revision confirmation. | НДС23% предварительно по поручению владельца; не установленный режим сделки.</t>
  </si>
  <si>
    <t xml:space="preserve">https://www.comptoirnautique.com/groupe-d-eau-hydrophore/22947-gianneschi-groupe-d-eau-ecoinox-1-avec-reservoir-20l-24v-45lmin-7024.html</t>
  </si>
  <si>
    <t xml:space="preserve">PK05-B-L02</t>
  </si>
  <si>
    <t xml:space="preserve">ME-12</t>
  </si>
  <si>
    <t xml:space="preserve">Gianneschi EcoInox2 GE017 230V20L</t>
  </si>
  <si>
    <t xml:space="preserve">WC-AC-02</t>
  </si>
  <si>
    <t xml:space="preserve">Open page1052.50HT supersedes search992.50. Dealer max55L/min conflicts Kent45: curves required.0.45kW/20L; common15L/min at2bar not verified. | НДС23% предварительно по поручению владельца; не установленный режим сделки.</t>
  </si>
  <si>
    <t xml:space="preserve">https://www.tyboat.com/achat/P-57388-gianneschi-groupe-d-eau-ecoinox2-3-5-bars-0-45-kw-55-litres-minute-reservoir-20-litres-230-volts.html</t>
  </si>
  <si>
    <t xml:space="preserve">PK06-B-L01</t>
  </si>
  <si>
    <t xml:space="preserve">ME-13</t>
  </si>
  <si>
    <t xml:space="preserve">Schenker ZEN150 — базовая цена «от», полный состав открыт</t>
  </si>
  <si>
    <t xml:space="preserve">WC-RO-02</t>
  </si>
  <si>
    <t xml:space="preserve">FROM_INCOMPLETE_CONFIGURATION</t>
  </si>
  <si>
    <t xml:space="preserve">Observed FROM base price; net is FROM benchmark only, NOT complete Touch/salinity/reject price. Nominal150L/h. Manufacturer230V±15% includes220V. Basic has no salinity; Touch optional; 24V variant permitted. Modular unit dimensions not total installed envelope. | НДС23% предварительно по поручению владельца; не установленный режим сделки.</t>
  </si>
  <si>
    <t xml:space="preserve">https://mar-nautic.com/schenker-watermaker-zen-150</t>
  </si>
  <si>
    <t xml:space="preserve">PK07-B-L01</t>
  </si>
  <si>
    <t xml:space="preserve">ME-14</t>
  </si>
  <si>
    <t xml:space="preserve">Quick BX 40L1200W FLBX4012S000A00</t>
  </si>
  <si>
    <t xml:space="preserve">WC-HW-02</t>
  </si>
  <si>
    <t xml:space="preserve">40L1200W220V plus engine heat exchanger common illustrative class; not owner size. Supplier dimensions/mass in research only pending official drawing. Thermostatic mixing equalise separately. | НДС23% предварительно по поручению владельца; не установленный режим сделки.</t>
  </si>
  <si>
    <t xml:space="preserve">https://www.tyboat.com/achat/P-8880-quick-chauffe-eau-cylindrique-bx-40-litres-220-volts-1200-watts.html</t>
  </si>
  <si>
    <t xml:space="preserve">PK08-B-L01</t>
  </si>
  <si>
    <t xml:space="preserve">ME-15</t>
  </si>
  <si>
    <t xml:space="preserve">Climma CWS Aquacontrol161RC 230/1/50</t>
  </si>
  <si>
    <t xml:space="preserve">WC-CH-02</t>
  </si>
  <si>
    <t xml:space="preserve">16000BTU/h each; reversecycle. Price recovered live requests HTTP200 after web429; local source text retained. OEM dimensions require authenticated download; old dealerPDF not promoted. | НДС23% предварительно по поручению владельца; не установленный режим сделки.</t>
  </si>
  <si>
    <t xml:space="preserve">https://mdislandsupply.com/en/climma/879-cws-aquacontrol-161-rc-230150-climma.html</t>
  </si>
  <si>
    <t xml:space="preserve">PK08-B-L02</t>
  </si>
  <si>
    <t xml:space="preserve">ME-16</t>
  </si>
  <si>
    <t xml:space="preserve">Frigomar NH150PS SWM0150230</t>
  </si>
  <si>
    <t xml:space="preserve">WC-AUX-01</t>
  </si>
  <si>
    <t xml:space="preserve">230V50/60Hz magneticdrive; count and pump duty notfixed. No proof this model meets both seawater and chilledwater circuits; official detailed curve required. | НДС23% предварительно по поручению владельца; не установленный режим сделки.</t>
  </si>
  <si>
    <t xml:space="preserve">https://www.comptoirnautique.com/climatisation-bateau/91819-frigomar-pompes-a-entrainement-magnetique.html</t>
  </si>
  <si>
    <t xml:space="preserve">PK09-B-L01</t>
  </si>
  <si>
    <t xml:space="preserve">ME-18</t>
  </si>
  <si>
    <t xml:space="preserve">Parker Racor 75500MAXM30</t>
  </si>
  <si>
    <t xml:space="preserve">A09</t>
  </si>
  <si>
    <t xml:space="preserve">VARIABLE_PRICE_RECONFIRM</t>
  </si>
  <si>
    <t xml:space="preserve">Root open2612.00gross/19%=2194.96NET; повторное открытие независимым агентом2199.90gross/19%=1848.66NET. Принято последнее наблюдение, расхождение сохранено; подтвердить цену до сравнения. Дуплексный узел, микроны/расход одной ветви под двигатель. | НДС23% предварительно по поручению владельца; не установленный режим сделки.</t>
  </si>
  <si>
    <t xml:space="preserve">https://racorshop.de/product/racor-75500maxm30-turbine-filter-marine/</t>
  </si>
  <si>
    <t xml:space="preserve">PK09-B-L02</t>
  </si>
  <si>
    <t xml:space="preserve">ME-19</t>
  </si>
  <si>
    <t xml:space="preserve">Vetus FTR33032M</t>
  </si>
  <si>
    <t xml:space="preserve">A11</t>
  </si>
  <si>
    <t xml:space="preserve">NET явно exclusiefBTW; усиленная версия с металлической крышкой. Сравнение с FTR330/32 требует одинаковых давления/установочного положения. | НДС23% предварительно по поручению владельца; не установленный режим сделки.</t>
  </si>
  <si>
    <t xml:space="preserve">https://www.mediawinkel.eu/nl/heavy-duty-waterfilter-32-mm.html</t>
  </si>
  <si>
    <t xml:space="preserve">PK09-B-L03</t>
  </si>
  <si>
    <t xml:space="preserve">ME-22</t>
  </si>
  <si>
    <t xml:space="preserve">Jabsco 35770-0094 /24V</t>
  </si>
  <si>
    <t xml:space="preserve">A15</t>
  </si>
  <si>
    <t xml:space="preserve">Поиск224.42exVAT, открытиеchallenge. Раздел дилера предупреждаетhold EU compliance. NET поле пусто; не считать доступным. Официально7м³/мин свободныйрасход, требуемыйнапорнепроверен. | НДС23% предварительно по поручению владельца; не установленный режим сделки.</t>
  </si>
  <si>
    <t xml:space="preserve">https://www.mackengineering.co.uk/35770-0094-24v-flexmount-blower.html</t>
  </si>
  <si>
    <t xml:space="preserve">GBP</t>
  </si>
  <si>
    <t xml:space="preserve">PK09-B-L04</t>
  </si>
  <si>
    <t xml:space="preserve">ME-23</t>
  </si>
  <si>
    <t xml:space="preserve">Marco UP3/OIL 16402013 /24V</t>
  </si>
  <si>
    <t xml:space="preserve">A16</t>
  </si>
  <si>
    <t xml:space="preserve">Только насос; коллектор3агрегатов,шланги,поддоны,свет и автоматика не включены. | НДС23% предварительно по поручению владельца; не установленный режим сделки.</t>
  </si>
  <si>
    <t xml:space="preserve">https://www.mackengineering.co.uk/marco-up3-oil-pump-24v.html</t>
  </si>
  <si>
    <t xml:space="preserve">PK10-B-L01</t>
  </si>
  <si>
    <t xml:space="preserve">ME-20</t>
  </si>
  <si>
    <t xml:space="preserve">Rule 2000 GPH / model12 /24V</t>
  </si>
  <si>
    <t xml:space="preserve">A12</t>
  </si>
  <si>
    <t xml:space="preserve">Габариты из официальной таблицы, у дилера155×105 отличаются; сверить ревизию. Не вся система осушения; поплавок/сигнализация отдельно. | НДС23% предварительно по поручению владельца; не установленный режим сделки.</t>
  </si>
  <si>
    <t xml:space="preserve">https://www.mackengineering.co.uk/rule-2000-gph-bilge-pump-24v.html</t>
  </si>
  <si>
    <t xml:space="preserve">PK10-B-L02</t>
  </si>
  <si>
    <t xml:space="preserve">Whale Gusher Urchin BP9005</t>
  </si>
  <si>
    <t xml:space="preserve">A13</t>
  </si>
  <si>
    <t xml:space="preserve">Ориентир цены ручного насоса; не назначенный главный аварийный насос67ft, расход/напор/доступ проверить. | НДС23% предварительно по поручению владельца; не установленный режим сделки.</t>
  </si>
  <si>
    <t xml:space="preserve">https://www.mackengineering.co.uk/bp9005-whale-gusher-urchin-hand-pump.html</t>
  </si>
  <si>
    <t xml:space="preserve">PK10-B-L03</t>
  </si>
  <si>
    <t xml:space="preserve">Rule 32ALA /24V</t>
  </si>
  <si>
    <t xml:space="preserve">A14</t>
  </si>
  <si>
    <t xml:space="preserve">Цена связанного товара открытой карточки; состав сигнализации и число отсеков открыты. | НДС23% предварительно по поручению владельца; не установленный режим сделки.</t>
  </si>
  <si>
    <t xml:space="preserve">PK10-B-L04</t>
  </si>
  <si>
    <t xml:space="preserve">ME-21</t>
  </si>
  <si>
    <t xml:space="preserve">Fireboy MA series 31.620.55</t>
  </si>
  <si>
    <t xml:space="preserve">A20</t>
  </si>
  <si>
    <t xml:space="preserve">Поиск1950NET, открытиеошибка. Заголовок51м³, таблица15.6м³ противоречат; модель/заряд не выбраны. Нельзя уменьшать заряд ради габарита. Отключение двигателей/вентиляции и ручнойпуск по отдельномуBOM. | НДС23% предварительно по поручению владельца; не установленный режим сделки.</t>
  </si>
  <si>
    <t xml:space="preserve">https://www.oltrevela.com/en/31-620-55-fireboy-ma-series-automatic-manual-fire-extinguisher-13-4-kg-for-engine-rooms-and-motor-compartments-up-to-51m-uscg-and-iso-rina-approved-fireboy-4</t>
  </si>
  <si>
    <t xml:space="preserve">PK11-B-L01</t>
  </si>
  <si>
    <t xml:space="preserve">ME-24</t>
  </si>
  <si>
    <t xml:space="preserve">Vetus SENSORA</t>
  </si>
  <si>
    <t xml:space="preserve">A18</t>
  </si>
  <si>
    <t xml:space="preserve">Ультразвуковой аналоговый датчик; работа в конкретном танке и интерфейс подлежат проверке. Не цена танка. | НДС23% предварительно по поручению владельца; не установленный режим сделки.</t>
  </si>
  <si>
    <t xml:space="preserve">https://www.vetus-shop.com/vetus-fuel-tank-quickfit-diesel-40-litre-8mm-p-1786.html</t>
  </si>
  <si>
    <t xml:space="preserve">PK11-B-L02</t>
  </si>
  <si>
    <t xml:space="preserve">ME-25</t>
  </si>
  <si>
    <t xml:space="preserve">Jabsco 18590-2094 /24V</t>
  </si>
  <si>
    <t xml:space="preserve">A19</t>
  </si>
  <si>
    <t xml:space="preserve">24V; только насос сточного танка. Пересечение с комплектом туалета проверять; число танков не назначено. | НДС23% предварительно по поручению владельца; не установленный режим сделки.</t>
  </si>
  <si>
    <t xml:space="preserve">https://www.cactusnav.com/jabsco-macerator-pump-p-37922.html</t>
  </si>
  <si>
    <t xml:space="preserve">PK12-B-L01</t>
  </si>
  <si>
    <t xml:space="preserve">ME-29</t>
  </si>
  <si>
    <t xml:space="preserve">Sleipner Load-sensing system / bulkhead tank 40L</t>
  </si>
  <si>
    <t xml:space="preserve">A07</t>
  </si>
  <si>
    <t xml:space="preserve">Справочный габарит настенного танк-модуля из каталога2020; с блоком одного подруливающего, без всей установки. Ещё100мм для замены фильтра. Нужны текущийCAD и расчёт всех потребителей. | НДС23% предварительно по поручению владельца; не установленный режим сделки.</t>
  </si>
  <si>
    <t xml:space="preserve">OPEN-ME-03</t>
  </si>
  <si>
    <t xml:space="preserve">ME-03</t>
  </si>
  <si>
    <t xml:space="preserve">Неоценённая функция</t>
  </si>
  <si>
    <t xml:space="preserve">Муфта, опоры, упорный узел и элементы валопровода</t>
  </si>
  <si>
    <t xml:space="preserve">M01/ME-03</t>
  </si>
  <si>
    <t xml:space="preserve">NO_PRICE</t>
  </si>
  <si>
    <t xml:space="preserve">Функциональная линия одна; числа подшипников/опор/уплотнений и комплектность не установлены | Резервсостава,неповтор комплектных деталей; количествоаппаратов не назначено.</t>
  </si>
  <si>
    <t xml:space="preserve">OPEN-ME-06</t>
  </si>
  <si>
    <t xml:space="preserve">ME-06</t>
  </si>
  <si>
    <t xml:space="preserve">канал</t>
  </si>
  <si>
    <t xml:space="preserve">Независимое инверторное питание AC насоса пресной воды</t>
  </si>
  <si>
    <t xml:space="preserve">M01/ME-06</t>
  </si>
  <si>
    <t xml:space="preserve">РеестрO02 предлагает1 отдельный инвертор; brief допускает отдельное либо изолированное исполнение. Аппаратное исполнение выбрать одинаково для3вариантов | Резервсостава,неповтор комплектных деталей; количествоаппаратов не назначено.</t>
  </si>
  <si>
    <t xml:space="preserve">OPEN-ME-10</t>
  </si>
  <si>
    <t xml:space="preserve">ME-10</t>
  </si>
  <si>
    <t xml:space="preserve">Распределение AC/DC, переключение источников, зарядная и защитная автоматика</t>
  </si>
  <si>
    <t xml:space="preserve">M01/ME-10</t>
  </si>
  <si>
    <t xml:space="preserve">Состав щитов/аппаратов/датчиков по однолинейной схеме; штатное включение в инверторы/генераторы не считать дважды | Резервсостава,неповтор комплектных деталей; количествоаппаратов не назначено.</t>
  </si>
  <si>
    <t xml:space="preserve">OPEN-ME-17</t>
  </si>
  <si>
    <t xml:space="preserve">ME-17</t>
  </si>
  <si>
    <t xml:space="preserve">Гидроаккумуляторы, коллекторы, фильтры, клапаны и рециркуляция ГВС</t>
  </si>
  <si>
    <t xml:space="preserve">M01/ME-17</t>
  </si>
  <si>
    <t xml:space="preserve">Разделить комплектные и внешние детали; количество по P&amp;ID, рециркуляция по необходимости | Резервсостава,неповтор комплектных деталей; количествоаппаратов не назначено.</t>
  </si>
  <si>
    <t xml:space="preserve">OPEN-ME-26</t>
  </si>
  <si>
    <t xml:space="preserve">ME-26</t>
  </si>
  <si>
    <t xml:space="preserve">Резервное водяное отопление</t>
  </si>
  <si>
    <t xml:space="preserve">M01/ME-26</t>
  </si>
  <si>
    <t xml:space="preserve">CONDITIONAL</t>
  </si>
  <si>
    <t xml:space="preserve">Не обязательная покупка до решения; обратный цикл чиллеров и отдельное отопление не назначаются автоматически | Резервсостава,неповтор комплектных деталей; количествоаппаратов не назначено.</t>
  </si>
  <si>
    <t xml:space="preserve">GAP-01</t>
  </si>
  <si>
    <t xml:space="preserve">Работа / внешняя затрата</t>
  </si>
  <si>
    <t xml:space="preserve">Рабочее проектирование и интеграция МО</t>
  </si>
  <si>
    <t xml:space="preserve">M06/scope + office/cost-policy</t>
  </si>
  <si>
    <t xml:space="preserve">Чертежи фундаментов/трасс/систем; без общей архитектуры всей яхты</t>
  </si>
  <si>
    <t xml:space="preserve">GAP-02</t>
  </si>
  <si>
    <t xml:space="preserve">Внешние трубопроводы, кабели и монтажные материалы</t>
  </si>
  <si>
    <t xml:space="preserve">Только невключённые в поставку материалы: длины, диаметры, крепления и изоляция по проекту</t>
  </si>
  <si>
    <t xml:space="preserve">GAP-03</t>
  </si>
  <si>
    <t xml:space="preserve">Изготовление фундаментов и локальных усилений</t>
  </si>
  <si>
    <t xml:space="preserve">Внешние корпусные работы; не повтор заводских виброопор и корпусного бюджета</t>
  </si>
  <si>
    <t xml:space="preserve">GAP-04</t>
  </si>
  <si>
    <t xml:space="preserve">Монтаж и центровка оборудования</t>
  </si>
  <si>
    <t xml:space="preserve">Труд и оснастка; без уже включённого монтажа из будущих КП</t>
  </si>
  <si>
    <t xml:space="preserve">GAP-05</t>
  </si>
  <si>
    <t xml:space="preserve">Настройка, пусконаладка и испытания МО</t>
  </si>
  <si>
    <t xml:space="preserve">Системные/интеграционные испытания; не повтор заводских испытаний и общесудовой приёмки</t>
  </si>
  <si>
    <t xml:space="preserve">GAP-06</t>
  </si>
  <si>
    <t xml:space="preserve">Доставка и страхование до верфи</t>
  </si>
  <si>
    <t xml:space="preserve">Маршрут, местоотгрузки,масса/габариты; есливключеноКП — обоснованныйноль</t>
  </si>
  <si>
    <t xml:space="preserve">GAP-07</t>
  </si>
  <si>
    <t xml:space="preserve">Пошлина и таможенное оформление</t>
  </si>
  <si>
    <t xml:space="preserve">TAX_REVIEW</t>
  </si>
  <si>
    <t xml:space="preserve">Применимость по маршруту и происхождению; не автоматическое начисление; VATбаза уточняется</t>
  </si>
  <si>
    <t xml:space="preserve">GAP-08</t>
  </si>
  <si>
    <t xml:space="preserve">Дополнительная установочная комплектность</t>
  </si>
  <si>
    <t xml:space="preserve">Недостающие соединители,контроллеры,сервисные принадлежности послеM06; оплачиватьодинразпоBOM</t>
  </si>
  <si>
    <t xml:space="preserve">Известная оценённая часть, НЕ полный бюджет</t>
  </si>
  <si>
    <t xml:space="preserve">NET и выделенныйVAT не включаютYanmarSOURCE_GROSS; суммаgrossсмешиваетPL23сценарий иценупродавцаснеизвестнойставкой. Остальныепустыезатраты сверхсуммы.</t>
  </si>
  <si>
    <t xml:space="preserve">A известная NET</t>
  </si>
  <si>
    <t xml:space="preserve">A без оценки</t>
  </si>
  <si>
    <t xml:space="preserve">B известная NET</t>
  </si>
  <si>
    <t xml:space="preserve">B без оценки</t>
  </si>
  <si>
    <t xml:space="preserve">C известная NET</t>
  </si>
  <si>
    <t xml:space="preserve">C без оценки</t>
  </si>
  <si>
    <t xml:space="preserve">Условие</t>
  </si>
  <si>
    <t xml:space="preserve">Только известная NETчасть; состав/налоги различны; неранжировать и нескладывать альтернативы</t>
  </si>
  <si>
    <t xml:space="preserve">candidate_id</t>
  </si>
  <si>
    <t xml:space="preserve">me_id</t>
  </si>
  <si>
    <t xml:space="preserve">category</t>
  </si>
  <si>
    <t xml:space="preserve">manufacturer</t>
  </si>
  <si>
    <t xml:space="preserve">model</t>
  </si>
  <si>
    <t xml:space="preserve">qty</t>
  </si>
  <si>
    <t xml:space="preserve">unit</t>
  </si>
  <si>
    <t xml:space="preserve">currency</t>
  </si>
  <si>
    <t xml:space="preserve">listed_price</t>
  </si>
  <si>
    <t xml:space="preserve">tax_basis</t>
  </si>
  <si>
    <t xml:space="preserve">tax_rate</t>
  </si>
  <si>
    <t xml:space="preserve">net_unit_price</t>
  </si>
  <si>
    <t xml:space="preserve">price_url</t>
  </si>
  <si>
    <t xml:space="preserve">spec_url</t>
  </si>
  <si>
    <t xml:space="preserve">length_mm</t>
  </si>
  <si>
    <t xml:space="preserve">width_mm</t>
  </si>
  <si>
    <t xml:space="preserve">height_mm</t>
  </si>
  <si>
    <t xml:space="preserve">mass_kg</t>
  </si>
  <si>
    <t xml:space="preserve">technical_status</t>
  </si>
  <si>
    <t xml:space="preserve">scope_notes</t>
  </si>
  <si>
    <t xml:space="preserve">availability</t>
  </si>
  <si>
    <t xml:space="preserve">access_date</t>
  </si>
  <si>
    <t xml:space="preserve">price_class</t>
  </si>
  <si>
    <t xml:space="preserve">evidence_type</t>
  </si>
  <si>
    <t xml:space="preserve">price_date</t>
  </si>
  <si>
    <t xml:space="preserve">source_revision</t>
  </si>
  <si>
    <t xml:space="preserve">eur_net_unit</t>
  </si>
  <si>
    <t xml:space="preserve">PROP-E01</t>
  </si>
  <si>
    <t xml:space="preserve">ME-01|ME-02|ME-03</t>
  </si>
  <si>
    <t xml:space="preserve">engine_gearbox</t>
  </si>
  <si>
    <t xml:space="preserve">Volvo Penta</t>
  </si>
  <si>
    <t xml:space="preserve">D4-300 I + HS68A</t>
  </si>
  <si>
    <t xml:space="preserve">explicit HT; historical March 2023</t>
  </si>
  <si>
    <t xml:space="preserve">https://www.dbmoteurs.fr/sites/default/files/Volvo-Penta-tarifs-prix-achat-moteurs-2023-DB-Moteurs-motorisation-marine-bateau-plaisance.pdf</t>
  </si>
  <si>
    <t xml:space="preserve">https://www.dbmoteurs.fr/sites/default/files/Moteur-Volvo-Penta-D4-270-300-320-fiche-commerciale-2021-47711815-en.pdf</t>
  </si>
  <si>
    <t xml:space="preserve">580</t>
  </si>
  <si>
    <t xml:space="preserve">HISTORICAL_NET_REFERENCE|RFQ_REQUIRED|DUTY_OPEN</t>
  </si>
  <si>
    <t xml:space="preserve">300 metric hp crank / 289 prop shaft at3500rpm; R5; 24V option official but quoted configuration unspecified; HS68A ratio selection open; dimensions for HS85A must not be substituted; ME-03 partial only factory mounts where included: shaft/coupling/thrust unit quantities and price OPEN</t>
  </si>
  <si>
    <t xml:space="preserve">2026 availability unknown</t>
  </si>
  <si>
    <t xml:space="preserve">2026-09-11</t>
  </si>
  <si>
    <t xml:space="preserve">HISTORICAL_NOT_CURRENT</t>
  </si>
  <si>
    <t xml:space="preserve">PUBLIC_PRICE_NOT_KP</t>
  </si>
  <si>
    <t xml:space="preserve">2023-03</t>
  </si>
  <si>
    <t xml:space="preserve">deliverables/M02/v001/01_support/all-candidates.csv</t>
  </si>
  <si>
    <t xml:space="preserve">PROP-E02</t>
  </si>
  <si>
    <t xml:space="preserve">D4-300 I + HS85A</t>
  </si>
  <si>
    <t xml:space="preserve">1234</t>
  </si>
  <si>
    <t xml:space="preserve">848</t>
  </si>
  <si>
    <t xml:space="preserve">794</t>
  </si>
  <si>
    <t xml:space="preserve">605</t>
  </si>
  <si>
    <t xml:space="preserve">300 metric hp crank / 289 prop shaft; 3500rpm R5; 24V option price open; ratio2.500. L=433+801 W=441+407 H=274+520 from drawing; excludes projecting lifting eye/service space; not installation GA; ME-03 partial only factory mounts where included: shaft/coupling/thrust unit quantities and price OPEN</t>
  </si>
  <si>
    <t xml:space="preserve">PROP-E03</t>
  </si>
  <si>
    <t xml:space="preserve">D6-300 I + HS85A</t>
  </si>
  <si>
    <t xml:space="preserve">https://www.dbmoteurs.fr/sites/default/files/Moteur-Volvo-Penta-D6-300-340-380-fiche-commerciale-brochure-2021-47711891-fr-dbmoteurs.pdf</t>
  </si>
  <si>
    <t xml:space="preserve">1470</t>
  </si>
  <si>
    <t xml:space="preserve">690</t>
  </si>
  <si>
    <t xml:space="preserve">300 metric hp crank /289 prop shaft;3300rpm. 24V option price open; L=433+1037 W=441+407 H=274+520 drawing dimensions not installation/service envelope; lifting eye extends above dimension; ME-03 partial only factory mounts where included: shaft/coupling/thrust unit quantities and price OPEN</t>
  </si>
  <si>
    <t xml:space="preserve">PROP-E04</t>
  </si>
  <si>
    <t xml:space="preserve">FPT Industrial</t>
  </si>
  <si>
    <t xml:space="preserve">C90 410 rating D 300hp + gearbox RFQ</t>
  </si>
  <si>
    <t xml:space="preserve">RFQ_REQUIRED</t>
  </si>
  <si>
    <t xml:space="preserve">https://www.etruck.fi/shop-1</t>
  </si>
  <si>
    <t xml:space="preserve">https://www.fptindustrial.com/-/media/FPT/Brochures/Engines/MARINE/COMMERCIAL/Marine_Commercial_FR_2026.pdf?rev=-1</t>
  </si>
  <si>
    <t xml:space="preserve">1289</t>
  </si>
  <si>
    <t xml:space="preserve">861</t>
  </si>
  <si>
    <t xml:space="preserve">973</t>
  </si>
  <si>
    <t xml:space="preserve">950</t>
  </si>
  <si>
    <t xml:space="preserve">RFQ_REQUIRED|INCOMPLETE_PACKAGE|DUTY_COMPARISON_OPEN</t>
  </si>
  <si>
    <t xml:space="preserve">Official2026 220kW300hp@2000rpm ratingD heavy duty; gearbox unselected/unpriced; shown dimensions length to flywheel and mass ENGINE ONLY; not complete package envelope;24V option RFQ; ME-03 partial only factory mounts where included: shaft/coupling/thrust unit quantities and price OPEN</t>
  </si>
  <si>
    <t xml:space="preserve">No exact300hp package price found</t>
  </si>
  <si>
    <t xml:space="preserve">UNKNOWN</t>
  </si>
  <si>
    <t xml:space="preserve">PROP-G01</t>
  </si>
  <si>
    <t xml:space="preserve">generator</t>
  </si>
  <si>
    <t xml:space="preserve">Fischer Panda</t>
  </si>
  <si>
    <t xml:space="preserve">Panda12000x PMS</t>
  </si>
  <si>
    <t xml:space="preserve">explicit inc vat/ex vat pair</t>
  </si>
  <si>
    <t xml:space="preserve">20</t>
  </si>
  <si>
    <t xml:space="preserve">https://www.jpcdirect.com/product/fischer-panda-12000x-generator/</t>
  </si>
  <si>
    <t xml:space="preserve">https://www.onefischerpanda.com/marine/marine-generators/xseries-generators/panda-12000x-pms/</t>
  </si>
  <si>
    <t xml:space="preserve">705</t>
  </si>
  <si>
    <t xml:space="preserve">450</t>
  </si>
  <si>
    <t xml:space="preserve">590</t>
  </si>
  <si>
    <t xml:space="preserve">195</t>
  </si>
  <si>
    <t xml:space="preserve">CONDITIONAL_START_VOLTAGE|AC_COMPATIBILITY_OPEN|RATING_OPEN|UK_REFERENCE</t>
  </si>
  <si>
    <t xml:space="preserve">12kVA10.2kW nominal; Manel continuous10.8kVA9.2kW;50Hz230V +/-3V;12V starter;capsule included spec; verify exactJPCSKU/manufacturer0024660 and installation accessories; UK import/logistics not included; ME-19 partial factory cooling only: external seawater/exhaust runs and installation OPEN; JPC revision conflict H565 / additional700x470x580 and192kg vs OEM705x450x590/195kg: exactSKU CAD RFQ; OEM values retained</t>
  </si>
  <si>
    <t xml:space="preserve">Available on back-order; qty2 and lead time RFQ</t>
  </si>
  <si>
    <t xml:space="preserve">PROP-G02</t>
  </si>
  <si>
    <t xml:space="preserve">Kohler / Rehlko</t>
  </si>
  <si>
    <t xml:space="preserve">12EFKOZD</t>
  </si>
  <si>
    <t xml:space="preserve">https://www.jpcdirect.com/product/kohler-12-kilowatt-generator/</t>
  </si>
  <si>
    <t xml:space="preserve">https://techcomm.rehlko.com/techcomm/pdf/g2186.pdf</t>
  </si>
  <si>
    <t xml:space="preserve">1064</t>
  </si>
  <si>
    <t xml:space="preserve">652.5</t>
  </si>
  <si>
    <t xml:space="preserve">711</t>
  </si>
  <si>
    <t xml:space="preserve">385</t>
  </si>
  <si>
    <t xml:space="preserve">CONDITIONAL_CONFIGURATION|AC_COMPATIBILITY_OPEN|RATING_OPEN|UK_REFERENCE</t>
  </si>
  <si>
    <t xml:space="preserve">Singlephase115/230V50Hz:12kW12kVA continuous140C rise;11/11continuous115C;10.5/10.5prime. Official12or24V; JPC exactstarter/shield revision RFQ. Official shield mass385dry398wet; dealer406kg conflict. No borrowing US24V price scope; ME-19 partial factory cooling only: external seawater/exhaust runs and installation OPEN</t>
  </si>
  <si>
    <t xml:space="preserve">Available on back-order</t>
  </si>
  <si>
    <t xml:space="preserve">PROP-G03</t>
  </si>
  <si>
    <t xml:space="preserve">Volpi Tecno Energia</t>
  </si>
  <si>
    <t xml:space="preserve">Paguro12000V AP12023050M0</t>
  </si>
  <si>
    <t xml:space="preserve">direct page12446.50 +IVA; gross14935.80 labelled SK20% locale</t>
  </si>
  <si>
    <t xml:space="preserve">https://www.manelservice.com/it/gruppi-elettrogeni-marini/3925-vte-paguro-12000-v-ap12023050m0.html</t>
  </si>
  <si>
    <t xml:space="preserve">https://www.volpitecno.com/portfolio/paguro-12000-v-10-kw-2000-%C3%B7-3000-g-1/</t>
  </si>
  <si>
    <t xml:space="preserve">770</t>
  </si>
  <si>
    <t xml:space="preserve">460</t>
  </si>
  <si>
    <t xml:space="preserve">620</t>
  </si>
  <si>
    <t xml:space="preserve">180</t>
  </si>
  <si>
    <t xml:space="preserve">CONDITIONAL_START_VOLTAGE|AC_COMPATIBILITY_OPEN|REVISION_OPEN</t>
  </si>
  <si>
    <t xml:space="preserve">12kVA10kW continuous50Hz230V;12V starter;mass165capsule+15control electronics. Official dimensions capsule only; separate electronics footprint RFQ. Dealer/allpa dimensions/mass differ; exact SKU installationdrawing required. Published net directly not Polish VAT assumption; ME-19 partial factory cooling only: external seawater/exhaust runs and installation OPEN</t>
  </si>
  <si>
    <t xml:space="preserve">Manel Disponibile; qty2 and delivery date RFQ</t>
  </si>
  <si>
    <t xml:space="preserve">PROP-G04</t>
  </si>
  <si>
    <t xml:space="preserve">12EFKOZD24-SS</t>
  </si>
  <si>
    <t xml:space="preserve">USD</t>
  </si>
  <si>
    <t xml:space="preserve">not stated</t>
  </si>
  <si>
    <t xml:space="preserve">https://mmarineonline.com/products/kohler-marine-diesel-generator-24v-12efkozd-ss-50hz-with-sound-shield</t>
  </si>
  <si>
    <t xml:space="preserve">NO_NET|US_REFERENCE_ONLY|AC_COMPATIBILITY_OPEN|RATING_OPEN</t>
  </si>
  <si>
    <t xml:space="preserve">Alternative offer for G02 not fourthgenerator;24V plus shield explicitlySKU; tax/import/Poland availability unknown; price originalUSD noFX; ME-19 partial factory cooling only: external seawater/exhaust runs and installation OPEN</t>
  </si>
  <si>
    <t xml:space="preserve">Contradictory availability template; RFQ</t>
  </si>
  <si>
    <t xml:space="preserve">EL-INV-A</t>
  </si>
  <si>
    <t xml:space="preserve">inverter_charger</t>
  </si>
  <si>
    <t xml:space="preserve">Victron</t>
  </si>
  <si>
    <t xml:space="preserve">MultiPlus-II 24/3000/70-32 PMP242305010</t>
  </si>
  <si>
    <t xml:space="preserve">GROSS_RATE_CONFIRMED</t>
  </si>
  <si>
    <t xml:space="preserve">19</t>
  </si>
  <si>
    <t xml:space="preserve">https://www.svb.de/de/victron-wechselrichter-ladegeraet-multiplus-ii-24-v-3000-va-70-a.html</t>
  </si>
  <si>
    <t xml:space="preserve">https://www.victronenergy.com/media/pg/MultiPlus-II_230V/en/technical-specifications-mp-ii-230v.html</t>
  </si>
  <si>
    <t xml:space="preserve">141</t>
  </si>
  <si>
    <t xml:space="preserve">268</t>
  </si>
  <si>
    <t xml:space="preserve">499</t>
  </si>
  <si>
    <t xml:space="preserve">CONDITIONAL_3KVA_REFERENCE</t>
  </si>
  <si>
    <t xml:space="preserve">24 V input; factory 230 V. 3000 VA not 3000 W: 2400 W at25C/2200 W at40C; charger70 A. 2 devices architecture target, capacity unapproved.</t>
  </si>
  <si>
    <t xml:space="preserve">1 listed in stock; second unconfirmed</t>
  </si>
  <si>
    <t xml:space="preserve">MultiPlus-II GX 24/3000/70-32 PMP242306000</t>
  </si>
  <si>
    <t xml:space="preserve">https://www.victronenergy.com/media/pg/MultiPlus-II_GX/en/technical-specifications-mp-ii-gx-230v.html</t>
  </si>
  <si>
    <t xml:space="preserve">147</t>
  </si>
  <si>
    <t xml:space="preserve">275</t>
  </si>
  <si>
    <t xml:space="preserve">506</t>
  </si>
  <si>
    <t xml:space="preserve">24 V; factory230 V;2400 W at25C/2200 W at40C;70 A. GX monitoring differs; two GX units not required by yacht specification. Current manual geometry differs from catalogue: confirm revision.</t>
  </si>
  <si>
    <t xml:space="preserve">expected1-2weeks</t>
  </si>
  <si>
    <t xml:space="preserve">EL-INV-C</t>
  </si>
  <si>
    <t xml:space="preserve">Mastervolt</t>
  </si>
  <si>
    <t xml:space="preserve">CombiMaster 24/3000-60 230V 35023000</t>
  </si>
  <si>
    <t xml:space="preserve">https://www.svb.de/de/mastervolt-wechselrichter-ladegeraet-combimaster-24-v-3000-va-60-a.html?question_sort=oldest</t>
  </si>
  <si>
    <t xml:space="preserve">https://www.mastervolt.com/products/combimaster/combimaster-24-3000-60-230-v/</t>
  </si>
  <si>
    <t xml:space="preserve">155</t>
  </si>
  <si>
    <t xml:space="preserve">284</t>
  </si>
  <si>
    <t xml:space="preserve">448</t>
  </si>
  <si>
    <t xml:space="preserve">9.3</t>
  </si>
  <si>
    <t xml:space="preserve">CONDITIONAL_3KVA_NOT_EQUAL_W</t>
  </si>
  <si>
    <t xml:space="preserve">24 V; factory230 V;3000 VA/2600 W at40C;60 A charger;25 A transfer versus32 A Victron. Parallel operation not qualified.</t>
  </si>
  <si>
    <t xml:space="preserve">EL-ISO-A</t>
  </si>
  <si>
    <t xml:space="preserve">isolation_transformer</t>
  </si>
  <si>
    <t xml:space="preserve">3600 ITR040362042</t>
  </si>
  <si>
    <t xml:space="preserve">NET_EXPLICIT</t>
  </si>
  <si>
    <t xml:space="preserve">https://www.svb24.com/en/p/victron-isolation-transformer-3600-w-115-230-v.html</t>
  </si>
  <si>
    <t xml:space="preserve">https://www.victronenergy.com/upload/documents/Datasheet-Isolation-Transformers-EN.pdf</t>
  </si>
  <si>
    <t xml:space="preserve">221</t>
  </si>
  <si>
    <t xml:space="preserve">258</t>
  </si>
  <si>
    <t xml:space="preserve">362</t>
  </si>
  <si>
    <t xml:space="preserve">21.7</t>
  </si>
  <si>
    <t xml:space="preserve">CONDITIONAL_UNIT_BENCHMARK_DIMENSIONS_DEALER</t>
  </si>
  <si>
    <t xml:space="preserve">3.6 class; quantity and shore capacity unknown. Dimensions/mass from opened dealer data pending native drawing confirmation; no substitute of32A at115V for32A at230V.</t>
  </si>
  <si>
    <t xml:space="preserve">Mass GI3.5 88000355</t>
  </si>
  <si>
    <t xml:space="preserve">https://www.mastervolt.com/products/mass-gi/mass-gi-35-kva-16a-lightweight/</t>
  </si>
  <si>
    <t xml:space="preserve">144</t>
  </si>
  <si>
    <t xml:space="preserve">261</t>
  </si>
  <si>
    <t xml:space="preserve">340</t>
  </si>
  <si>
    <t xml:space="preserve">6</t>
  </si>
  <si>
    <t xml:space="preserve">CONDITIONAL_UNIT_BENCHMARK</t>
  </si>
  <si>
    <t xml:space="preserve">3500 VA at230 V;16 A;HF technology;source IP23 supersedes dealer IP21. Not complete shore protection.</t>
  </si>
  <si>
    <t xml:space="preserve">1 listed in stock</t>
  </si>
  <si>
    <t xml:space="preserve">EL-ISO-C</t>
  </si>
  <si>
    <t xml:space="preserve">WhisperPower</t>
  </si>
  <si>
    <t xml:space="preserve">GI3600 60110102</t>
  </si>
  <si>
    <t xml:space="preserve">GROSS_RATE_UNCONFIRMED</t>
  </si>
  <si>
    <t xml:space="preserve">https://www.hansenautic.de/36377/wp-gi-compact-galvanic-isolation-transformator-230v-16a-120v-32a/</t>
  </si>
  <si>
    <t xml:space="preserve">https://www.whisperpower.com/gi-3600-compact-galvanic-isolation-transformer</t>
  </si>
  <si>
    <t xml:space="preserve">208</t>
  </si>
  <si>
    <t xml:space="preserve">290</t>
  </si>
  <si>
    <t xml:space="preserve">380</t>
  </si>
  <si>
    <t xml:space="preserve">28.6</t>
  </si>
  <si>
    <t xml:space="preserve">CONDITIONAL_NET_PENDING_TAX</t>
  </si>
  <si>
    <t xml:space="preserve">3.6 kVA;230/110 V;16/32 A. Open page confirms VAT included but not rate: NET deliberately blank.</t>
  </si>
  <si>
    <t xml:space="preserve">availability on request</t>
  </si>
  <si>
    <t xml:space="preserve">EL-BAT-A</t>
  </si>
  <si>
    <t xml:space="preserve">service_battery</t>
  </si>
  <si>
    <t xml:space="preserve">Exide</t>
  </si>
  <si>
    <t xml:space="preserve">ER550 12V115Ah</t>
  </si>
  <si>
    <t xml:space="preserve">https://online-batterien.de/a/exide-er550-dual-versorgungsbatterie-starterbatterie-12v-115ah-550wh/400440</t>
  </si>
  <si>
    <t xml:space="preserve">https://www.exidegroup.com/en/document/ml-brochure-2022</t>
  </si>
  <si>
    <t xml:space="preserve">349</t>
  </si>
  <si>
    <t xml:space="preserve">175</t>
  </si>
  <si>
    <t xml:space="preserve">235</t>
  </si>
  <si>
    <t xml:space="preserve">28</t>
  </si>
  <si>
    <t xml:space="preserve">CONDITIONAL_115AH12V_NOT_OWNER_APPROVED</t>
  </si>
  <si>
    <t xml:space="preserve">Flooded. Owner only said115 amperes; Ah and unit voltage unconfirmed. 6 physical units; no bank wiring/capacity inferred. Deposit extra. Dealer350mm/29kg differs from brochure.</t>
  </si>
  <si>
    <t xml:space="preserve">not in stock</t>
  </si>
  <si>
    <t xml:space="preserve">Aquamot</t>
  </si>
  <si>
    <t xml:space="preserve">ALS12115 12V115Ah</t>
  </si>
  <si>
    <t xml:space="preserve">https://aquamot.at/wp-content/uploads/2018/02/Die-Batterie-Aquamot.pdf</t>
  </si>
  <si>
    <t xml:space="preserve">331</t>
  </si>
  <si>
    <t xml:space="preserve">176</t>
  </si>
  <si>
    <t xml:space="preserve">220</t>
  </si>
  <si>
    <t xml:space="preserve">33.7</t>
  </si>
  <si>
    <t xml:space="preserve">AGM dealer description; legacy manufacturer sheet includes GEL construction wording, chemistry/revision confirmation needed. Body height214mm total220mm; dealer header6.4kg rejected in favour33.7kg technical sheet.</t>
  </si>
  <si>
    <t xml:space="preserve">3-7days; abroad may vary</t>
  </si>
  <si>
    <t xml:space="preserve">EL-BAT-C</t>
  </si>
  <si>
    <t xml:space="preserve">AGM Telecom115Ah M8 BAT412105164</t>
  </si>
  <si>
    <t xml:space="preserve">21</t>
  </si>
  <si>
    <t xml:space="preserve">https://ab-marineservice.com/product/12v-115ah-agm-telecom-batt-m8/</t>
  </si>
  <si>
    <t xml:space="preserve">https://www.victronenergy.com/upload/documents/Datasheet-Telecom-batteries-EN.pdf</t>
  </si>
  <si>
    <t xml:space="preserve">395</t>
  </si>
  <si>
    <t xml:space="preserve">110</t>
  </si>
  <si>
    <t xml:space="preserve">293</t>
  </si>
  <si>
    <t xml:space="preserve">35</t>
  </si>
  <si>
    <t xml:space="preserve">12 V AGM front terminal;6 units only if owner confirms115Ah12V. No12V housebus inferred. Open page21% supersedes search19%.</t>
  </si>
  <si>
    <t xml:space="preserve">backorder3-5workingdays</t>
  </si>
  <si>
    <t xml:space="preserve">EL-DIST-A</t>
  </si>
  <si>
    <t xml:space="preserve">dc_distribution_module</t>
  </si>
  <si>
    <t xml:space="preserve">Lynx Distributor M8 LYN060102000</t>
  </si>
  <si>
    <t xml:space="preserve">https://www.dynastart.nl/lyn060102000-lynx-distributor-m8</t>
  </si>
  <si>
    <t xml:space="preserve">https://www.victronenergy.com/media/pg/Lynx_Distributor/en/technical-specifications-lynx-distributor.html</t>
  </si>
  <si>
    <t xml:space="preserve">170</t>
  </si>
  <si>
    <t xml:space="preserve">80</t>
  </si>
  <si>
    <t xml:space="preserve">2.2</t>
  </si>
  <si>
    <t xml:space="preserve">Supports24 V;1000 A product rating not yacht demand; four fuse ways, fuses/monitor supply and full installation separate. Source axis hxlxw=290x170x80; check drawing for orientation.</t>
  </si>
  <si>
    <t xml:space="preserve">in stock</t>
  </si>
  <si>
    <t xml:space="preserve">EL-DIST-B</t>
  </si>
  <si>
    <t xml:space="preserve">dc_distribution_panel</t>
  </si>
  <si>
    <t xml:space="preserve">Philippi</t>
  </si>
  <si>
    <t xml:space="preserve">STV207 020002071</t>
  </si>
  <si>
    <t xml:space="preserve">https://www.svb24.com/en/philippi-stv207-power-distribution-panel-configurable.html</t>
  </si>
  <si>
    <t xml:space="preserve">https://www.philippi-online.de/en/collections/serie_200-marine/products/stv-207</t>
  </si>
  <si>
    <t xml:space="preserve">70</t>
  </si>
  <si>
    <t xml:space="preserve">105</t>
  </si>
  <si>
    <t xml:space="preserve">210</t>
  </si>
  <si>
    <t xml:space="preserve">24 V compatible seven-circuit unit benchmark;10 A standard breakers not approved circuit ratings. DC accessory socket not permission for12V loads on24V. Mass not published. Not complete yacht switchboard.</t>
  </si>
  <si>
    <t xml:space="preserve">2 listed in stock</t>
  </si>
  <si>
    <t xml:space="preserve">EL-DIST-C</t>
  </si>
  <si>
    <t xml:space="preserve">ac_shore_distribution_panel</t>
  </si>
  <si>
    <t xml:space="preserve">LAE113 010001130</t>
  </si>
  <si>
    <t xml:space="preserve">https://www.svb24.com/en/philippi-lae-113-shore-connection-unit.html</t>
  </si>
  <si>
    <t xml:space="preserve">https://www.philippi-online.de/en/products/lae-113</t>
  </si>
  <si>
    <t xml:space="preserve">100</t>
  </si>
  <si>
    <t xml:space="preserve">260</t>
  </si>
  <si>
    <t xml:space="preserve">185</t>
  </si>
  <si>
    <t xml:space="preserve">Factory230 V50Hz panel benchmark for220VAC target;16A/30mA RCBO and3two-pole10A circuits per official description. Not full multi-source AC switchboard; mass unknown.</t>
  </si>
  <si>
    <t xml:space="preserve">remote_battery_switch</t>
  </si>
  <si>
    <t xml:space="preserve">Blue Sea</t>
  </si>
  <si>
    <t xml:space="preserve">ML-RBS7702 24V</t>
  </si>
  <si>
    <t xml:space="preserve">https://www.bluesea.com/products/7702/ML-RBS_Remote_Battery_Switch_with_Manual_Control_-_24V_DC_500A</t>
  </si>
  <si>
    <t xml:space="preserve">0.95</t>
  </si>
  <si>
    <t xml:space="preserve">Manual override;24V coil;500A continuous product rating. Quantity, control failover, crank duty and24V live switching not qualified; dimensions drawing pending.</t>
  </si>
  <si>
    <t xml:space="preserve">9 listed in stock</t>
  </si>
  <si>
    <t xml:space="preserve">EL-REM-B</t>
  </si>
  <si>
    <t xml:space="preserve">remote_solenoid</t>
  </si>
  <si>
    <t xml:space="preserve">7703 24V</t>
  </si>
  <si>
    <t xml:space="preserve">https://www.svb24.com/en/blue-sea-universal-solenoid-switch-24-v.html</t>
  </si>
  <si>
    <t xml:space="preserve">https://d2pyqm2yd3fw2i.cloudfront.net/files/resources/instructions/990180170-006.pdf</t>
  </si>
  <si>
    <t xml:space="preserve">Solenoid unit benchmark without manual override of7702; not automatic equivalent. Physical dimensions/mass unverified. No assertion reserve-start scheme works.</t>
  </si>
  <si>
    <t xml:space="preserve">EL-OPEN-PUMP</t>
  </si>
  <si>
    <t xml:space="preserve">independent_ac_pump_channel</t>
  </si>
  <si>
    <t xml:space="preserve">UNSIZED</t>
  </si>
  <si>
    <t xml:space="preserve">function</t>
  </si>
  <si>
    <t xml:space="preserve">OPEN_LOAD_AND_STARTUP</t>
  </si>
  <si>
    <t xml:space="preserve">1 independent function, not necessarily extra inverter. Select after pump running power/start waveform/duty; avoid double counting ME05.</t>
  </si>
  <si>
    <t xml:space="preserve">NOT_CONFIRMED</t>
  </si>
  <si>
    <t xml:space="preserve">engine_start_battery</t>
  </si>
  <si>
    <t xml:space="preserve">OPEN_START_VOLTAGE_CCA</t>
  </si>
  <si>
    <t xml:space="preserve">1 physical owner battery, capacity/voltage/chemistry unknown. Not automatically ER550 or service115Ah.</t>
  </si>
  <si>
    <t xml:space="preserve">generator_start_battery</t>
  </si>
  <si>
    <t xml:space="preserve">2 physical owner batteries for2generators; capacity/voltage/CCA unknown; keep9total with6service+1main. No fictitious unit price.</t>
  </si>
  <si>
    <t xml:space="preserve">WC-RO-01</t>
  </si>
  <si>
    <t xml:space="preserve">RO150</t>
  </si>
  <si>
    <t xml:space="preserve">Aquatec</t>
  </si>
  <si>
    <t xml:space="preserve">AC150 230V single phase</t>
  </si>
  <si>
    <t xml:space="preserve">EXPLICIT_NET_AND_19_PERCENT_GROSS</t>
  </si>
  <si>
    <t xml:space="preserve">https://www.aquatec-watermaker.de/wassermacher-produkt-ac150-ac240.html</t>
  </si>
  <si>
    <t xml:space="preserve">FUNCTION_PARITY_OPEN;220V_COMPATIBILITY_OPEN</t>
  </si>
  <si>
    <t xml:space="preserve">150 L/h nominal ±10% at25C/35000ppm; modular conventional HP pump; base price only: automatic flush/salinity/reject parity must be itemised; generator minimum4kW manufacturer target, not electrical demand or selection</t>
  </si>
  <si>
    <t xml:space="preserve">Schenker</t>
  </si>
  <si>
    <t xml:space="preserve">ZEN150 24V/230V Touch plus salinity/reject</t>
  </si>
  <si>
    <t xml:space="preserve">FROM_GROSS_EXPLICIT_20_PERCENT</t>
  </si>
  <si>
    <t xml:space="preserve">https://schenkerwatermakers.com/wp-content/uploads/2025/03/ZEN150_datasheet_v4.pdf</t>
  </si>
  <si>
    <t xml:space="preserve">FROM_PRICE_NOT_CONFIGURED;RFQ_REQUIRED</t>
  </si>
  <si>
    <t xml:space="preserve">Observed FROM base price; net is FROM benchmark only, NOT complete Touch/salinity/reject price. Nominal150L/h. Manufacturer230V±15% includes220V. Basic has no salinity; Touch optional; 24V variant permitted. Modular unit dimensions not total installed envelope.</t>
  </si>
  <si>
    <t xml:space="preserve">Out of stock; order lead time on request</t>
  </si>
  <si>
    <t xml:space="preserve">WC-RO-03</t>
  </si>
  <si>
    <t xml:space="preserve">Osmosea</t>
  </si>
  <si>
    <t xml:space="preserve">NEW12 150C 24V</t>
  </si>
  <si>
    <t xml:space="preserve">https://www.manelservice.com/en/marine-desalination-systems/17102-osmosea-new12-150c-nautical-watermaker-150-lth.html</t>
  </si>
  <si>
    <t xml:space="preserve">https://osmosea.it/en/new-12/</t>
  </si>
  <si>
    <t xml:space="preserve">63</t>
  </si>
  <si>
    <t xml:space="preserve">RFQ_REQUIRED;COMPACT_CANDIDATE</t>
  </si>
  <si>
    <t xml:space="preserve">Official150L/h/600W; flush/salinometer/unsafe-water discard included. Official63kg conflicts dealer65kg; dimensions dealer796x317x408 not official therefore blank. Dealer install/service kits included vs manufacturer optional: reconcile</t>
  </si>
  <si>
    <t xml:space="preserve">WC-DC-01</t>
  </si>
  <si>
    <t xml:space="preserve">FRESHWATER_24V</t>
  </si>
  <si>
    <t xml:space="preserve">CEM</t>
  </si>
  <si>
    <t xml:space="preserve">OSC-16.062.24 / OEM identity reconcile</t>
  </si>
  <si>
    <t xml:space="preserve">EXPLICIT_HT</t>
  </si>
  <si>
    <t xml:space="preserve">https://www.comptoirnautique.com/groupe-d-eau-a-pressostat/53022-cem-elettromeccanica-autoclave-cem-vase-expansion-inox-20l-24v-50-l-min.html</t>
  </si>
  <si>
    <t xml:space="preserve">https://cempumps.com/wp-content/uploads/2024/10/Autoclavi_20L-20X.pdf</t>
  </si>
  <si>
    <t xml:space="preserve">WORKING_POINT_AND_OEM_ID_OPEN</t>
  </si>
  <si>
    <t xml:space="preserve">24V20L accumulator; dealer50L/min max; source model mapping not proven. Common proposed test15L/min at2bar NOT verified. Do not add included tank again.</t>
  </si>
  <si>
    <t xml:space="preserve">Preorder; replenishment23/09/2026</t>
  </si>
  <si>
    <t xml:space="preserve">Gianneschi</t>
  </si>
  <si>
    <t xml:space="preserve">EcoInox1 GE011 24V20L</t>
  </si>
  <si>
    <t xml:space="preserve">https://www.gianneschipumps.com/GIANNESCHI_Brochure-web.pdf</t>
  </si>
  <si>
    <t xml:space="preserve">WORKING_POINT_OPEN</t>
  </si>
  <si>
    <t xml:space="preserve">45L/min max; common proposed15L/min at2bar needs curve. Includes20L tank/gauge/pressure switch; current OEM revision confirmation.</t>
  </si>
  <si>
    <t xml:space="preserve">In stock48/72h</t>
  </si>
  <si>
    <t xml:space="preserve">WC-DC-03</t>
  </si>
  <si>
    <t xml:space="preserve">ENAG</t>
  </si>
  <si>
    <t xml:space="preserve">GH24-0.37-24L-OT RB18-ED</t>
  </si>
  <si>
    <t xml:space="preserve">https://www.enag.fr/english/wp-content/uploads/sites/5/2022/11/FC-GH-EN-C.pdf</t>
  </si>
  <si>
    <t xml:space="preserve">29</t>
  </si>
  <si>
    <t xml:space="preserve">RFQ_REQUIRED;WORKING_POINT_OPEN</t>
  </si>
  <si>
    <t xml:space="preserve">Official24V/0.37kW; 1m3/h at30m published point; pressure switch1.5/2.5bar.24L tank differs20L competitors: standardise accumulator scope before comparison. Dimensions drawing orientation not mapped into LWH.</t>
  </si>
  <si>
    <t xml:space="preserve">WC-AC-01</t>
  </si>
  <si>
    <t xml:space="preserve">FRESHWATER_AC</t>
  </si>
  <si>
    <t xml:space="preserve">J-INOX/20X 230M</t>
  </si>
  <si>
    <t xml:space="preserve">RFQ_REQUIRED;220V_COMPATIBILITY_OPEN;WORKING_POINT_OPEN</t>
  </si>
  <si>
    <t xml:space="preserve">Official230V singlephase variant exists. Proposedcommon15L/min at2bar not accepted from maxflow.20L stainless tank included. No price borrowed from24V sibling.</t>
  </si>
  <si>
    <t xml:space="preserve">EcoInox2 GE017 230V20L</t>
  </si>
  <si>
    <t xml:space="preserve">220V_COMPATIBILITY_OPEN;WORKING_POINT_OPEN</t>
  </si>
  <si>
    <t xml:space="preserve">Open page1052.50HT supersedes search992.50. Dealer max55L/min conflicts Kent45: curves required.0.45kW/20L; common15L/min at2bar not verified.</t>
  </si>
  <si>
    <t xml:space="preserve">Stock1–6businessdays</t>
  </si>
  <si>
    <t xml:space="preserve">WC-AC-03</t>
  </si>
  <si>
    <t xml:space="preserve">GH230mono-0.37-24L-JET M-ED</t>
  </si>
  <si>
    <t xml:space="preserve">18</t>
  </si>
  <si>
    <t xml:space="preserve">Explicit230V singlephase; official1m3/h at40m, pressure switch1.5/2.5bar.24L accumulator vs20L needs standardisation; no equivalence claim.</t>
  </si>
  <si>
    <t xml:space="preserve">WC-CH-01</t>
  </si>
  <si>
    <t xml:space="preserve">CHILLER_REFERENCE_16000BTUH</t>
  </si>
  <si>
    <t xml:space="preserve">Thermowell</t>
  </si>
  <si>
    <t xml:space="preserve">UC16H</t>
  </si>
  <si>
    <t xml:space="preserve">GROSS_EXPLICIT_ALV25.5</t>
  </si>
  <si>
    <t xml:space="preserve">25.5</t>
  </si>
  <si>
    <t xml:space="preserve">https://www.esconet.fi/shop/uc16h-thermowell-uc16h-ilmastointilaite-chiller-230v-16000btu-27518</t>
  </si>
  <si>
    <t xml:space="preserve">https://www.thermowellmarine.com/wp-content/uploads/2023/04/THERMOWELL-2023_rev1_apr_web.pdf</t>
  </si>
  <si>
    <t xml:space="preserve">350</t>
  </si>
  <si>
    <t xml:space="preserve">38</t>
  </si>
  <si>
    <t xml:space="preserve">REFERENCE_SIZE_ONLY;VOLTAGE_REVISION_CHECK;SUPPLY_SCOPE_CONFLICT_RFQ</t>
  </si>
  <si>
    <t xml:space="preserve">16000BTU/h each; illustrative class NOT yacht heatload. Officialcatalog220/1/50; dealer230V. Dimensions exclude controlbox. OEM catalogue says box/display included BUT priced Esco SKU requires airhandler/controlpanel separately: inclusion CONFLICT, RFQ required; do not assume included display.1.5kWnominput at catalogue conditions; independent2module integration open.</t>
  </si>
  <si>
    <t xml:space="preserve">Esco stock0; supplier availability unknown</t>
  </si>
  <si>
    <t xml:space="preserve">Climma</t>
  </si>
  <si>
    <t xml:space="preserve">CWS Aquacontrol161RC 230/1/50</t>
  </si>
  <si>
    <t xml:space="preserve">EXPLICIT_TAX_EXCLUDED</t>
  </si>
  <si>
    <t xml:space="preserve">https://www.veco.net/en/prodotti/climma-cws-aquacontrol-chillers/</t>
  </si>
  <si>
    <t xml:space="preserve">REFERENCE_SIZE_ONLY;220V_COMPATIBILITY_OPEN</t>
  </si>
  <si>
    <t xml:space="preserve">16000BTU/h each; reversecycle. Price recovered live requests HTTP200 after web429; local source text retained. OEM dimensions require authenticated download; old dealerPDF not promoted.</t>
  </si>
  <si>
    <t xml:space="preserve">Last items;1–2businessdays claim</t>
  </si>
  <si>
    <t xml:space="preserve">WC-CH-03</t>
  </si>
  <si>
    <t xml:space="preserve">Webasto</t>
  </si>
  <si>
    <t xml:space="preserve">BlueCool C16M</t>
  </si>
  <si>
    <t xml:space="preserve">https://www.nauticsale.com/en/airconditioning/bluecool-chiller-systems/bluecool-c-series-chillers/</t>
  </si>
  <si>
    <t xml:space="preserve">https://www.webasto.com/en-us/cooling/marine-chiller-air-conditioning-units/bluecool-c-series.html</t>
  </si>
  <si>
    <t xml:space="preserve">30</t>
  </si>
  <si>
    <t xml:space="preserve">RFQ_REQUIRED;REFERENCE_SIZE_ONLY;220V_COMPATIBILITY_OPEN</t>
  </si>
  <si>
    <t xml:space="preserve">16000BTU/h each; officialcurrentdimensions. Older F-suffix dealerweight differs: revision match required.3pricepaths found no verified EU net exactSKU; no US price conversion.</t>
  </si>
  <si>
    <t xml:space="preserve">WC-HW-01</t>
  </si>
  <si>
    <t xml:space="preserve">BOILER_REFERENCE_40L</t>
  </si>
  <si>
    <t xml:space="preserve">Quick</t>
  </si>
  <si>
    <t xml:space="preserve">B3 40L1200W FLB34012S000A00</t>
  </si>
  <si>
    <t xml:space="preserve">https://www.tyboat.com/achat/P-8889-quick-chauffe-eau-cylindrique-b3-40-litres-220-volts-1200-watts.html</t>
  </si>
  <si>
    <t xml:space="preserve">https://www.quickitaly.com/it/prodotti/scalda-acqua/scalda-acqua/nautic-boiler-b3/</t>
  </si>
  <si>
    <t xml:space="preserve">UNIT_BENCHMARK_ONLY;QTY_OPEN</t>
  </si>
  <si>
    <t xml:space="preserve">40L1200W220V plus engine heat exchanger common illustrative class; not owner size. Supplier dimensions/mass in research only pending official drawing. Thermostatic mixing equalise separately.</t>
  </si>
  <si>
    <t xml:space="preserve">BX 40L1200W FLBX4012S000A00</t>
  </si>
  <si>
    <t xml:space="preserve">https://www.quickitaly.com/it/prodotti/scalda-acqua/scalda-acqua/nautic-boiler-bx/</t>
  </si>
  <si>
    <t xml:space="preserve">WC-HW-03</t>
  </si>
  <si>
    <t xml:space="preserve">BXS 40L1200W FLBXS4012S00A00</t>
  </si>
  <si>
    <t xml:space="preserve">https://www.tyboat.com/achat/P-18237-quick-chauffe-eau-cube-inox-bxs-40-litres-220-volts-1200-watts.html</t>
  </si>
  <si>
    <t xml:space="preserve">https://www.quickitaly.com/it/prodotti/scalda-acqua/scalda-acqua/nautic-boiler-bxs/</t>
  </si>
  <si>
    <t xml:space="preserve">HVAC_PUMP</t>
  </si>
  <si>
    <t xml:space="preserve">Frigomar</t>
  </si>
  <si>
    <t xml:space="preserve">NH150PS SWM0150230</t>
  </si>
  <si>
    <t xml:space="preserve">https://www.frigomar.com/en/product-line/</t>
  </si>
  <si>
    <t xml:space="preserve">UNIT_BENCHMARK_ONLY;CURVE_AND_220V_OPEN</t>
  </si>
  <si>
    <t xml:space="preserve">230V50/60Hz magneticdrive; count and pump duty notfixed. No proof this model meets both seawater and chilledwater circuits; official detailed curve required.</t>
  </si>
  <si>
    <t xml:space="preserve">Preorder; replenishment19/09/2026</t>
  </si>
  <si>
    <t xml:space="preserve">WC-AUX-02</t>
  </si>
  <si>
    <t xml:space="preserve">THERMOSTATIC_MIXING</t>
  </si>
  <si>
    <t xml:space="preserve">QB002 mixing kit</t>
  </si>
  <si>
    <t xml:space="preserve">https://www.kent-marine.com/fr/produit/35262/chauffe-eau-cylindrique-40l-220v-1200w.html</t>
  </si>
  <si>
    <t xml:space="preserve">https://www.quickitaly.com/it/prodotti/scalda-acqua/</t>
  </si>
  <si>
    <t xml:space="preserve">PUBLIC_LIST_UNIT_BENCHMARK</t>
  </si>
  <si>
    <t xml:space="preserve">Observed linked accessory publicHT price; count unknown; confirm inclusion in selected calorifier supply.</t>
  </si>
  <si>
    <t xml:space="preserve">Not confirmed</t>
  </si>
  <si>
    <t xml:space="preserve">WC-AUX-03</t>
  </si>
  <si>
    <t xml:space="preserve">FRESHWATER_FILTER</t>
  </si>
  <si>
    <t xml:space="preserve">Jabsco</t>
  </si>
  <si>
    <t xml:space="preserve">Pumpgard36400-0002 / substitution46400-0000</t>
  </si>
  <si>
    <t xml:space="preserve">TAX_NOT_PROVEN</t>
  </si>
  <si>
    <t xml:space="preserve">https://www.marine-impact.com/groupe-d-eau/313-filtre-en-ligne-pumpgard-o13-mm-jabsco.html</t>
  </si>
  <si>
    <t xml:space="preserve">https://www.xylem.com/siteassets/brand/jabsco/resources/manual/36800-technical-data-sheet.pdf</t>
  </si>
  <si>
    <t xml:space="preserve">UNIT_BENCHMARK_GROSS_UNKNOWN;NET_WITHHELD</t>
  </si>
  <si>
    <t xml:space="preserve">Observedprice; no explicit taxbasis verified so net blank.13mm40mesh strainer not sanitary treatment and not dimensioned for proposedpressurestation.</t>
  </si>
  <si>
    <t xml:space="preserve">Web listing</t>
  </si>
  <si>
    <t xml:space="preserve">A01</t>
  </si>
  <si>
    <t xml:space="preserve">Бак гидравлики</t>
  </si>
  <si>
    <t xml:space="preserve">Vetus</t>
  </si>
  <si>
    <t xml:space="preserve">HT1010</t>
  </si>
  <si>
    <t xml:space="preserve">https://www.vetus-shop.com/aluminium-hydraulic-tank-70-incl-ht1013-p-2024.html</t>
  </si>
  <si>
    <t xml:space="preserve">https://webshop.vetus.com/nl/products/power-hydraulics/hydraulische-tanks</t>
  </si>
  <si>
    <t xml:space="preserve">PARTIAL_HYDRAULIC_NOT_COMPLETE</t>
  </si>
  <si>
    <t xml:space="preserve">70л; HT1013 включён. Цена бака с частью управления, не станции. 615×475×360мм у продавца — только голый бак без клапанов, не монтажный габарит.</t>
  </si>
  <si>
    <t xml:space="preserve">Out of Stock</t>
  </si>
  <si>
    <t xml:space="preserve">A02</t>
  </si>
  <si>
    <t xml:space="preserve">Насос гидравлики</t>
  </si>
  <si>
    <t xml:space="preserve">HT1016SD2</t>
  </si>
  <si>
    <t xml:space="preserve">https://www.vetus-shop.com/vetus-power-hydraulics-c-21_210.html</t>
  </si>
  <si>
    <t xml:space="preserve">45см³/оборот; ориентация/SAE/привод и требуемый расход не выбраны. Не три уровня насосов разного размера.</t>
  </si>
  <si>
    <t xml:space="preserve">Не подтверждено</t>
  </si>
  <si>
    <t xml:space="preserve">A03</t>
  </si>
  <si>
    <t xml:space="preserve">Охладитель масла</t>
  </si>
  <si>
    <t xml:space="preserve">HT301132</t>
  </si>
  <si>
    <t xml:space="preserve">Шланг32мм; теплоотдача/забортный контур требуют проверки; не доказана необходимость именно этого размера.</t>
  </si>
  <si>
    <t xml:space="preserve">A04</t>
  </si>
  <si>
    <t xml:space="preserve">Клапан якорной лебёдки</t>
  </si>
  <si>
    <t xml:space="preserve">HT102312</t>
  </si>
  <si>
    <t xml:space="preserve">Один тип клапана; не весь блок гидролебёдок, количество потребителей открыто.</t>
  </si>
  <si>
    <t xml:space="preserve">A05</t>
  </si>
  <si>
    <t xml:space="preserve">Управление нагрузкой</t>
  </si>
  <si>
    <t xml:space="preserve">HT1011</t>
  </si>
  <si>
    <t xml:space="preserve">Одноступенчатый load sensing; пригодность к общей системе открыта.</t>
  </si>
  <si>
    <t xml:space="preserve">A06</t>
  </si>
  <si>
    <t xml:space="preserve">Клапан подруливающего</t>
  </si>
  <si>
    <t xml:space="preserve">HT1013</t>
  </si>
  <si>
    <t xml:space="preserve">INCLUDED_COMPONENT_DO_NOT_ADD</t>
  </si>
  <si>
    <t xml:space="preserve">Уже входит в HT1010; отдельная цена только для дополнительного потребителя, не прибавлять повторно.</t>
  </si>
  <si>
    <t xml:space="preserve">Общая гидросистема</t>
  </si>
  <si>
    <t xml:space="preserve">Sleipner</t>
  </si>
  <si>
    <t xml:space="preserve">Load-sensing system / bulkhead tank 40L</t>
  </si>
  <si>
    <t xml:space="preserve">https://info.sleipnergroup.com/hubfs/Side-Power_Hydraulic_AC_Thrusters_2020.pdf</t>
  </si>
  <si>
    <t xml:space="preserve">870</t>
  </si>
  <si>
    <t xml:space="preserve">330</t>
  </si>
  <si>
    <t xml:space="preserve">55</t>
  </si>
  <si>
    <t xml:space="preserve">RFQ_REQUIRED_TECH_OPEN</t>
  </si>
  <si>
    <t xml:space="preserve">Справочный габарит настенного танк-модуля из каталога2020; с блоком одного подруливающего, без всей установки. Ещё100мм для замены фильтра. Нужны текущийCAD и расчёт всех потребителей.</t>
  </si>
  <si>
    <t xml:space="preserve">A08</t>
  </si>
  <si>
    <t xml:space="preserve">Палубная гидростанция</t>
  </si>
  <si>
    <t xml:space="preserve">Harken</t>
  </si>
  <si>
    <t xml:space="preserve">Hydro 2</t>
  </si>
  <si>
    <t xml:space="preserve">https://gallery.harken.com/gallery/3d369089-1f35-489d-8b71-ab3020e962a1.pdf</t>
  </si>
  <si>
    <t xml:space="preserve">491</t>
  </si>
  <si>
    <t xml:space="preserve">341</t>
  </si>
  <si>
    <t xml:space="preserve">567.7</t>
  </si>
  <si>
    <t xml:space="preserve">63.5</t>
  </si>
  <si>
    <t xml:space="preserve">RFQ_REQUIRED_THRUSTER_CAPABILITY_OPEN</t>
  </si>
  <si>
    <t xml:space="preserve">30л,2мотора24V4kW; стандартная помпа15л/мин140бар. Не доказана пригодность для подруливающих; не назначать резервное питание от6АКБ дорасчёта тока.</t>
  </si>
  <si>
    <t xml:space="preserve">Дуплексный топливный фильтр</t>
  </si>
  <si>
    <t xml:space="preserve">Parker Racor</t>
  </si>
  <si>
    <t xml:space="preserve">75500MAXM30</t>
  </si>
  <si>
    <t xml:space="preserve">GROSS_RATE_VERIFIED</t>
  </si>
  <si>
    <t xml:space="preserve">https://www.parker.com/content/dam/Parker-com/Literature/Racor-Europe/FDRB544UK_BRO_Distribution_Solution_Brochure-_Racor_Europe.pdf</t>
  </si>
  <si>
    <t xml:space="preserve">PRICE_VARIATION_RECONFIRM_TECH_OPEN</t>
  </si>
  <si>
    <t xml:space="preserve">Root open2612.00gross/19%=2194.96NET; повторное открытие независимым агентом2199.90gross/19%=1848.66NET. Принято последнее наблюдение, расхождение сохранено; подтвердить цену до сравнения. Дуплексный узел, микроны/расход одной ветви под двигатель.</t>
  </si>
  <si>
    <t xml:space="preserve">1 in stock</t>
  </si>
  <si>
    <t xml:space="preserve">A10</t>
  </si>
  <si>
    <t xml:space="preserve">Фильтр забортной воды</t>
  </si>
  <si>
    <t xml:space="preserve">FTR330/32</t>
  </si>
  <si>
    <t xml:space="preserve">https://www.vetus-shop.com/vetus-raw-water-strainer-type-330-and21632mm-p-1026.html</t>
  </si>
  <si>
    <t xml:space="preserve">UNIT_BENCHMARK_TECH_OPEN</t>
  </si>
  <si>
    <t xml:space="preserve">Типоразмер32мм только ориентир; диаметр и положение относительно ватерлинии по выбранному агрегату.</t>
  </si>
  <si>
    <t xml:space="preserve">10+ in stock</t>
  </si>
  <si>
    <t xml:space="preserve">FTR33032M</t>
  </si>
  <si>
    <t xml:space="preserve">NET явно exclusiefBTW; усиленная версия с металлической крышкой. Сравнение с FTR330/32 требует одинаковых давления/установочного положения.</t>
  </si>
  <si>
    <t xml:space="preserve">Электрический осушительный насос</t>
  </si>
  <si>
    <t xml:space="preserve">Rule</t>
  </si>
  <si>
    <t xml:space="preserve">2000 GPH / model12 /24V</t>
  </si>
  <si>
    <t xml:space="preserve">https://www.xylem.com/siteassets/brand/rule/resources/technical-brochure/standard-bilge-pumps-model-number-table.pdf</t>
  </si>
  <si>
    <t xml:space="preserve">108</t>
  </si>
  <si>
    <t xml:space="preserve">152</t>
  </si>
  <si>
    <t xml:space="preserve">Габариты из официальной таблицы, у дилера155×105 отличаются; сверить ревизию. Не вся система осушения; поплавок/сигнализация отдельно.</t>
  </si>
  <si>
    <t xml:space="preserve">Ручной осушительный насос</t>
  </si>
  <si>
    <t xml:space="preserve">Whale</t>
  </si>
  <si>
    <t xml:space="preserve">Gusher Urchin BP9005</t>
  </si>
  <si>
    <t xml:space="preserve">Ориентир цены ручного насоса; не назначенный главный аварийный насос67ft, расход/напор/доступ проверить.</t>
  </si>
  <si>
    <t xml:space="preserve">Датчик/сигнализация высокой воды</t>
  </si>
  <si>
    <t xml:space="preserve">32ALA /24V</t>
  </si>
  <si>
    <t xml:space="preserve">Цена связанного товара открытой карточки; состав сигнализации и число отсеков открыты.</t>
  </si>
  <si>
    <t xml:space="preserve">Вентиляция МО</t>
  </si>
  <si>
    <t xml:space="preserve">35770-0094 /24V</t>
  </si>
  <si>
    <t xml:space="preserve">SEARCH_ONLY_NET_CLAIM</t>
  </si>
  <si>
    <t xml:space="preserve">https://www.xylem.com/siteassets/brand/jabsco/resources/manual/357x0-technical-data-sheet.pdf</t>
  </si>
  <si>
    <t xml:space="preserve">3.18</t>
  </si>
  <si>
    <t xml:space="preserve">PRICE_NOT_ADMITTED_AVAILABILITY_HOLD</t>
  </si>
  <si>
    <t xml:space="preserve">Поиск224.42exVAT, открытиеchallenge. Раздел дилера предупреждаетhold EU compliance. NET поле пусто; не считать доступным. Официально7м³/мин свободныйрасход, требуемыйнапорнепроверен.</t>
  </si>
  <si>
    <t xml:space="preserve">CHECK_AVAILABILITY / category EU hold</t>
  </si>
  <si>
    <t xml:space="preserve">Насос смены масла</t>
  </si>
  <si>
    <t xml:space="preserve">Marco</t>
  </si>
  <si>
    <t xml:space="preserve">UP3/OIL 16402013 /24V</t>
  </si>
  <si>
    <t xml:space="preserve">https://items.marco.it/en/md_productpdf/index/generate/product/253/store/2/</t>
  </si>
  <si>
    <t xml:space="preserve">Только насос; коллектор3агрегатов,шланги,поддоны,свет и автоматика не включены.</t>
  </si>
  <si>
    <t xml:space="preserve">A17</t>
  </si>
  <si>
    <t xml:space="preserve">Датчик уровня танка</t>
  </si>
  <si>
    <t xml:space="preserve">SENSOR320</t>
  </si>
  <si>
    <t xml:space="preserve">Длина320мм исследовательская; не утверждена глубина/число танков. Цена связанного товара, отдельный индикатор не включён.</t>
  </si>
  <si>
    <t xml:space="preserve">SENSORA</t>
  </si>
  <si>
    <t xml:space="preserve">Ультразвуковой аналоговый датчик; работа в конкретном танке и интерфейс подлежат проверке. Не цена танка.</t>
  </si>
  <si>
    <t xml:space="preserve">Откачка сточного танка</t>
  </si>
  <si>
    <t xml:space="preserve">18590-2094 /24V</t>
  </si>
  <si>
    <t xml:space="preserve">24V; только насос сточного танка. Пересечение с комплектом туалета проверять; число танков не назначено.</t>
  </si>
  <si>
    <t xml:space="preserve">In Stock Plymouth</t>
  </si>
  <si>
    <t xml:space="preserve">Стационарное пожаротушение</t>
  </si>
  <si>
    <t xml:space="preserve">Fireboy</t>
  </si>
  <si>
    <t xml:space="preserve">MA series 31.620.55</t>
  </si>
  <si>
    <t xml:space="preserve">https://fireboy.com/ma2-fire-extinguisher/</t>
  </si>
  <si>
    <t xml:space="preserve">PRICE_NOT_ADMITTED_VOLUME_AND_VARIANT_OPEN</t>
  </si>
  <si>
    <t xml:space="preserve">Поиск1950NET, открытиеошибка. Заголовок51м³, таблица15.6м³ противоречат; модель/заряд не выбраны. Нельзя уменьшать заряд ради габарита. Отключение двигателей/вентиляции и ручнойпуск по отдельномуBOM.</t>
  </si>
  <si>
    <t xml:space="preserve">A21</t>
  </si>
  <si>
    <t xml:space="preserve">Дополнительное водяное отопление</t>
  </si>
  <si>
    <t xml:space="preserve">Thermo Pro90 Marine 24V /9029943C</t>
  </si>
  <si>
    <t xml:space="preserve">NET_LABEL_CONFLICT</t>
  </si>
  <si>
    <t xml:space="preserve">https://www.standkachel.nu/webasto-air-and-water-heaters-and/webasto-waterkachels-thermotop-spheros-dbw-valeo/webasto-marine-waterheaters-for-thermo-pro-90-24-volt/webasto-thermo-chiller--pro-90-marine-24-volt-</t>
  </si>
  <si>
    <t xml:space="preserve">OPTIONAL_PRICE_NOT_ADMITTED_TAX_CONFLICT</t>
  </si>
  <si>
    <t xml:space="preserve">Открытая карточка маркирует2007.16NET, показывает2161.71sale/2543.18list: арифметика налоговойпары неясна. Неиспользоватьвранжировании; отоплениеещёопция, нечиллеркондиционирования.</t>
  </si>
  <si>
    <t xml:space="preserve">A22</t>
  </si>
  <si>
    <t xml:space="preserve">Thermo Pro90 Marine 24V /4111185A</t>
  </si>
  <si>
    <t xml:space="preserve">https://www.butlertechnik.com/item/Webasto/Thermo-Pro-90-24v-Marine-Kit-With-Switch-91kW-4111185A/5G7</t>
  </si>
  <si>
    <t xml:space="preserve">https://www.butlertechnik.com/downloads/cms/7432/webasto-thermo-pro-90-marine-installation-manual.pdf</t>
  </si>
  <si>
    <t xml:space="preserve">OPTIONAL_UNIT_BENCHMARK_TECH_OPEN</t>
  </si>
  <si>
    <t xml:space="preserve">9.1kW только исследовательский класс; монтажный комплект с выключателем, остальные контуры и теплоотдающие устройства не включены. Не выбранное отопление и не чиллер.</t>
  </si>
  <si>
    <t xml:space="preserve">Item out of stock</t>
  </si>
  <si>
    <t xml:space="preserve">Yanmar</t>
  </si>
  <si>
    <t xml:space="preserve">8LV320E-KMH50A + VC20</t>
  </si>
  <si>
    <t xml:space="preserve">incl BTW; rate not stated</t>
  </si>
  <si>
    <t xml:space="preserve">https://www.yanmar.com/marine/product/engines/8lv320/</t>
  </si>
  <si>
    <t xml:space="preserve">1340</t>
  </si>
  <si>
    <t xml:space="preserve">880</t>
  </si>
  <si>
    <t xml:space="preserve">766</t>
  </si>
  <si>
    <t xml:space="preserve">487</t>
  </si>
  <si>
    <t xml:space="preserve">CONDITIONAL_DUTY_PTO_START_VOLTAGE; NET_RFQ_REQUIRED</t>
  </si>
  <si>
    <t xml:space="preserve">320 mhp / 235 kW at 3800 rpm; 1 engine + 1 KMH50A + VC20; manufacturer 2021 package dry mass 435+52 kg and envelope with gear/elbow; standard 12V starter; front belt PTO optional capacity unverified; dealer includes mounts/panel/wiring/fluids; installed propulsion scope incomplete</t>
  </si>
  <si>
    <t xml:space="preserve">Dealer says in stock; exact stock and price validity RFQ</t>
  </si>
  <si>
    <t xml:space="preserve">deliverables/M03/v001/01_support/yanmar/candidates.csv</t>
  </si>
  <si>
    <t xml:space="preserve">YAN-E02</t>
  </si>
  <si>
    <t xml:space="preserve">ME-01</t>
  </si>
  <si>
    <t xml:space="preserve">engine_bobtail</t>
  </si>
  <si>
    <t xml:space="preserve">6LPAM-STP2 bobtail (dealer); 6LPA-STP2 manufacturer</t>
  </si>
  <si>
    <t xml:space="preserve">engine</t>
  </si>
  <si>
    <t xml:space="preserve">excl BTW; NET explicitly listed</t>
  </si>
  <si>
    <t xml:space="preserve">https://useddieselenginecenter.nl/yanmar-6lpam-stp2-6-lpam-stp-2-bobtail</t>
  </si>
  <si>
    <t xml:space="preserve">https://www.yanmar.com/marine/product/engines/6lpa-stp2-6lpa-stc/</t>
  </si>
  <si>
    <t xml:space="preserve">408</t>
  </si>
  <si>
    <t xml:space="preserve">CONDITIONAL_EU_NEWBUILD_CERT_DUTY_PTO_START_VOLTAGE; GEARBOX_NOT_PRICED</t>
  </si>
  <si>
    <t xml:space="preserve">New per dealer; 315 mhp / 232 kW at 3800 rpm at 25C fuel; 299 mhp / 220 kW at 40C per 2017 spec; priced engine only excluding gear/panel/harness; proposed 1 KMH50A RFQ; engine-only dry mass; package envelope 1220x666x739 drawing vs1190 length table conflict; package dry mass459 kg; 12V starter; RCD1 only evidenced</t>
  </si>
  <si>
    <t xml:space="preserve">Stock field0 conflicts with availability from stock; RFQ</t>
  </si>
  <si>
    <t xml:space="preserve">YAN-E03</t>
  </si>
  <si>
    <t xml:space="preserve">6LY2M-WDT + YX-50S (proposed)</t>
  </si>
  <si>
    <t xml:space="preserve">https://www.yanmar.com/marine/product/engines/6ly2m-wdt/</t>
  </si>
  <si>
    <t xml:space="preserve">1412</t>
  </si>
  <si>
    <t xml:space="preserve">835</t>
  </si>
  <si>
    <t xml:space="preserve">643</t>
  </si>
  <si>
    <t xml:space="preserve">RFQ_REQUIRED; CONDITIONAL_EU_NEWBUILD_CERT_DUTY_PTO</t>
  </si>
  <si>
    <t xml:space="preserve">Current official card330 mhp /243 kW at3200 rpm; 1 engine +1 proposedYX-50S; package dry mass535+108kg; envelope with gear/high-riser elbow; optional24V electrical system official but exact starter/configuration RFQ; IMO Tier2 shown not EU RCD approval; PTO capacity unverified</t>
  </si>
  <si>
    <t xml:space="preserve">Official current catalogue; European delivery and new-build certification RFQ</t>
  </si>
  <si>
    <t xml:space="preserve">PAN-G01</t>
  </si>
  <si>
    <t xml:space="preserve">12000x PMS JPC FP12000X</t>
  </si>
  <si>
    <t xml:space="preserve">EXPLICIT_GROSS_NET_PAIR</t>
  </si>
  <si>
    <t xml:space="preserve">https://www.onefischerpanda.com/fileadmin/content/product-information/marine-generators-compact-power/12000x/Panda_12000x_PMS_-_EN.pdf</t>
  </si>
  <si>
    <t xml:space="preserve">MARKET_REFERENCE|START24V_OPEN|HOT_OUTPUT_OPEN|UK_IMPORT_OPEN</t>
  </si>
  <si>
    <t xml:space="preserve">50Hz230V not yet accepted as220V target;2generators retained;standard datasheet12Vstarter, priced24V SKU unconfirmed. 10.2kW/12kVA NOMINAL at20C;2026catalogue treats0.85 kVA factor as short inductive starting only;hot continuous useful output OPEN. Capsule dimensions exclude fittings and service space;ME19 partial factory cooling only. JPC H565/192kg metadata conflicts withOEM. Fuel pump/looms/control panel/capsule advertised;exact control revision and install kit RFQ.</t>
  </si>
  <si>
    <t xml:space="preserve">Available on back-order;qty2/dateRFQ</t>
  </si>
  <si>
    <t xml:space="preserve">deliverables/M03/v001/01_support/panda/candidates.csv</t>
  </si>
  <si>
    <t xml:space="preserve">12000x-230V PMS NautiRadar0028284</t>
  </si>
  <si>
    <t xml:space="preserve">MARKET_REFERENCE|START24V_OPEN|HOT_OUTPUT_OPEN|SKU_REVISION_OPEN</t>
  </si>
  <si>
    <t xml:space="preserve">50Hz230V not yet accepted as220V target;2generators retained;standard datasheet12Vstarter, priced24V SKU unconfirmed. 10.2kW/12kVA NOMINAL at20C;2026catalogue treats0.85 kVA factor as short inductive starting only;hot continuous useful output OPEN. Capsule dimensions exclude fittings and service space;ME19 partial factory cooling only. SellerSKU0028284 vsOEMsheet0024660:exact revision must be tied to offer. EU seller does not yet prove EU dispatch/free-circulation/Poland delivery.</t>
  </si>
  <si>
    <t xml:space="preserve">Stock and lead time not stated;qty2/dateRFQ</t>
  </si>
  <si>
    <t xml:space="preserve">PAN-G03</t>
  </si>
  <si>
    <t xml:space="preserve">15000i-230V PMS NautiRadar0000182</t>
  </si>
  <si>
    <t xml:space="preserve">https://www.nautiradar.pt/en/products/fischer-panda/panda-15000i-230v-pms-12kw-230v-variable-speed-marine-generator</t>
  </si>
  <si>
    <t xml:space="preserve">https://www.fischerpanda.co.uk/res/Fischer%20Panda%20Marine%20Generators%202026%20-%20FPUK</t>
  </si>
  <si>
    <t xml:space="preserve">650</t>
  </si>
  <si>
    <t xml:space="preserve">465</t>
  </si>
  <si>
    <t xml:space="preserve">589</t>
  </si>
  <si>
    <t xml:space="preserve">MARKET_REFERENCE|START24V_OPEN|HOT_OUTPUT_OPEN|INVERTER_SCOPE_OPEN</t>
  </si>
  <si>
    <t xml:space="preserve">Alternative model for same required useful output;not15kW.50Hz230V nominal12kW/15kVA;PMGi230V manual longterm12kW does not guarantee whole-set output at hot ambient;OEM20C engine reference.160kg capsule+16kg external inverter;dimensions capsule only;dealer162+16kg discrepancy. Inverter model/cooling/inclusion and24V starter RFQ.2gens retained;no automatic parallel operation.</t>
  </si>
  <si>
    <t xml:space="preserve">substitution_id</t>
  </si>
  <si>
    <t xml:space="preserve">target</t>
  </si>
  <si>
    <t xml:space="preserve">quantity_basis</t>
  </si>
  <si>
    <t xml:space="preserve">source_id</t>
  </si>
  <si>
    <t xml:space="preserve">seller</t>
  </si>
  <si>
    <t xml:space="preserve">source_price</t>
  </si>
  <si>
    <t xml:space="preserve">source_tax_basis</t>
  </si>
  <si>
    <t xml:space="preserve">net_unit_source</t>
  </si>
  <si>
    <t xml:space="preserve">net_unit_eur</t>
  </si>
  <si>
    <t xml:space="preserve">gross_or_unknown_tax_price</t>
  </si>
  <si>
    <t xml:space="preserve">substitution_note</t>
  </si>
  <si>
    <t xml:space="preserve">status</t>
  </si>
  <si>
    <t xml:space="preserve">Включение в основную смету</t>
  </si>
  <si>
    <t xml:space="preserve">S01</t>
  </si>
  <si>
    <t xml:space="preserve">ME-02 / missing gearbox for M03 YAN-E02</t>
  </si>
  <si>
    <t xml:space="preserve">1 candidate; inclusion/configuration conditional</t>
  </si>
  <si>
    <t xml:space="preserve">GA01</t>
  </si>
  <si>
    <t xml:space="preserve">Palmer Power USA</t>
  </si>
  <si>
    <t xml:space="preserve">KMH50A-LP 2.13/2.43 for6LP-STP2</t>
  </si>
  <si>
    <t xml:space="preserve">4544.00</t>
  </si>
  <si>
    <t xml:space="preserve">HTML valueAddedTaxIncluded=false; FAQ sales tax added in cart</t>
  </si>
  <si>
    <t xml:space="preserve">3911.85</t>
  </si>
  <si>
    <t xml:space="preserve">UNKNOWN; embedded priceValidUntil2020-03-25 conflicts with live offer</t>
  </si>
  <si>
    <t xml:space="preserve">https://palmerpower.com/yanmar-kmh50a-lp-kmh50a-lp-2-13-2-43-for-6lp-stp2/</t>
  </si>
  <si>
    <t xml:space="preserve">Цена подставлена из Palmer Power USA, https://palmerpower.com/yanmar-kmh50a-lp-kmh50a-lp-2-13-2-43-for-6lp-stp2/; источник проверен 11.09.2026. Рабочий ориентир NET товара; priceValidUntil2020-03-25 конфликтует с живой карточкой. Состояние/доставка/ввоз/монтаж открыты.</t>
  </si>
  <si>
    <t xml:space="preserve">LIVE_PRICE_VERIFIED; SOURCE_DATE_CONFLICT; NEW_CONDITION_OPEN; US_IMPORT_OPEN</t>
  </si>
  <si>
    <t xml:space="preserve">M05/gearbox-alternatives.csv</t>
  </si>
  <si>
    <t xml:space="preserve">НЕ ДОБАВЛЕНО: альтернативный6LPA; не повторять комплектный8LV</t>
  </si>
  <si>
    <t xml:space="preserve">S02</t>
  </si>
  <si>
    <t xml:space="preserve">M04 GB03 / damper</t>
  </si>
  <si>
    <t xml:space="preserve">GB03</t>
  </si>
  <si>
    <t xml:space="preserve">Dutch Engine Parts</t>
  </si>
  <si>
    <t xml:space="preserve">Yanmar119773-85520 damper HSW630 / Torflex1000</t>
  </si>
  <si>
    <t xml:space="preserve">797.34</t>
  </si>
  <si>
    <t xml:space="preserve">ex VAT directly stated</t>
  </si>
  <si>
    <t xml:space="preserve">https://www.dutchengineparts.nl/damper-hsw630-119773-85520.html</t>
  </si>
  <si>
    <t xml:space="preserve">Цена подставлена из Dutch Engine Parts, https://www.dutchengineparts.nl/damper-hsw630-119773-85520.html; источник проверен 11.09.2026. Цена M04 сохранена: альтернатива IMC916.94NET выше на119.60EUR; добавить только при отсутствии в комплекте.</t>
  </si>
  <si>
    <t xml:space="preserve">RETAIN_M04_VERIFIED_PRICE_WITH_OPEN_CONFIG</t>
  </si>
  <si>
    <t xml:space="preserve">deliverables/M04/v001/01_support/yanmar-addendum.csv</t>
  </si>
  <si>
    <t xml:space="preserve">S03</t>
  </si>
  <si>
    <t xml:space="preserve">M04 A01 / one B panel</t>
  </si>
  <si>
    <t xml:space="preserve">Yanmar 119773-91132 panel B</t>
  </si>
  <si>
    <t xml:space="preserve">1108.55</t>
  </si>
  <si>
    <t xml:space="preserve">NET explicitly ex VAT</t>
  </si>
  <si>
    <t xml:space="preserve">https://www.dutchengineparts.nl/panel-instrument-b-119773-91132.html</t>
  </si>
  <si>
    <t xml:space="preserve">Цена подставлена из Dutch Engine Parts, https://www.dutchengineparts.nl/panel-instrument-b-119773-91132.html; источник проверен 11.09.2026. Цена M04 сохранена: альтернативная Repuestos1408.42gross не имеет подтвержденного NET; одна панель.</t>
  </si>
  <si>
    <t xml:space="preserve">S04</t>
  </si>
  <si>
    <t xml:space="preserve">M04 GB04 / gear oil cooler</t>
  </si>
  <si>
    <t xml:space="preserve">GB04</t>
  </si>
  <si>
    <t xml:space="preserve">Yanmar177523-04820 oil cooler</t>
  </si>
  <si>
    <t xml:space="preserve">1636.17</t>
  </si>
  <si>
    <t xml:space="preserve">https://www.dutchengineparts.nl/cooler-oil-177523-04820.html</t>
  </si>
  <si>
    <t xml:space="preserve">Цена подставлена из Dutch Engine Parts, https://www.dutchengineparts.nl/cooler-oil-177523-04820.html; источник проверен 11.09.2026. Цена M04 сохранена: Vmarine1521.64 из поиска прямо не проверена, не подставлена.</t>
  </si>
  <si>
    <t xml:space="preserve">S05</t>
  </si>
  <si>
    <t xml:space="preserve">New 77760 harness price, not interchangeable with M04 A06 by default</t>
  </si>
  <si>
    <t xml:space="preserve">ALT-A02</t>
  </si>
  <si>
    <t xml:space="preserve">YACHTNEEDS marketplace; fulfilling vendor unconfirmed</t>
  </si>
  <si>
    <t xml:space="preserve">Yanmar129574-77760 6m harness</t>
  </si>
  <si>
    <t xml:space="preserve">160.12</t>
  </si>
  <si>
    <t xml:space="preserve">incl tax; shipping selector Denmark; rate not stated</t>
  </si>
  <si>
    <t xml:space="preserve">https://yachtneeds.com/yanmar-6m-wiring-harness-6-metres-129574-77760</t>
  </si>
  <si>
    <t xml:space="preserve">Цена подставлена из YACHTNEEDS marketplace; fulfilling vendor unconfirmed, https://yachtneeds.com/yanmar-6m-wiring-harness-6-metres-129574-77760; источник проверен 11.09.2026. Товарная цена160.12gross при направлении Denmark; NET открыт и не суммируется. 77760 не заменяется ценой77720.</t>
  </si>
  <si>
    <t xml:space="preserve">DIRECT_GROSS_CONFIRMED_NET_OPEN</t>
  </si>
  <si>
    <t xml:space="preserve">M05/ancillary-alternatives.csv</t>
  </si>
  <si>
    <t xml:space="preserve">item_id</t>
  </si>
  <si>
    <t xml:space="preserve">group</t>
  </si>
  <si>
    <t xml:space="preserve">item</t>
  </si>
  <si>
    <t xml:space="preserve">quantity</t>
  </si>
  <si>
    <t xml:space="preserve">branch_8lv</t>
  </si>
  <si>
    <t xml:space="preserve">branch_6lpa</t>
  </si>
  <si>
    <t xml:space="preserve">supply_boundary</t>
  </si>
  <si>
    <t xml:space="preserve">interfaces</t>
  </si>
  <si>
    <t xml:space="preserve">price_ref</t>
  </si>
  <si>
    <t xml:space="preserve">technical_source</t>
  </si>
  <si>
    <t xml:space="preserve">required_evidence</t>
  </si>
  <si>
    <t xml:space="preserve">closure_owner</t>
  </si>
  <si>
    <t xml:space="preserve">acceptance</t>
  </si>
  <si>
    <t xml:space="preserve">notes</t>
  </si>
  <si>
    <t xml:space="preserve">M01</t>
  </si>
  <si>
    <t xml:space="preserve">Главный двигатель:8LV320 либо6LPA-STP2</t>
  </si>
  <si>
    <t xml:space="preserve">1</t>
  </si>
  <si>
    <t xml:space="preserve">Одна силовая установка; две альтернативы не суммируются</t>
  </si>
  <si>
    <t xml:space="preserve">INCLUDED_DEALER_STATEMENT</t>
  </si>
  <si>
    <t xml:space="preserve">8LV в пакете;6LPA bobtail</t>
  </si>
  <si>
    <t xml:space="preserve">Нагрузка/редуктор/пуск/фундаменты</t>
  </si>
  <si>
    <t xml:space="preserve">M03 YAN-E01 /YAN-E02</t>
  </si>
  <si>
    <t xml:space="preserve">M03/yanmar/research.md; OEM8LV2021spec and2019manual; M04/gearbox.md; OEM6LPA2021spec and partsfig48</t>
  </si>
  <si>
    <t xml:space="preserve">ТочныйSKU/серийная ревизия; допустимый длительный режим; документы применимостиЕС</t>
  </si>
  <si>
    <t xml:space="preserve">Поставщик двигателя + проектант</t>
  </si>
  <si>
    <t xml:space="preserve">Подтверждён требуемый полезный ходовой результат и допустимость поставки</t>
  </si>
  <si>
    <t xml:space="preserve">8LV320мhp не300continuous; оба исходно12V;6LPA RCD1 applicabilityOPEN</t>
  </si>
  <si>
    <t xml:space="preserve">M02</t>
  </si>
  <si>
    <t xml:space="preserve">Редуктор KMH50A либо KMH50A-LP</t>
  </si>
  <si>
    <t xml:space="preserve">Один из альтернативных редукторов</t>
  </si>
  <si>
    <t xml:space="preserve">SEPARATE</t>
  </si>
  <si>
    <t xml:space="preserve">8LV вместе с двигателем;LP отдельное предложение</t>
  </si>
  <si>
    <t xml:space="preserve">Отношение/фланцы/направление вращения/управление</t>
  </si>
  <si>
    <t xml:space="preserve">M03 YAN-E01; M05 GA01/GA02/GA03</t>
  </si>
  <si>
    <t xml:space="preserve">M04/gearbox.md; OEM6LPA2021spec and partsfig48</t>
  </si>
  <si>
    <t xml:space="preserve">BOM исполнения; расчёт отношения и винта; состав охлаждения/управления</t>
  </si>
  <si>
    <t xml:space="preserve">Поставщик + проектант пропульсии</t>
  </si>
  <si>
    <t xml:space="preserve">Редуктор согласован с двигателем и винтом</t>
  </si>
  <si>
    <t xml:space="preserve">LP ratio2.13 только кандидат; историческийGA03 не текущаяцена</t>
  </si>
  <si>
    <t xml:space="preserve">M03</t>
  </si>
  <si>
    <t xml:space="preserve">Торсионный демпфер</t>
  </si>
  <si>
    <t xml:space="preserve">Функционально1; отдельная закупка лишь если отсутствует в выбранном пакете</t>
  </si>
  <si>
    <t xml:space="preserve">Проверить включённость;119773-85520 только кандидат6LPA</t>
  </si>
  <si>
    <t xml:space="preserve">Маховик/входной вал/торсионные колебания</t>
  </si>
  <si>
    <t xml:space="preserve">M04 GB03</t>
  </si>
  <si>
    <t xml:space="preserve">Совместимость/замена артикула; включённость; торсионное согласование</t>
  </si>
  <si>
    <t xml:space="preserve">Поставщик силового комплекта</t>
  </si>
  <si>
    <t xml:space="preserve">Один согласованный демпфер без двойного счёта</t>
  </si>
  <si>
    <t xml:space="preserve">85520 заменяет85500; не передний демпфер коленвала</t>
  </si>
  <si>
    <t xml:space="preserve">M04</t>
  </si>
  <si>
    <t xml:space="preserve">Присоединительный корпус, фланцы, лапы и крепёж</t>
  </si>
  <si>
    <t xml:space="preserve">позиции BOM</t>
  </si>
  <si>
    <t xml:space="preserve">Количество после ведомости точного двигателя/редуктора</t>
  </si>
  <si>
    <t xml:space="preserve">Только стык двигателя с редуктором</t>
  </si>
  <si>
    <t xml:space="preserve">BorgWarner/SAE; болтовые соединения</t>
  </si>
  <si>
    <t xml:space="preserve">Монтажный чертёж и артикулы присоединения</t>
  </si>
  <si>
    <t xml:space="preserve">Поставщик комплекта</t>
  </si>
  <si>
    <t xml:space="preserve">Стык комплектен по монтажному BOM</t>
  </si>
  <si>
    <t xml:space="preserve">M05</t>
  </si>
  <si>
    <t xml:space="preserve">Гребной вал</t>
  </si>
  <si>
    <t xml:space="preserve">Предварительно одна валовая линия для одного двигателя; схема на согласовании</t>
  </si>
  <si>
    <t xml:space="preserve">Изготовление вала; без подшипников/уплотнения/винта</t>
  </si>
  <si>
    <t xml:space="preserve">Редуктор/дейдвуд/винт</t>
  </si>
  <si>
    <t xml:space="preserve">Проектная декомпозиция M06</t>
  </si>
  <si>
    <t xml:space="preserve">Материал,диаметр,длина,конусы/шпонки,расчёт и чертёж</t>
  </si>
  <si>
    <t xml:space="preserve">Проектант пропульсии + изготовитель</t>
  </si>
  <si>
    <t xml:space="preserve">Вал соответствует утверждённой схеме</t>
  </si>
  <si>
    <t xml:space="preserve">Число1 — рабочая схема, размерыOPEN</t>
  </si>
  <si>
    <t xml:space="preserve">M06</t>
  </si>
  <si>
    <t xml:space="preserve">Выходная муфта валопровода</t>
  </si>
  <si>
    <t xml:space="preserve">Один стык редуктора и вала по рабочей схеме</t>
  </si>
  <si>
    <t xml:space="preserve">Не входной демпферM03</t>
  </si>
  <si>
    <t xml:space="preserve">Выходной фланец/осевая нагрузка/допуск несоосности</t>
  </si>
  <si>
    <t xml:space="preserve">Чертёж фланца; допустимые нагрузки; включённость</t>
  </si>
  <si>
    <t xml:space="preserve">Проектант + поставщик</t>
  </si>
  <si>
    <t xml:space="preserve">Совместимый согласованный стык</t>
  </si>
  <si>
    <t xml:space="preserve">M07</t>
  </si>
  <si>
    <t xml:space="preserve">Дейдвудное уплотнение</t>
  </si>
  <si>
    <t xml:space="preserve">Один ввод вала по рабочей схеме</t>
  </si>
  <si>
    <t xml:space="preserve">Уплотнение и его локальные подключения</t>
  </si>
  <si>
    <t xml:space="preserve">Вал/корпус/охлаждение/аварийный доступ</t>
  </si>
  <si>
    <t xml:space="preserve">Диаметр; режим смазки/водоснабжения; сервисный доступ</t>
  </si>
  <si>
    <t xml:space="preserve">Герметичность и доступ по инструкции изделия</t>
  </si>
  <si>
    <t xml:space="preserve">M08</t>
  </si>
  <si>
    <t xml:space="preserve">Дейдвуд, подшипники и наружные опоры</t>
  </si>
  <si>
    <t xml:space="preserve">Количество и состояние исходного корпуса после обследования</t>
  </si>
  <si>
    <t xml:space="preserve">Не закупать уже существующее без проверки</t>
  </si>
  <si>
    <t xml:space="preserve">Вал/корпус/гальваническая развязка</t>
  </si>
  <si>
    <t xml:space="preserve">Обмеры исходного корпуса; схема опор; нагрузки</t>
  </si>
  <si>
    <t xml:space="preserve">Корпусный проектант + верфь</t>
  </si>
  <si>
    <t xml:space="preserve">Согласованы опоры и линия вала</t>
  </si>
  <si>
    <t xml:space="preserve">M09</t>
  </si>
  <si>
    <t xml:space="preserve">Гребной винт</t>
  </si>
  <si>
    <t xml:space="preserve">Один винт для рабочей одновальной схемы</t>
  </si>
  <si>
    <t xml:space="preserve">Тип/диаметр/шаг/лопасти не выбраны</t>
  </si>
  <si>
    <t xml:space="preserve">Вал/корпус/двигатель/редуктор</t>
  </si>
  <si>
    <t xml:space="preserve">Расчёт хода и кавитации; зазоры; сопротивление под парусом</t>
  </si>
  <si>
    <t xml:space="preserve">Проектант пропульсии</t>
  </si>
  <si>
    <t xml:space="preserve">Достижение согласованных режимов без перегрузки двигателя</t>
  </si>
  <si>
    <t xml:space="preserve">M10</t>
  </si>
  <si>
    <t xml:space="preserve">Отдельный упорный подшипник и гибкая передача</t>
  </si>
  <si>
    <t xml:space="preserve">условная позиция</t>
  </si>
  <si>
    <t xml:space="preserve">Только если выбрана схема с разгрузкой редуктора</t>
  </si>
  <si>
    <t xml:space="preserve">OPTIONAL</t>
  </si>
  <si>
    <t xml:space="preserve">Не обязательное дополнение к любой муфте</t>
  </si>
  <si>
    <t xml:space="preserve">Осевая нагрузка/корпус/центровка</t>
  </si>
  <si>
    <t xml:space="preserve">Решение по передаче упора и расчёт фундамента</t>
  </si>
  <si>
    <t xml:space="preserve">Проектант</t>
  </si>
  <si>
    <t xml:space="preserve">Схема утверждена или позиция исключена</t>
  </si>
  <si>
    <t xml:space="preserve">M11</t>
  </si>
  <si>
    <t xml:space="preserve">Эластичные опоры двигателя/редуктора</t>
  </si>
  <si>
    <t xml:space="preserve">Тип/количество поBOM; не назначать4 без поставки</t>
  </si>
  <si>
    <t xml:space="preserve">Abma заявляет опоры8LV; bobtail6LPA проверить</t>
  </si>
  <si>
    <t xml:space="preserve">Масса/центр тяжести/фундаменты</t>
  </si>
  <si>
    <t xml:space="preserve">M03 YAN-E01</t>
  </si>
  <si>
    <t xml:space="preserve">Артикулы/количество/допустимые нагрузки/регулировки</t>
  </si>
  <si>
    <t xml:space="preserve">Поставщик + верфь</t>
  </si>
  <si>
    <t xml:space="preserve">Опоры согласованы с нагрузкой и регулировкой</t>
  </si>
  <si>
    <t xml:space="preserve">M12</t>
  </si>
  <si>
    <t xml:space="preserve">Фундаменты и усиления корпуса</t>
  </si>
  <si>
    <t xml:space="preserve">объёмы работ</t>
  </si>
  <si>
    <t xml:space="preserve">После обследования и расчёта</t>
  </si>
  <si>
    <t xml:space="preserve">Изменения алюминиевого корпуса под главный двигатель</t>
  </si>
  <si>
    <t xml:space="preserve">Опоры/упор/коррозия/обслуживание</t>
  </si>
  <si>
    <t xml:space="preserve">Обмер,расчёт,чертежи,материалы/сварка</t>
  </si>
  <si>
    <t xml:space="preserve">Приняты геометрия и качество работ</t>
  </si>
  <si>
    <t xml:space="preserve">M13</t>
  </si>
  <si>
    <t xml:space="preserve">Подача и возврат топлива главного двигателя</t>
  </si>
  <si>
    <t xml:space="preserve">позиции/м поBOM</t>
  </si>
  <si>
    <t xml:space="preserve">Трасса/арматура/длиныOPEN</t>
  </si>
  <si>
    <t xml:space="preserve">Внешний контур от границы танка до двигателя; безгенераторов</t>
  </si>
  <si>
    <t xml:space="preserve">Танк/насос/расход/обратное давление</t>
  </si>
  <si>
    <t xml:space="preserve">OEM manuals8LV/6LPA; M03research</t>
  </si>
  <si>
    <t xml:space="preserve">Схема; диаметры; материалы; запорная арматура; допустимые давления</t>
  </si>
  <si>
    <t xml:space="preserve">Системный проектант + верфь</t>
  </si>
  <si>
    <t xml:space="preserve">Герметичность и параметры подачи/возврата подтверждены</t>
  </si>
  <si>
    <t xml:space="preserve">M14</t>
  </si>
  <si>
    <t xml:space="preserve">Предварительная фильтрация/водоотделение топлива</t>
  </si>
  <si>
    <t xml:space="preserve">Число фильтров и необходимость резервирования по схеме</t>
  </si>
  <si>
    <t xml:space="preserve">Не путать со штатным фильтром на двигателе</t>
  </si>
  <si>
    <t xml:space="preserve">Топливоподача/обслуживание/сигнализация</t>
  </si>
  <si>
    <t xml:space="preserve">OEM engine specs; M03research</t>
  </si>
  <si>
    <t xml:space="preserve">Штатная комплектность; требуемая тонкость/расход/перепад</t>
  </si>
  <si>
    <t xml:space="preserve">Поставщик + системный проектант</t>
  </si>
  <si>
    <t xml:space="preserve">Фильтрация соответствует инструкции двигателя</t>
  </si>
  <si>
    <t xml:space="preserve">M15</t>
  </si>
  <si>
    <t xml:space="preserve">Интерфейс топливных танков</t>
  </si>
  <si>
    <t xml:space="preserve">Ёмкость/число танков здесь не назначаются</t>
  </si>
  <si>
    <t xml:space="preserve">Отбор/возврат/отсечка/очистка; сами танки отдельный корпусной/системный пакет</t>
  </si>
  <si>
    <t xml:space="preserve">Общие танки яхты и отдельные потребители</t>
  </si>
  <si>
    <t xml:space="preserve">Согласованные штуцеры/уровни/режимы и границы пакетов</t>
  </si>
  <si>
    <t xml:space="preserve">Системный проектант</t>
  </si>
  <si>
    <t xml:space="preserve">Утверждены интерфейсы без дублирования танков</t>
  </si>
  <si>
    <t xml:space="preserve">M16</t>
  </si>
  <si>
    <t xml:space="preserve">Забортное охлаждение главного двигателя</t>
  </si>
  <si>
    <t xml:space="preserve">Число вводов и длины после схемы</t>
  </si>
  <si>
    <t xml:space="preserve">Ввод/кингстон/фильтр/шланги/антисифон по применимости; безгенераторов</t>
  </si>
  <si>
    <t xml:space="preserve">Корпус/насос/теплообменники/выхлоп</t>
  </si>
  <si>
    <t xml:space="preserve">OEM manuals8LV/6LPA</t>
  </si>
  <si>
    <t xml:space="preserve">Расход/сопротивление/уровни при крене; развязка металлов</t>
  </si>
  <si>
    <t xml:space="preserve">Согласован расход; исключено обратное затопление по проекту</t>
  </si>
  <si>
    <t xml:space="preserve">M17</t>
  </si>
  <si>
    <t xml:space="preserve">PK01|PK09</t>
  </si>
  <si>
    <t xml:space="preserve">Штатный замкнутый контур охлаждения двигателя</t>
  </si>
  <si>
    <t xml:space="preserve">Проверить все штатные и выносные элементы</t>
  </si>
  <si>
    <t xml:space="preserve">Встроенный насос/теплообменник и расширение; проверитьBOM двигателя</t>
  </si>
  <si>
    <t xml:space="preserve">Высоты/развоздушивание/жидкость</t>
  </si>
  <si>
    <t xml:space="preserve">OEM8LV2021 and6LPA2021spec</t>
  </si>
  <si>
    <t xml:space="preserve">BOM; выносной бак/линии если нужны; инструкция заполнения</t>
  </si>
  <si>
    <t xml:space="preserve">Поставщик</t>
  </si>
  <si>
    <t xml:space="preserve">Полный согласованный контур без вторичной покупки штатных узлов</t>
  </si>
  <si>
    <t xml:space="preserve">M18</t>
  </si>
  <si>
    <t xml:space="preserve">Маслоохладитель редуктора с подключением</t>
  </si>
  <si>
    <t xml:space="preserve">функциональный узел</t>
  </si>
  <si>
    <t xml:space="preserve">Один контур однойкоробки; состав деталейOPEN; закупка по включённости</t>
  </si>
  <si>
    <t xml:space="preserve">GB04 только теплообменник, не готовый узел</t>
  </si>
  <si>
    <t xml:space="preserve">Редуктор/водяной контур/кронштейны/масляные шланги</t>
  </si>
  <si>
    <t xml:space="preserve">M04 GB04</t>
  </si>
  <si>
    <t xml:space="preserve">Серийныйвариант; полныйBOM; включённость в пакет</t>
  </si>
  <si>
    <t xml:space="preserve">Поставщик редуктора</t>
  </si>
  <si>
    <t xml:space="preserve">Проверены давление/температура и отсутствие течей</t>
  </si>
  <si>
    <t xml:space="preserve">M19</t>
  </si>
  <si>
    <t xml:space="preserve">Смесительное выпускное колено</t>
  </si>
  <si>
    <t xml:space="preserve">Один выпуск; тип L/high-riser после отметок</t>
  </si>
  <si>
    <t xml:space="preserve">Сверить комплектность выбранногоSKU; альтернативные колена не складывать</t>
  </si>
  <si>
    <t xml:space="preserve">Двигатель/забортнаявода/выхлоп</t>
  </si>
  <si>
    <t xml:space="preserve">Тип/материал/высоты/включённость</t>
  </si>
  <si>
    <t xml:space="preserve">Колено соответствует монтажной схеме</t>
  </si>
  <si>
    <t xml:space="preserve">M20</t>
  </si>
  <si>
    <t xml:space="preserve">Внешний выпуск главного двигателя</t>
  </si>
  <si>
    <t xml:space="preserve">Трасса,водянойзамок/глушитель/петли/выпуск порасчёту</t>
  </si>
  <si>
    <t xml:space="preserve">От колена до выхода за борт; без выпусков генераторов</t>
  </si>
  <si>
    <t xml:space="preserve">Противодавление/затопление/шум/температура</t>
  </si>
  <si>
    <t xml:space="preserve">Чертёж/длины/сечения/расчёт противодавления и водяногообъёма</t>
  </si>
  <si>
    <t xml:space="preserve">Противодавление/защита от воды соответствуют OEM</t>
  </si>
  <si>
    <t xml:space="preserve">M21</t>
  </si>
  <si>
    <t xml:space="preserve">Воздух двигателя и интерфейс вентиляции МО</t>
  </si>
  <si>
    <t xml:space="preserve">расчёт/позиции BOM</t>
  </si>
  <si>
    <t xml:space="preserve">Расходы/сечения/число вентиляторовOPEN</t>
  </si>
  <si>
    <t xml:space="preserve">Требования главного двигателя к общей вентиляции; общий пакетМО не дублируется</t>
  </si>
  <si>
    <t xml:space="preserve">Генераторы/теплоприток/входы/выходы/шум</t>
  </si>
  <si>
    <t xml:space="preserve">Теплобаланс/расход воздуха/потери и общий ответственный PK09</t>
  </si>
  <si>
    <t xml:space="preserve">Общая система обеспечивает согласованную среду для двигателя</t>
  </si>
  <si>
    <t xml:space="preserve">M22</t>
  </si>
  <si>
    <t xml:space="preserve">PK01|PK12</t>
  </si>
  <si>
    <t xml:space="preserve">Механический PTO и присоединение гидронасоса</t>
  </si>
  <si>
    <t xml:space="preserve">условные позиции</t>
  </si>
  <si>
    <t xml:space="preserve">Не назначен; одно утверждённое решение после баланса</t>
  </si>
  <si>
    <t xml:space="preserve">Только механическое присоединение; насос/гидросеть уэлектрогидроагента</t>
  </si>
  <si>
    <t xml:space="preserve">Обороты/момент/винт/крепление/сцепление</t>
  </si>
  <si>
    <t xml:space="preserve">OEM8LVspec optionalbeltPTO; M04notes</t>
  </si>
  <si>
    <t xml:space="preserve">Допустимый отбор пооборотам/режиму; одновременнаянагрузка</t>
  </si>
  <si>
    <t xml:space="preserve">Поставщик двигателя + гидропроектант</t>
  </si>
  <si>
    <t xml:space="preserve">Есть письменное согласование выбранного отбора</t>
  </si>
  <si>
    <t xml:space="preserve">РеменныйPTO не подтверждает мощность всех гидропотребителей</t>
  </si>
  <si>
    <t xml:space="preserve">M23</t>
  </si>
  <si>
    <t xml:space="preserve">Интерфейс пожарной защиты и аварийных отсечек</t>
  </si>
  <si>
    <t xml:space="preserve">Число устройств определяет общий проектМО</t>
  </si>
  <si>
    <t xml:space="preserve">Только требования этой установки; общий пожарный пакет отдельно</t>
  </si>
  <si>
    <t xml:space="preserve">Топливо/вентиляция/дистанционныйостанов/электрика</t>
  </si>
  <si>
    <t xml:space="preserve">Согласованные интерфейсы остановки и защиты; требования применимости</t>
  </si>
  <si>
    <t xml:space="preserve">Системный проектант + поставщик</t>
  </si>
  <si>
    <t xml:space="preserve">Защита и остановка проверены совместно без дублей устройств</t>
  </si>
  <si>
    <t xml:space="preserve">M24</t>
  </si>
  <si>
    <t xml:space="preserve">Заправочные жидкости, слив/замена масла и поддоны</t>
  </si>
  <si>
    <t xml:space="preserve">л/шт поBOM</t>
  </si>
  <si>
    <t xml:space="preserve">ОбъёмыOPEN; комплекта1 не назначено</t>
  </si>
  <si>
    <t xml:space="preserve">Abmaжидкости заявлены; внешний слив/поддоны не заявлены</t>
  </si>
  <si>
    <t xml:space="preserve">Двигатель/редуктор/сбор отходов/доступ</t>
  </si>
  <si>
    <t xml:space="preserve">Первые заправки/BOM; точкислива; объёмподдонов; процедурасервиса</t>
  </si>
  <si>
    <t xml:space="preserve">Жидкости и безопасное обслуживание обеспечены без двойного счёта</t>
  </si>
  <si>
    <t xml:space="preserve">M25</t>
  </si>
  <si>
    <t xml:space="preserve">Сервисные зоны и путь демонтажа</t>
  </si>
  <si>
    <t xml:space="preserve">чертежи/обмер</t>
  </si>
  <si>
    <t xml:space="preserve">Размеры и объёмыOPEN</t>
  </si>
  <si>
    <t xml:space="preserve">Монтажныйобъём главнойустановки, не наружныйгабарит</t>
  </si>
  <si>
    <t xml:space="preserve">Фильтры/ремни/колено/редуктор/люки/подъём</t>
  </si>
  <si>
    <t xml:space="preserve">M03yanmarresearch; OEM installationGA required</t>
  </si>
  <si>
    <t xml:space="preserve">GA сдоступами,масса/ЦТ,обмерМО и путьвыноса</t>
  </si>
  <si>
    <t xml:space="preserve">Компоновщик + поставщик + верфь</t>
  </si>
  <si>
    <t xml:space="preserve">Проверена доступность; помещаемость не выводится изэскиза</t>
  </si>
  <si>
    <t xml:space="preserve">8LV1340x880x766 толькосправочныйгабарит;6LPAконфликтстарыхразмеровOPEN</t>
  </si>
  <si>
    <t xml:space="preserve">M26</t>
  </si>
  <si>
    <t xml:space="preserve">Монтаж и центровка силовой линии</t>
  </si>
  <si>
    <t xml:space="preserve">После чертежей; часы/операцииOPEN</t>
  </si>
  <si>
    <t xml:space="preserve">Установка,крепление,подключение,центровка; без изготовленияM12</t>
  </si>
  <si>
    <t xml:space="preserve">Все механическиестыки/спускнаводу</t>
  </si>
  <si>
    <t xml:space="preserve">Технология/допуски/проверка после спуска</t>
  </si>
  <si>
    <t xml:space="preserve">Верфь + сервис OEM</t>
  </si>
  <si>
    <t xml:space="preserve">Подписанный монтажный ицентровочный протокол</t>
  </si>
  <si>
    <t xml:space="preserve">M27</t>
  </si>
  <si>
    <t xml:space="preserve">Первые пуски,швартовные иходовые проверки</t>
  </si>
  <si>
    <t xml:space="preserve">операции испытаний</t>
  </si>
  <si>
    <t xml:space="preserve">План и длительностьOPEN</t>
  </si>
  <si>
    <t xml:space="preserve">Испытания главнойустановки; общий судовойплан уroot</t>
  </si>
  <si>
    <t xml:space="preserve">Нагрузка/температуры/давления/вибрации/течи/останов</t>
  </si>
  <si>
    <t xml:space="preserve">OEM manuals8LV/6LPA; M03duty notes</t>
  </si>
  <si>
    <t xml:space="preserve">Согласованный план/критерии и гарантийный ввод</t>
  </si>
  <si>
    <t xml:space="preserve">Верфь + OEMсервис + проектант</t>
  </si>
  <si>
    <t xml:space="preserve">Закрыты критерии согласованного плана и замечания</t>
  </si>
  <si>
    <t xml:space="preserve">M28</t>
  </si>
  <si>
    <t xml:space="preserve">Документация,обучение и стартовый ЗИП</t>
  </si>
  <si>
    <t xml:space="preserve">документы/позиции BOM</t>
  </si>
  <si>
    <t xml:space="preserve">Состав документов и расходниковOPEN</t>
  </si>
  <si>
    <t xml:space="preserve">Главнаяустановка; штатные поставки учитывать</t>
  </si>
  <si>
    <t xml:space="preserve">Гарантия/серийныеномера/регламент/применимостьЕС</t>
  </si>
  <si>
    <t xml:space="preserve">M03/M04/M05 evidence</t>
  </si>
  <si>
    <t xml:space="preserve">As-built/BOM/руководства/сертификаты/гарантия/переченьЗИП</t>
  </si>
  <si>
    <t xml:space="preserve">Документы переданы; персонал ознакомлен; ЗИП согласован</t>
  </si>
  <si>
    <t xml:space="preserve">EH01</t>
  </si>
  <si>
    <t xml:space="preserve">EXISTING_MAIN_COMPONENT_REFS</t>
  </si>
  <si>
    <t xml:space="preserve">Ссылка на ранее заданные аккумуляторы; не новая закупочная строка</t>
  </si>
  <si>
    <t xml:space="preserve">reference only</t>
  </si>
  <si>
    <t xml:space="preserve">Уже задано 6+2+1=9; quantity пусто для исключения повторного суммирования</t>
  </si>
  <si>
    <t xml:space="preserve">N_A</t>
  </si>
  <si>
    <t xml:space="preserve">M01 ME-07:1 пусковая; ME-08:6 сервисных; ME-27:2 генераторных</t>
  </si>
  <si>
    <t xml:space="preserve">Батареи / двигатели / заряд / резервный пуск</t>
  </si>
  <si>
    <t xml:space="preserve">M01 ME-07|ME-08|ME-27</t>
  </si>
  <si>
    <t xml:space="preserve">deliverables/M01/v001/01_support/owner-requirements.md D018</t>
  </si>
  <si>
    <t xml:space="preserve">Паспорта: напряжение каждой АКБ, химия, Ah, CCA и стандарт CCA, BMS и допустимый пусковой ток</t>
  </si>
  <si>
    <t xml:space="preserve">Владелец исходных данных + электропроектировщик</t>
  </si>
  <si>
    <t xml:space="preserve">В ведомости остаётся 9 физических АКБ; заполнены паспортные характеристики всех 9</t>
  </si>
  <si>
    <t xml:space="preserve">115 ампер не преобразовано в 115 Ah; ссылка не означает наличие купленных АКБ</t>
  </si>
  <si>
    <t xml:space="preserve">EH02</t>
  </si>
  <si>
    <t xml:space="preserve">START</t>
  </si>
  <si>
    <t xml:space="preserve">Исполнение пуска 24 В для точного двигателя</t>
  </si>
  <si>
    <t xml:space="preserve">functional scope</t>
  </si>
  <si>
    <t xml:space="preserve">Количество аппаратов определяется согласованной схемой</t>
  </si>
  <si>
    <t xml:space="preserve">Поставщик двигателя: стартер, соленоид, реле, генератор, ECU/приборы/датчики по совместимой схеме</t>
  </si>
  <si>
    <t xml:space="preserve">24 VDC / штатная электрика двигателя</t>
  </si>
  <si>
    <t xml:space="preserve">M03 YAN-E01|YAN-E02</t>
  </si>
  <si>
    <t xml:space="preserve">https://www.yanmar.com/marine/wp-content/uploads/2020/03/DS_8LV320-350-370_A4_2021_1018_HR.pdf?download=1 | https://www.yanmar.com/marine/wp-content/uploads/2020/05/Yanmar-Datasheet_6LPA-STP2.pdf?download=1</t>
  </si>
  <si>
    <t xml:space="preserve">Есть ли одобренное OEM исполнение 24 В? Дайте SKU, схему, ограничения и гарантийное подтверждение; при отсутствии прямо укажите</t>
  </si>
  <si>
    <t xml:space="preserve">Yanmar / поставщик двигателя</t>
  </si>
  <si>
    <t xml:space="preserve">Документирована реализуемая архитектура с требованием 24 В; изменения согласованы до закрытия</t>
  </si>
  <si>
    <t xml:space="preserve">Паспорта показывают штатно 12 В; отсутствие найденной опции не доказательство невозможности. Ветка 12 В не принята</t>
  </si>
  <si>
    <t xml:space="preserve">EH03</t>
  </si>
  <si>
    <t xml:space="preserve">Матрица резервного пуска от каждого исправного донора</t>
  </si>
  <si>
    <t xml:space="preserve">Системное решение, не один контактор</t>
  </si>
  <si>
    <t xml:space="preserve">Каждая из 9 АКБ / пусковые цели / работоспособность основной нагрузки</t>
  </si>
  <si>
    <t xml:space="preserve">M01 ME-28</t>
  </si>
  <si>
    <t xml:space="preserve">Для каждого донора: допустимая цель, напряжение, доступный ток/энергия, условия SOC/температуры, BMS, способ преобразования если нужен</t>
  </si>
  <si>
    <t xml:space="preserve">Электропроектировщик + OEM двигателей</t>
  </si>
  <si>
    <t xml:space="preserve">Каждый требуемый сценарий подтверждён расчётом и программой испытаний; ограничения явно приняты</t>
  </si>
  <si>
    <t xml:space="preserve">Не обещать запуск от любой одиночной АКБ до проверки; не добавлять АКБ и не назначать последовательную схему</t>
  </si>
  <si>
    <t xml:space="preserve">EH04</t>
  </si>
  <si>
    <t xml:space="preserve">Дистанционное отсоединение отказавшей батареи и коммутация донора</t>
  </si>
  <si>
    <t xml:space="preserve">Контакторы/изоляторы/блокировки как один функциональный узел; число по схеме</t>
  </si>
  <si>
    <t xml:space="preserve">Отказ КЗ / разряд / BMS trip / залипание контакта</t>
  </si>
  <si>
    <t xml:space="preserve">Однолинейная схема и последовательность: обнаружение, изоляция повреждённой ветви, подтверждение положения, разрешение донора</t>
  </si>
  <si>
    <t xml:space="preserve">Электропроектировщик + сборщик щита</t>
  </si>
  <si>
    <t xml:space="preserve">Отказавшая АКБ не подключается обратно через резерв; исключено недопустимое соединение источников</t>
  </si>
  <si>
    <t xml:space="preserve">Прямая короткая перемычка между неизвестными напряжениями не решение; предусмотреть местное аварийное действие</t>
  </si>
  <si>
    <t xml:space="preserve">EH05</t>
  </si>
  <si>
    <t xml:space="preserve">Питание и индикация дистанционного резервного управления</t>
  </si>
  <si>
    <t xml:space="preserve">Цепи управления/сигнализации, источник независим от отказавшей пусковой ветви</t>
  </si>
  <si>
    <t xml:space="preserve">Пост управления / контакторы / обратная связь</t>
  </si>
  <si>
    <t xml:space="preserve">Откуда питается управление при обесточенной пусковой АКБ? Схема, индикация реальных положений и ручное восстановление</t>
  </si>
  <si>
    <t xml:space="preserve">Электропроектировщик</t>
  </si>
  <si>
    <t xml:space="preserve">Дистанционный перевод доступен при заданном отказе; потеря питания не создаёт опасное соединение</t>
  </si>
  <si>
    <t xml:space="preserve">EH06</t>
  </si>
  <si>
    <t xml:space="preserve">Пусковые кабели, защита и отключающая способность</t>
  </si>
  <si>
    <t xml:space="preserve">Внешняя силовая проводка, наконечники, защита и прокладка</t>
  </si>
  <si>
    <t xml:space="preserve">Стартер / контакторы / батареи / общий возврат</t>
  </si>
  <si>
    <t xml:space="preserve">Длина трасс, ток пуска/КЗ, падение напряжения, длительность пуска, нагрев, DC ratings защиты/контактов; обоснование исключений защиты пусковой цепи</t>
  </si>
  <si>
    <t xml:space="preserve">Электропроектировщик + электромонтажник</t>
  </si>
  <si>
    <t xml:space="preserve">Расчёт и спецификация покрывают штатный и резервный пуск, ток КЗ и среду МО</t>
  </si>
  <si>
    <t xml:space="preserve">Не назначать сечение или номинал по мощности стартера без пускового тока</t>
  </si>
  <si>
    <t xml:space="preserve">EH07</t>
  </si>
  <si>
    <t xml:space="preserve">POWER</t>
  </si>
  <si>
    <t xml:space="preserve">Заряд и разделение источников</t>
  </si>
  <si>
    <t xml:space="preserve">Штатный генератор двигателя отделён от судового распределения и зарядных устройств</t>
  </si>
  <si>
    <t xml:space="preserve">Сервис / 2 генераторные / главная пусковая / инверторы-зарядники</t>
  </si>
  <si>
    <t xml:space="preserve">M01 ME-05|ME-10|ME-28; M03 YAN-E01|YAN-E02</t>
  </si>
  <si>
    <t xml:space="preserve">deliverables/M01/v001/01_support/owner-requirements.md D018 | https://www.yanmar.com/marine/wp-content/uploads/2020/03/DS_8LV320-350-370_A4_2021_1018_HR.pdf?download=1 | https://www.yanmar.com/marine/wp-content/uploads/2020/05/Yanmar-Datasheet_6LPA-STP2.pdf?download=1</t>
  </si>
  <si>
    <t xml:space="preserve">Матрица зарядных режимов химии/BMS, напряжения, токи, изоляция обратных токов, действия при отказе/размыкании нагрузки</t>
  </si>
  <si>
    <t xml:space="preserve">Электропроектировщик + OEM</t>
  </si>
  <si>
    <t xml:space="preserve">Ни одна АКБ не заряжается несовместимым режимом; резервная коммутация согласована с работающими зарядниками</t>
  </si>
  <si>
    <t xml:space="preserve">Не добавлять отдельный преобразователь до выбора архитектуры; 12-вольтовый генератор не принят как судовая сеть</t>
  </si>
  <si>
    <t xml:space="preserve">EH08</t>
  </si>
  <si>
    <t xml:space="preserve">Распределение 24 VDC / 220 VAC и возврат токов</t>
  </si>
  <si>
    <t xml:space="preserve">Судовые щиты/кабели/защита; число шкафов пока не задано</t>
  </si>
  <si>
    <t xml:space="preserve">Берег / 2 генератора / инверторы / алюминиевый корпус</t>
  </si>
  <si>
    <t xml:space="preserve">M01 ME-04|ME-05|ME-09|ME-10</t>
  </si>
  <si>
    <t xml:space="preserve">Однолинейная схема: напряжение/частота, переключение источников, защита утечки, PE/DC return, уравнивание потенциалов и коррозионная защита</t>
  </si>
  <si>
    <t xml:space="preserve">Электропроектировщик + верфь</t>
  </si>
  <si>
    <t xml:space="preserve">Подтверждены 24 В DC и 220 В AC для потребителей; исключены непредусмотренная параллель источников и токовый возврат через корпус</t>
  </si>
  <si>
    <t xml:space="preserve">50 Гц — прежняя проектная цель, не новое подтверждение владельца; 230 В паспортов согласовать с 220 В требованием</t>
  </si>
  <si>
    <t xml:space="preserve">EH09</t>
  </si>
  <si>
    <t xml:space="preserve">CONTROL</t>
  </si>
  <si>
    <t xml:space="preserve">Приборная панель и моторный жгут</t>
  </si>
  <si>
    <t xml:space="preserve">8LV заявлен VC20/панель/проводка; 6LPA выбрать одну B/C/D и верный жгут</t>
  </si>
  <si>
    <t xml:space="preserve">Двигатель / пост / сигнализация / напряжение</t>
  </si>
  <si>
    <t xml:space="preserve">M03 YAN-E01; M04 A01|A02|A03|A06</t>
  </si>
  <si>
    <t xml:space="preserve">deliverables/M04/v001/01_support/ancillaries.md</t>
  </si>
  <si>
    <t xml:space="preserve">Упаковочная спецификация, SKU панели и моторного/удлинительного жгута, длины, разъёмы и рабочее напряжение</t>
  </si>
  <si>
    <t xml:space="preserve">Поставщик двигателя</t>
  </si>
  <si>
    <t xml:space="preserve">Состав подтверждён по точному серийному исполнению; встроенные датчики/детали панели не задвоены</t>
  </si>
  <si>
    <t xml:space="preserve">Для STP2 77760 против старого 77720; длина 6 м условна</t>
  </si>
  <si>
    <t xml:space="preserve">EH10</t>
  </si>
  <si>
    <t xml:space="preserve">Газ/реверс, нейтраль и разрешение пуска</t>
  </si>
  <si>
    <t xml:space="preserve">8LV проверить состав VC20; 6LPA механический пост, тросы, кронштейны и нейтральная блокировка</t>
  </si>
  <si>
    <t xml:space="preserve">Редуктор / двигатель / PTO / посты</t>
  </si>
  <si>
    <t xml:space="preserve">M04 A07; M03 YAN-E01</t>
  </si>
  <si>
    <t xml:space="preserve">deliverables/M04/v001/00_yanmar-completeness.md</t>
  </si>
  <si>
    <t xml:space="preserve">Схема управления и комплектность каждого поста; нейтральный датчик, ход тросов/актуаторов, отказ питания</t>
  </si>
  <si>
    <t xml:space="preserve">Поставщик управления + верфь</t>
  </si>
  <si>
    <t xml:space="preserve">Пуск при включённой передаче заблокирован; команды PTO/газа/реверса согласованы</t>
  </si>
  <si>
    <t xml:space="preserve">Панель приборов не заменяет управление движением; число постов открыто</t>
  </si>
  <si>
    <t xml:space="preserve">EH11</t>
  </si>
  <si>
    <t xml:space="preserve">HYDRAULIC</t>
  </si>
  <si>
    <t xml:space="preserve">Профиль гидравлических потребителей</t>
  </si>
  <si>
    <t xml:space="preserve">Подруливающие устройства и все лебёдки; это обязательный тип привода</t>
  </si>
  <si>
    <t xml:space="preserve">Каждый потребитель / насосы / распределители</t>
  </si>
  <si>
    <t xml:space="preserve">M01 ME-29</t>
  </si>
  <si>
    <t xml:space="preserve">По каждому потребителю: давление, расход, длительность, пусковой переход, направление; таблица одновременных режимов</t>
  </si>
  <si>
    <t xml:space="preserve">Гидропроектировщик + поставщики потребителей</t>
  </si>
  <si>
    <t xml:space="preserve">Все подрульки и лебёдки включены в нагрузочную матрицу; основные режимы согласованы</t>
  </si>
  <si>
    <t xml:space="preserve">Не добавлять электрические приводы вместо обязательной гидравлики</t>
  </si>
  <si>
    <t xml:space="preserve">EH12</t>
  </si>
  <si>
    <t xml:space="preserve">Допустимый PTO и сопряжение насоса</t>
  </si>
  <si>
    <t xml:space="preserve">8LV опциональный передний ременный PTO; 6LPA подтверждённого привода нет</t>
  </si>
  <si>
    <t xml:space="preserve">Коленвал / ремни или муфта / насос / редуктор</t>
  </si>
  <si>
    <t xml:space="preserve">Кривые допустимой мощности/момента PTO по оборотам, боковые нагрузки, комплект привода, передача и ограничения гарантий</t>
  </si>
  <si>
    <t xml:space="preserve">Yanmar + поставщик гидросистемы</t>
  </si>
  <si>
    <t xml:space="preserve">OEM подтвердил точный привод и насос во всём требуемом диапазоне</t>
  </si>
  <si>
    <t xml:space="preserve">Гидравлическое включение KMH50A не является внешним гидравлическим PTO</t>
  </si>
  <si>
    <t xml:space="preserve">EH13</t>
  </si>
  <si>
    <t xml:space="preserve">Основной насос и управление расходом</t>
  </si>
  <si>
    <t xml:space="preserve">Насосный функциональный пакет; число насосов и секций открыто</t>
  </si>
  <si>
    <t xml:space="preserve">PTO / электрический или иной согласованный источник / распределение</t>
  </si>
  <si>
    <t xml:space="preserve">Рабочие точки p-Q, КПД, обороты, управление расходом, разгрузка, допустимость сухого пуска и кавитационный запас</t>
  </si>
  <si>
    <t xml:space="preserve">Гидропроектировщик</t>
  </si>
  <si>
    <t xml:space="preserve">Потребители обеспечены в согласованных режимах без превышения PTO/привода</t>
  </si>
  <si>
    <t xml:space="preserve">Оборудование не выбирать только по максимальному давлению</t>
  </si>
  <si>
    <t xml:space="preserve">EH14</t>
  </si>
  <si>
    <t xml:space="preserve">Совместный баланс ходовой мощности и гидравлики</t>
  </si>
  <si>
    <t xml:space="preserve">Расчёт режимов всей силовой установки</t>
  </si>
  <si>
    <t xml:space="preserve">Двигатель / винт / насос / генерация электроэнергии</t>
  </si>
  <si>
    <t xml:space="preserve">Баланс по оборотам и продолжительности: ход+подрульки+лебёдки; ограничения включения и минимальные обороты</t>
  </si>
  <si>
    <t xml:space="preserve">Судовой проектировщик + OEM + гидропроектировщик</t>
  </si>
  <si>
    <t xml:space="preserve">Нет превышения длительного рейтинга двигателя и привода; доступная тяга показана</t>
  </si>
  <si>
    <t xml:space="preserve">Паспортная пиковая мощность двигателя не равна непрерывной мощности PTO</t>
  </si>
  <si>
    <t xml:space="preserve">EH15</t>
  </si>
  <si>
    <t xml:space="preserve">Резерв работоспособности при отказе основного насоса/двигателя</t>
  </si>
  <si>
    <t xml:space="preserve">Функция резерва; отдельный второй насос не назначен</t>
  </si>
  <si>
    <t xml:space="preserve">Донор энергии / аварийные режимы / необходимые потребители</t>
  </si>
  <si>
    <t xml:space="preserve">Сценарии отказа и минимально необходимые операции; варианты независимого привода, переключение и энергобаланс</t>
  </si>
  <si>
    <t xml:space="preserve">Гидропроектировщик + судовой проектировщик</t>
  </si>
  <si>
    <t xml:space="preserve">Согласованы обеспечиваемые аварийные функции и испытание переключения</t>
  </si>
  <si>
    <t xml:space="preserve">Резервный пуск двигателя и резерв гидравлики — разные задачи; насос пресной воды ME-06 сюда не относится</t>
  </si>
  <si>
    <t xml:space="preserve">EH16</t>
  </si>
  <si>
    <t xml:space="preserve">Бак, фильтрация, охладитель и обвязка</t>
  </si>
  <si>
    <t xml:space="preserve">Полный вспомогательный гидропакет; объёмы и число аппаратов по расчёту</t>
  </si>
  <si>
    <t xml:space="preserve">Воздух/вода охлаждения / корпус / МО / гидроприводы</t>
  </si>
  <si>
    <t xml:space="preserve">Тепловой баланс, температура масла, резервуар/деаэрация, фильтрация, датчики загрязнения/уровня, трубопроводы и обслуживание</t>
  </si>
  <si>
    <t xml:space="preserve">Гидропроектировщик + верфь</t>
  </si>
  <si>
    <t xml:space="preserve">Температура и чистота масла обеспечены в худшем согласованном цикле; комплектность/доступ показаны</t>
  </si>
  <si>
    <t xml:space="preserve">Охладитель масла редуктора M04 не подменяет охладитель внешней гидросистемы</t>
  </si>
  <si>
    <t xml:space="preserve">EH17</t>
  </si>
  <si>
    <t xml:space="preserve">Защитные функции и условный аккумулятор давления</t>
  </si>
  <si>
    <t xml:space="preserve">Предохранение от превышения давления/неуправляемого движения; аккумулятор только если требуется расчётом</t>
  </si>
  <si>
    <t xml:space="preserve">Клапаны / удержание нагрузок / аварийный останов / сброс энергии</t>
  </si>
  <si>
    <t xml:space="preserve">Схема предохранительных/удерживающих клапанов, ручной сброс, аварийный останов; для аккумулятора обоснование, объём и изоляция</t>
  </si>
  <si>
    <t xml:space="preserve">Гидропроектировщик + поставщики лебёдок/подрулек</t>
  </si>
  <si>
    <t xml:space="preserve">Нагрузки безопасно удерживаются при потере давления; остаточная энергия контролируема</t>
  </si>
  <si>
    <t xml:space="preserve">Аккумулятор давления не назначен обязательным и не является электрической АКБ</t>
  </si>
  <si>
    <t xml:space="preserve">EH18</t>
  </si>
  <si>
    <t xml:space="preserve">VERIFICATION</t>
  </si>
  <si>
    <t xml:space="preserve">Совместные приёмочные испытания пуска и гидравлики</t>
  </si>
  <si>
    <t xml:space="preserve">Программа FAT/SAT и комплект исполнительных схем</t>
  </si>
  <si>
    <t xml:space="preserve">Электрика / двигатель / PTO / гидравлика / оператор</t>
  </si>
  <si>
    <t xml:space="preserve">M01 ME-28|ME-29</t>
  </si>
  <si>
    <t xml:space="preserve">Протоколы штатного и резервного пуска, изоляции отказа, потери управления, совместной нагрузки и температурного цикла</t>
  </si>
  <si>
    <t xml:space="preserve">Верфь + системные поставщики + независимая приёмка</t>
  </si>
  <si>
    <t xml:space="preserve">Результаты сопоставлены с числовыми критериями утверждённого проекта; замечания закрыты</t>
  </si>
  <si>
    <t xml:space="preserve">Это будущие критерии приёмки, не заявление уже выполненных испытаний</t>
  </si>
  <si>
    <t xml:space="preserve">G01</t>
  </si>
  <si>
    <t xml:space="preserve">GENERATOR_INTERFACE</t>
  </si>
  <si>
    <t xml:space="preserve">Два дизель-генератора как интерфейс силовой установки</t>
  </si>
  <si>
    <t xml:space="preserve">2</t>
  </si>
  <si>
    <t xml:space="preserve">шт.</t>
  </si>
  <si>
    <t xml:space="preserve">M01:2 генератора; две модели рассматриваются альтернативно, не суммируются</t>
  </si>
  <si>
    <t xml:space="preserve">PK02: агрегаты/капсулы/заводская комплектация; внешние ветви G02, электрическая коммутация EH</t>
  </si>
  <si>
    <t xml:space="preserve">Нагрузки AC/заряд/пуск/тепло/гидравлический резерв</t>
  </si>
  <si>
    <t xml:space="preserve">M03 PAN-G02|PAN-G03; комплектность не закрыта</t>
  </si>
  <si>
    <t xml:space="preserve">Два точных SKU; полезная мощность при температуре МО;24Впуск; 220Всовместимость; BOM/GA</t>
  </si>
  <si>
    <t xml:space="preserve">Fischer Panda + электропроектировщик</t>
  </si>
  <si>
    <t xml:space="preserve">Два агрегата подтверждены по одному согласованному требованию к полезному выходу; выбранная модель/режим документированы</t>
  </si>
  <si>
    <t xml:space="preserve">Не назначены параллель и номинальная сумма мощностей; генераторы не посчитаны повторно в главном двигателе</t>
  </si>
  <si>
    <t xml:space="preserve">G02</t>
  </si>
  <si>
    <t xml:space="preserve">Внешние топливные, забортные и выхлопные ветви двух генераторов</t>
  </si>
  <si>
    <t xml:space="preserve">по схеме</t>
  </si>
  <si>
    <t xml:space="preserve">Два обслуживаемых агрегата; количества клапанов/фильтров/проходов и длины пока неизвестны</t>
  </si>
  <si>
    <t xml:space="preserve">PK09: вне заводского пакета; главному двигателю соответствуют механические строки</t>
  </si>
  <si>
    <t xml:space="preserve">G01 / корпус / водолиния / крен / вентиляция / отсечки</t>
  </si>
  <si>
    <t xml:space="preserve">M03 PK09; поставку и монтаж закрыть отдельно</t>
  </si>
  <si>
    <t xml:space="preserve">deliverables/M03/v001/01_support/packages.csv</t>
  </si>
  <si>
    <t xml:space="preserve">Схема каждой ветви, OEMпределы, отказ/обратныйпереток/сифон, BOMтруб/арматуры; функции общей и индивидуальной отсечки</t>
  </si>
  <si>
    <t xml:space="preserve">Механик + OEM + верфь</t>
  </si>
  <si>
    <t xml:space="preserve">Отказ/ремонт одного генератора не лишает второй предусмотренной работоспособности; испытания каждой ветви</t>
  </si>
  <si>
    <t xml:space="preserve">Общий топливный танк не объявлен независимостью систем; общие причины отказа анализируются; вентиляция общая учитывается единожды</t>
  </si>
  <si>
    <t xml:space="preserve">G03</t>
  </si>
  <si>
    <t xml:space="preserve">Крепление, монтаж и пусконаладка генераторов</t>
  </si>
  <si>
    <t xml:space="preserve">работы по двум агрегатам</t>
  </si>
  <si>
    <t xml:space="preserve">Нормочасы, крепёж, центровка/проверка вибрации и испытания по монтажному проекту</t>
  </si>
  <si>
    <t xml:space="preserve">PK02: собственный монтаж/локальные испытания; общие электросистемные испытания EH отдельно</t>
  </si>
  <si>
    <t xml:space="preserve">G01 / фундаменты / шум / изоляция / сервис / программа приёмки</t>
  </si>
  <si>
    <t xml:space="preserve">M03 PK02; цена работ OPEN</t>
  </si>
  <si>
    <t xml:space="preserve">Расчёт креплений, рабочая и сервисная масса, маршрут заноса/извлечения; протокол по одному и двум агрегатам</t>
  </si>
  <si>
    <t xml:space="preserve">Верфь + сервис Fischer Panda</t>
  </si>
  <si>
    <t xml:space="preserve">Оформлены крепления и доступ; подтверждена работа в согласованных режимах; гарантийный ввод</t>
  </si>
  <si>
    <t xml:space="preserve">Заводские опоры не покупать второй раз при включении в G01</t>
  </si>
  <si>
    <t xml:space="preserve">Тема</t>
  </si>
  <si>
    <t xml:space="preserve">Основание / предел</t>
  </si>
  <si>
    <t xml:space="preserve">Первичная ставкаPL</t>
  </si>
  <si>
    <t xml:space="preserve">https://www.podatki.gov.pl/podatki-firmowe/vat/stawki-i-limity</t>
  </si>
  <si>
    <t xml:space="preserve">Основание источников</t>
  </si>
  <si>
    <t xml:space="preserve">M03/v001 цены11.09.2026 и справочныйFX10.09.2026. M05подстановки отдельно. Новый поиск цен не выполнялся.</t>
  </si>
  <si>
    <t xml:space="preserve">Округление</t>
  </si>
  <si>
    <t xml:space="preserve">ИсходныйNET→EURценаединицы какM03; количество×цена округляетсяHALF_UP доцента, затемVATстроки доцента, итогсуммируетстроки.</t>
  </si>
  <si>
    <t xml:space="preserve">Налоги и маршрут</t>
  </si>
  <si>
    <t xml:space="preserve">PL23 — плановое допущение владельца. WNT/импорт/вычет и счёт продавца потребуют проверки; импортнаяналоговаябаза включает свои элементы, простойтоварныйNETеёнеопределяет.</t>
  </si>
  <si>
    <t xml:space="preserve">Состав команды</t>
  </si>
  <si>
    <t xml:space="preserve">Propulsion:experiment_basis;охват:tools_freecad;сведение:root;независимыйвыпуск:experiment_model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</si>
</sst>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sz val="11"/>
      <color rgb="FF0066AA"/>
      <name val="Cambria"/>
      <family val="0"/>
      <charset val="1"/>
    </font>
    <font>
      <u val="single"/>
      <sz val="11"/>
      <color rgb="FF006DA3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34351"/>
        <bgColor rgb="FF003366"/>
      </patternFill>
    </fill>
    <fill>
      <patternFill patternType="solid">
        <fgColor rgb="FFF1F5F7"/>
        <bgColor rgb="FFE5EBEF"/>
      </patternFill>
    </fill>
    <fill>
      <patternFill patternType="solid">
        <fgColor rgb="FFE5EBEF"/>
        <bgColor rgb="FFF1F5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34351"/>
          <bgColor rgb="FF000000"/>
        </patternFill>
      </fill>
    </dxf>
    <dxf>
      <fill>
        <patternFill patternType="solid">
          <fgColor rgb="FFF1F5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5EBEF"/>
          <bgColor rgb="FF000000"/>
        </patternFill>
      </fill>
    </dxf>
    <dxf>
      <fill>
        <patternFill patternType="solid">
          <fgColor rgb="FF0066AA"/>
          <bgColor rgb="FF000000"/>
        </patternFill>
      </fill>
    </dxf>
    <dxf>
      <fill>
        <patternFill patternType="solid">
          <fgColor rgb="FF006DA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DA3"/>
      <rgbColor rgb="FFC0C0C0"/>
      <rgbColor rgb="FF808080"/>
      <rgbColor rgb="FF9999FF"/>
      <rgbColor rgb="FF993366"/>
      <rgbColor rgb="FFF1F5F7"/>
      <rgbColor rgb="FFE5EBEF"/>
      <rgbColor rgb="FF660066"/>
      <rgbColor rgb="FFFF8080"/>
      <rgbColor rgb="FF0066A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343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abma-sneek.nl/yanmar/engines-gears-drives/powerboat-engines?prod_id=650436" TargetMode="External"/><Relationship Id="rId2" Type="http://schemas.openxmlformats.org/officeDocument/2006/relationships/hyperlink" Target="https://www.nautiradar.pt/en/products/fischer-panda/panda-12000x-230v-pms-12kva-fixed-engine-speed-marine-generator" TargetMode="External"/><Relationship Id="rId3" Type="http://schemas.openxmlformats.org/officeDocument/2006/relationships/hyperlink" Target="https://www.svb.de/de/victron-wechselrichter-ladegeraet-multiplus-ii-gx-24-v-3000-va-70-a.html" TargetMode="External"/><Relationship Id="rId4" Type="http://schemas.openxmlformats.org/officeDocument/2006/relationships/hyperlink" Target="https://www.svb24.com/en/mastervolt-mass-gi-3-5-isolation-transformer-16-a-3-5-kw.html" TargetMode="External"/><Relationship Id="rId5" Type="http://schemas.openxmlformats.org/officeDocument/2006/relationships/hyperlink" Target="https://www.nothnagel-marine.de/product_info.php?info=p3857_aquamot---power-battery--dc-battery-als12115-12v-115ah-agm-deep-cycle-battery.html&amp;language=en" TargetMode="External"/><Relationship Id="rId6" Type="http://schemas.openxmlformats.org/officeDocument/2006/relationships/hyperlink" Target="https://www.svb24.com/en/blue-sea-hd-remote-battery-switch-24v.html" TargetMode="External"/><Relationship Id="rId7" Type="http://schemas.openxmlformats.org/officeDocument/2006/relationships/hyperlink" Target="https://www.comptoirnautique.com/groupe-d-eau-hydrophore/22947-gianneschi-groupe-d-eau-ecoinox-1-avec-reservoir-20l-24v-45lmin-7024.html" TargetMode="External"/><Relationship Id="rId8" Type="http://schemas.openxmlformats.org/officeDocument/2006/relationships/hyperlink" Target="https://www.tyboat.com/achat/P-57388-gianneschi-groupe-d-eau-ecoinox2-3-5-bars-0-45-kw-55-litres-minute-reservoir-20-litres-230-volts.html" TargetMode="External"/><Relationship Id="rId9" Type="http://schemas.openxmlformats.org/officeDocument/2006/relationships/hyperlink" Target="https://mar-nautic.com/schenker-watermaker-zen-150" TargetMode="External"/><Relationship Id="rId10" Type="http://schemas.openxmlformats.org/officeDocument/2006/relationships/hyperlink" Target="https://www.tyboat.com/achat/P-8880-quick-chauffe-eau-cylindrique-bx-40-litres-220-volts-1200-watts.html" TargetMode="External"/><Relationship Id="rId11" Type="http://schemas.openxmlformats.org/officeDocument/2006/relationships/hyperlink" Target="https://mdislandsupply.com/en/climma/879-cws-aquacontrol-161-rc-230150-climma.html" TargetMode="External"/><Relationship Id="rId12" Type="http://schemas.openxmlformats.org/officeDocument/2006/relationships/hyperlink" Target="https://www.comptoirnautique.com/climatisation-bateau/91819-frigomar-pompes-a-entrainement-magnetique.html" TargetMode="External"/><Relationship Id="rId13" Type="http://schemas.openxmlformats.org/officeDocument/2006/relationships/hyperlink" Target="https://racorshop.de/product/racor-75500maxm30-turbine-filter-marine/" TargetMode="External"/><Relationship Id="rId14" Type="http://schemas.openxmlformats.org/officeDocument/2006/relationships/hyperlink" Target="https://www.mediawinkel.eu/nl/heavy-duty-waterfilter-32-mm.html" TargetMode="External"/><Relationship Id="rId15" Type="http://schemas.openxmlformats.org/officeDocument/2006/relationships/hyperlink" Target="https://www.mackengineering.co.uk/35770-0094-24v-flexmount-blower.html" TargetMode="External"/><Relationship Id="rId16" Type="http://schemas.openxmlformats.org/officeDocument/2006/relationships/hyperlink" Target="https://www.mackengineering.co.uk/marco-up3-oil-pump-24v.html" TargetMode="External"/><Relationship Id="rId17" Type="http://schemas.openxmlformats.org/officeDocument/2006/relationships/hyperlink" Target="https://www.mackengineering.co.uk/rule-2000-gph-bilge-pump-24v.html" TargetMode="External"/><Relationship Id="rId18" Type="http://schemas.openxmlformats.org/officeDocument/2006/relationships/hyperlink" Target="https://www.mackengineering.co.uk/bp9005-whale-gusher-urchin-hand-pump.html" TargetMode="External"/><Relationship Id="rId19" Type="http://schemas.openxmlformats.org/officeDocument/2006/relationships/hyperlink" Target="https://www.mackengineering.co.uk/rule-2000-gph-bilge-pump-24v.html" TargetMode="External"/><Relationship Id="rId20" Type="http://schemas.openxmlformats.org/officeDocument/2006/relationships/hyperlink" Target="https://www.oltrevela.com/en/31-620-55-fireboy-ma-series-automatic-manual-fire-extinguisher-13-4-kg-for-engine-rooms-and-motor-compartments-up-to-51m-uscg-and-iso-rina-approved-fireboy-4" TargetMode="External"/><Relationship Id="rId21" Type="http://schemas.openxmlformats.org/officeDocument/2006/relationships/hyperlink" Target="https://www.vetus-shop.com/vetus-fuel-tank-quickfit-diesel-40-litre-8mm-p-1786.html" TargetMode="External"/><Relationship Id="rId22" Type="http://schemas.openxmlformats.org/officeDocument/2006/relationships/hyperlink" Target="https://www.cactusnav.com/jabsco-macerator-pump-p-37922.html" TargetMode="External"/><Relationship Id="rId23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dbmoteurs.fr/sites/default/files/Volvo-Penta-tarifs-prix-achat-moteurs-2023-DB-Moteurs-motorisation-marine-bateau-plaisance.pdf" TargetMode="External"/><Relationship Id="rId2" Type="http://schemas.openxmlformats.org/officeDocument/2006/relationships/hyperlink" Target="https://www.dbmoteurs.fr/sites/default/files/Moteur-Volvo-Penta-D4-270-300-320-fiche-commerciale-2021-47711815-en.pdf" TargetMode="External"/><Relationship Id="rId3" Type="http://schemas.openxmlformats.org/officeDocument/2006/relationships/hyperlink" Target="https://www.dbmoteurs.fr/sites/default/files/Volvo-Penta-tarifs-prix-achat-moteurs-2023-DB-Moteurs-motorisation-marine-bateau-plaisance.pdf" TargetMode="External"/><Relationship Id="rId4" Type="http://schemas.openxmlformats.org/officeDocument/2006/relationships/hyperlink" Target="https://www.dbmoteurs.fr/sites/default/files/Moteur-Volvo-Penta-D4-270-300-320-fiche-commerciale-2021-47711815-en.pdf" TargetMode="External"/><Relationship Id="rId5" Type="http://schemas.openxmlformats.org/officeDocument/2006/relationships/hyperlink" Target="https://www.dbmoteurs.fr/sites/default/files/Volvo-Penta-tarifs-prix-achat-moteurs-2023-DB-Moteurs-motorisation-marine-bateau-plaisance.pdf" TargetMode="External"/><Relationship Id="rId6" Type="http://schemas.openxmlformats.org/officeDocument/2006/relationships/hyperlink" Target="https://www.dbmoteurs.fr/sites/default/files/Moteur-Volvo-Penta-D6-300-340-380-fiche-commerciale-brochure-2021-47711891-fr-dbmoteurs.pdf" TargetMode="External"/><Relationship Id="rId7" Type="http://schemas.openxmlformats.org/officeDocument/2006/relationships/hyperlink" Target="https://www.etruck.fi/shop-1" TargetMode="External"/><Relationship Id="rId8" Type="http://schemas.openxmlformats.org/officeDocument/2006/relationships/hyperlink" Target="https://www.fptindustrial.com/-/media/FPT/Brochures/Engines/MARINE/COMMERCIAL/Marine_Commercial_FR_2026.pdf?rev=-1" TargetMode="External"/><Relationship Id="rId9" Type="http://schemas.openxmlformats.org/officeDocument/2006/relationships/hyperlink" Target="https://www.jpcdirect.com/product/fischer-panda-12000x-generator/" TargetMode="External"/><Relationship Id="rId10" Type="http://schemas.openxmlformats.org/officeDocument/2006/relationships/hyperlink" Target="https://www.onefischerpanda.com/marine/marine-generators/xseries-generators/panda-12000x-pms/" TargetMode="External"/><Relationship Id="rId11" Type="http://schemas.openxmlformats.org/officeDocument/2006/relationships/hyperlink" Target="https://www.jpcdirect.com/product/kohler-12-kilowatt-generator/" TargetMode="External"/><Relationship Id="rId12" Type="http://schemas.openxmlformats.org/officeDocument/2006/relationships/hyperlink" Target="https://techcomm.rehlko.com/techcomm/pdf/g2186.pdf" TargetMode="External"/><Relationship Id="rId13" Type="http://schemas.openxmlformats.org/officeDocument/2006/relationships/hyperlink" Target="https://www.manelservice.com/it/gruppi-elettrogeni-marini/3925-vte-paguro-12000-v-ap12023050m0.html" TargetMode="External"/><Relationship Id="rId14" Type="http://schemas.openxmlformats.org/officeDocument/2006/relationships/hyperlink" Target="https://www.volpitecno.com/portfolio/paguro-12000-v-10-kw-2000-&#247;-3000-g-1/" TargetMode="External"/><Relationship Id="rId15" Type="http://schemas.openxmlformats.org/officeDocument/2006/relationships/hyperlink" Target="https://mmarineonline.com/products/kohler-marine-diesel-generator-24v-12efkozd-ss-50hz-with-sound-shield" TargetMode="External"/><Relationship Id="rId16" Type="http://schemas.openxmlformats.org/officeDocument/2006/relationships/hyperlink" Target="https://techcomm.rehlko.com/techcomm/pdf/g2186.pdf" TargetMode="External"/><Relationship Id="rId17" Type="http://schemas.openxmlformats.org/officeDocument/2006/relationships/hyperlink" Target="https://www.svb.de/de/victron-wechselrichter-ladegeraet-multiplus-ii-24-v-3000-va-70-a.html" TargetMode="External"/><Relationship Id="rId18" Type="http://schemas.openxmlformats.org/officeDocument/2006/relationships/hyperlink" Target="https://www.victronenergy.com/media/pg/MultiPlus-II_230V/en/technical-specifications-mp-ii-230v.html" TargetMode="External"/><Relationship Id="rId19" Type="http://schemas.openxmlformats.org/officeDocument/2006/relationships/hyperlink" Target="https://www.svb.de/de/victron-wechselrichter-ladegeraet-multiplus-ii-gx-24-v-3000-va-70-a.html" TargetMode="External"/><Relationship Id="rId20" Type="http://schemas.openxmlformats.org/officeDocument/2006/relationships/hyperlink" Target="https://www.victronenergy.com/media/pg/MultiPlus-II_GX/en/technical-specifications-mp-ii-gx-230v.html" TargetMode="External"/><Relationship Id="rId21" Type="http://schemas.openxmlformats.org/officeDocument/2006/relationships/hyperlink" Target="https://www.svb.de/de/mastervolt-wechselrichter-ladegeraet-combimaster-24-v-3000-va-60-a.html?question_sort=oldest" TargetMode="External"/><Relationship Id="rId22" Type="http://schemas.openxmlformats.org/officeDocument/2006/relationships/hyperlink" Target="https://www.mastervolt.com/products/combimaster/combimaster-24-3000-60-230-v/" TargetMode="External"/><Relationship Id="rId23" Type="http://schemas.openxmlformats.org/officeDocument/2006/relationships/hyperlink" Target="https://www.svb24.com/en/p/victron-isolation-transformer-3600-w-115-230-v.html" TargetMode="External"/><Relationship Id="rId24" Type="http://schemas.openxmlformats.org/officeDocument/2006/relationships/hyperlink" Target="https://www.victronenergy.com/upload/documents/Datasheet-Isolation-Transformers-EN.pdf" TargetMode="External"/><Relationship Id="rId25" Type="http://schemas.openxmlformats.org/officeDocument/2006/relationships/hyperlink" Target="https://www.svb24.com/en/mastervolt-mass-gi-3-5-isolation-transformer-16-a-3-5-kw.html" TargetMode="External"/><Relationship Id="rId26" Type="http://schemas.openxmlformats.org/officeDocument/2006/relationships/hyperlink" Target="https://www.mastervolt.com/products/mass-gi/mass-gi-35-kva-16a-lightweight/" TargetMode="External"/><Relationship Id="rId27" Type="http://schemas.openxmlformats.org/officeDocument/2006/relationships/hyperlink" Target="https://www.hansenautic.de/36377/wp-gi-compact-galvanic-isolation-transformator-230v-16a-120v-32a/" TargetMode="External"/><Relationship Id="rId28" Type="http://schemas.openxmlformats.org/officeDocument/2006/relationships/hyperlink" Target="https://www.whisperpower.com/gi-3600-compact-galvanic-isolation-transformer" TargetMode="External"/><Relationship Id="rId29" Type="http://schemas.openxmlformats.org/officeDocument/2006/relationships/hyperlink" Target="https://online-batterien.de/a/exide-er550-dual-versorgungsbatterie-starterbatterie-12v-115ah-550wh/400440" TargetMode="External"/><Relationship Id="rId30" Type="http://schemas.openxmlformats.org/officeDocument/2006/relationships/hyperlink" Target="https://www.exidegroup.com/en/document/ml-brochure-2022" TargetMode="External"/><Relationship Id="rId31" Type="http://schemas.openxmlformats.org/officeDocument/2006/relationships/hyperlink" Target="https://www.nothnagel-marine.de/product_info.php?info=p3857_aquamot---power-battery--dc-battery-als12115-12v-115ah-agm-deep-cycle-battery.html&amp;language=en" TargetMode="External"/><Relationship Id="rId32" Type="http://schemas.openxmlformats.org/officeDocument/2006/relationships/hyperlink" Target="https://aquamot.at/wp-content/uploads/2018/02/Die-Batterie-Aquamot.pdf" TargetMode="External"/><Relationship Id="rId33" Type="http://schemas.openxmlformats.org/officeDocument/2006/relationships/hyperlink" Target="https://ab-marineservice.com/product/12v-115ah-agm-telecom-batt-m8/" TargetMode="External"/><Relationship Id="rId34" Type="http://schemas.openxmlformats.org/officeDocument/2006/relationships/hyperlink" Target="https://www.victronenergy.com/upload/documents/Datasheet-Telecom-batteries-EN.pdf" TargetMode="External"/><Relationship Id="rId35" Type="http://schemas.openxmlformats.org/officeDocument/2006/relationships/hyperlink" Target="https://www.dynastart.nl/lyn060102000-lynx-distributor-m8" TargetMode="External"/><Relationship Id="rId36" Type="http://schemas.openxmlformats.org/officeDocument/2006/relationships/hyperlink" Target="https://www.victronenergy.com/media/pg/Lynx_Distributor/en/technical-specifications-lynx-distributor.html" TargetMode="External"/><Relationship Id="rId37" Type="http://schemas.openxmlformats.org/officeDocument/2006/relationships/hyperlink" Target="https://www.svb24.com/en/philippi-stv207-power-distribution-panel-configurable.html" TargetMode="External"/><Relationship Id="rId38" Type="http://schemas.openxmlformats.org/officeDocument/2006/relationships/hyperlink" Target="https://www.philippi-online.de/en/collections/serie_200-marine/products/stv-207" TargetMode="External"/><Relationship Id="rId39" Type="http://schemas.openxmlformats.org/officeDocument/2006/relationships/hyperlink" Target="https://www.svb24.com/en/philippi-lae-113-shore-connection-unit.html" TargetMode="External"/><Relationship Id="rId40" Type="http://schemas.openxmlformats.org/officeDocument/2006/relationships/hyperlink" Target="https://www.philippi-online.de/en/products/lae-113" TargetMode="External"/><Relationship Id="rId41" Type="http://schemas.openxmlformats.org/officeDocument/2006/relationships/hyperlink" Target="https://www.svb24.com/en/blue-sea-hd-remote-battery-switch-24v.html" TargetMode="External"/><Relationship Id="rId42" Type="http://schemas.openxmlformats.org/officeDocument/2006/relationships/hyperlink" Target="https://www.bluesea.com/products/7702/ML-RBS_Remote_Battery_Switch_with_Manual_Control_-_24V_DC_500A" TargetMode="External"/><Relationship Id="rId43" Type="http://schemas.openxmlformats.org/officeDocument/2006/relationships/hyperlink" Target="https://www.svb24.com/en/blue-sea-universal-solenoid-switch-24-v.html" TargetMode="External"/><Relationship Id="rId44" Type="http://schemas.openxmlformats.org/officeDocument/2006/relationships/hyperlink" Target="https://d2pyqm2yd3fw2i.cloudfront.net/files/resources/instructions/990180170-006.pdf" TargetMode="External"/><Relationship Id="rId45" Type="http://schemas.openxmlformats.org/officeDocument/2006/relationships/hyperlink" Target="https://www.aquatec-watermaker.de/wassermacher-produkt-ac150-ac240.html" TargetMode="External"/><Relationship Id="rId46" Type="http://schemas.openxmlformats.org/officeDocument/2006/relationships/hyperlink" Target="https://www.aquatec-watermaker.de/wassermacher-produkt-ac150-ac240.html" TargetMode="External"/><Relationship Id="rId47" Type="http://schemas.openxmlformats.org/officeDocument/2006/relationships/hyperlink" Target="https://mar-nautic.com/schenker-watermaker-zen-150" TargetMode="External"/><Relationship Id="rId48" Type="http://schemas.openxmlformats.org/officeDocument/2006/relationships/hyperlink" Target="https://schenkerwatermakers.com/wp-content/uploads/2025/03/ZEN150_datasheet_v4.pdf" TargetMode="External"/><Relationship Id="rId49" Type="http://schemas.openxmlformats.org/officeDocument/2006/relationships/hyperlink" Target="https://www.manelservice.com/en/marine-desalination-systems/17102-osmosea-new12-150c-nautical-watermaker-150-lth.html" TargetMode="External"/><Relationship Id="rId50" Type="http://schemas.openxmlformats.org/officeDocument/2006/relationships/hyperlink" Target="https://osmosea.it/en/new-12/" TargetMode="External"/><Relationship Id="rId51" Type="http://schemas.openxmlformats.org/officeDocument/2006/relationships/hyperlink" Target="https://www.comptoirnautique.com/groupe-d-eau-a-pressostat/53022-cem-elettromeccanica-autoclave-cem-vase-expansion-inox-20l-24v-50-l-min.html" TargetMode="External"/><Relationship Id="rId52" Type="http://schemas.openxmlformats.org/officeDocument/2006/relationships/hyperlink" Target="https://cempumps.com/wp-content/uploads/2024/10/Autoclavi_20L-20X.pdf" TargetMode="External"/><Relationship Id="rId53" Type="http://schemas.openxmlformats.org/officeDocument/2006/relationships/hyperlink" Target="https://www.comptoirnautique.com/groupe-d-eau-hydrophore/22947-gianneschi-groupe-d-eau-ecoinox-1-avec-reservoir-20l-24v-45lmin-7024.html" TargetMode="External"/><Relationship Id="rId54" Type="http://schemas.openxmlformats.org/officeDocument/2006/relationships/hyperlink" Target="https://www.gianneschipumps.com/GIANNESCHI_Brochure-web.pdf" TargetMode="External"/><Relationship Id="rId55" Type="http://schemas.openxmlformats.org/officeDocument/2006/relationships/hyperlink" Target="https://www.enag.fr/english/wp-content/uploads/sites/5/2022/11/FC-GH-EN-C.pdf" TargetMode="External"/><Relationship Id="rId56" Type="http://schemas.openxmlformats.org/officeDocument/2006/relationships/hyperlink" Target="https://www.enag.fr/english/wp-content/uploads/sites/5/2022/11/FC-GH-EN-C.pdf" TargetMode="External"/><Relationship Id="rId57" Type="http://schemas.openxmlformats.org/officeDocument/2006/relationships/hyperlink" Target="https://cempumps.com/wp-content/uploads/2024/10/Autoclavi_20L-20X.pdf" TargetMode="External"/><Relationship Id="rId58" Type="http://schemas.openxmlformats.org/officeDocument/2006/relationships/hyperlink" Target="https://cempumps.com/wp-content/uploads/2024/10/Autoclavi_20L-20X.pdf" TargetMode="External"/><Relationship Id="rId59" Type="http://schemas.openxmlformats.org/officeDocument/2006/relationships/hyperlink" Target="https://www.tyboat.com/achat/P-57388-gianneschi-groupe-d-eau-ecoinox2-3-5-bars-0-45-kw-55-litres-minute-reservoir-20-litres-230-volts.html" TargetMode="External"/><Relationship Id="rId60" Type="http://schemas.openxmlformats.org/officeDocument/2006/relationships/hyperlink" Target="https://www.gianneschipumps.com/GIANNESCHI_Brochure-web.pdf" TargetMode="External"/><Relationship Id="rId61" Type="http://schemas.openxmlformats.org/officeDocument/2006/relationships/hyperlink" Target="https://www.enag.fr/english/wp-content/uploads/sites/5/2022/11/FC-GH-EN-C.pdf" TargetMode="External"/><Relationship Id="rId62" Type="http://schemas.openxmlformats.org/officeDocument/2006/relationships/hyperlink" Target="https://www.enag.fr/english/wp-content/uploads/sites/5/2022/11/FC-GH-EN-C.pdf" TargetMode="External"/><Relationship Id="rId63" Type="http://schemas.openxmlformats.org/officeDocument/2006/relationships/hyperlink" Target="https://www.esconet.fi/shop/uc16h-thermowell-uc16h-ilmastointilaite-chiller-230v-16000btu-27518" TargetMode="External"/><Relationship Id="rId64" Type="http://schemas.openxmlformats.org/officeDocument/2006/relationships/hyperlink" Target="https://www.thermowellmarine.com/wp-content/uploads/2023/04/THERMOWELL-2023_rev1_apr_web.pdf" TargetMode="External"/><Relationship Id="rId65" Type="http://schemas.openxmlformats.org/officeDocument/2006/relationships/hyperlink" Target="https://mdislandsupply.com/en/climma/879-cws-aquacontrol-161-rc-230150-climma.html" TargetMode="External"/><Relationship Id="rId66" Type="http://schemas.openxmlformats.org/officeDocument/2006/relationships/hyperlink" Target="https://www.veco.net/en/prodotti/climma-cws-aquacontrol-chillers/" TargetMode="External"/><Relationship Id="rId67" Type="http://schemas.openxmlformats.org/officeDocument/2006/relationships/hyperlink" Target="https://www.nauticsale.com/en/airconditioning/bluecool-chiller-systems/bluecool-c-series-chillers/" TargetMode="External"/><Relationship Id="rId68" Type="http://schemas.openxmlformats.org/officeDocument/2006/relationships/hyperlink" Target="https://www.webasto.com/en-us/cooling/marine-chiller-air-conditioning-units/bluecool-c-series.html" TargetMode="External"/><Relationship Id="rId69" Type="http://schemas.openxmlformats.org/officeDocument/2006/relationships/hyperlink" Target="https://www.tyboat.com/achat/P-8889-quick-chauffe-eau-cylindrique-b3-40-litres-220-volts-1200-watts.html" TargetMode="External"/><Relationship Id="rId70" Type="http://schemas.openxmlformats.org/officeDocument/2006/relationships/hyperlink" Target="https://www.quickitaly.com/it/prodotti/scalda-acqua/scalda-acqua/nautic-boiler-b3/" TargetMode="External"/><Relationship Id="rId71" Type="http://schemas.openxmlformats.org/officeDocument/2006/relationships/hyperlink" Target="https://www.tyboat.com/achat/P-8880-quick-chauffe-eau-cylindrique-bx-40-litres-220-volts-1200-watts.html" TargetMode="External"/><Relationship Id="rId72" Type="http://schemas.openxmlformats.org/officeDocument/2006/relationships/hyperlink" Target="https://www.quickitaly.com/it/prodotti/scalda-acqua/scalda-acqua/nautic-boiler-bx/" TargetMode="External"/><Relationship Id="rId73" Type="http://schemas.openxmlformats.org/officeDocument/2006/relationships/hyperlink" Target="https://www.tyboat.com/achat/P-18237-quick-chauffe-eau-cube-inox-bxs-40-litres-220-volts-1200-watts.html" TargetMode="External"/><Relationship Id="rId74" Type="http://schemas.openxmlformats.org/officeDocument/2006/relationships/hyperlink" Target="https://www.quickitaly.com/it/prodotti/scalda-acqua/scalda-acqua/nautic-boiler-bxs/" TargetMode="External"/><Relationship Id="rId75" Type="http://schemas.openxmlformats.org/officeDocument/2006/relationships/hyperlink" Target="https://www.comptoirnautique.com/climatisation-bateau/91819-frigomar-pompes-a-entrainement-magnetique.html" TargetMode="External"/><Relationship Id="rId76" Type="http://schemas.openxmlformats.org/officeDocument/2006/relationships/hyperlink" Target="https://www.frigomar.com/en/product-line/" TargetMode="External"/><Relationship Id="rId77" Type="http://schemas.openxmlformats.org/officeDocument/2006/relationships/hyperlink" Target="https://www.kent-marine.com/fr/produit/35262/chauffe-eau-cylindrique-40l-220v-1200w.html" TargetMode="External"/><Relationship Id="rId78" Type="http://schemas.openxmlformats.org/officeDocument/2006/relationships/hyperlink" Target="https://www.quickitaly.com/it/prodotti/scalda-acqua/" TargetMode="External"/><Relationship Id="rId79" Type="http://schemas.openxmlformats.org/officeDocument/2006/relationships/hyperlink" Target="https://www.marine-impact.com/groupe-d-eau/313-filtre-en-ligne-pumpgard-o13-mm-jabsco.html" TargetMode="External"/><Relationship Id="rId80" Type="http://schemas.openxmlformats.org/officeDocument/2006/relationships/hyperlink" Target="https://www.xylem.com/siteassets/brand/jabsco/resources/manual/36800-technical-data-sheet.pdf" TargetMode="External"/><Relationship Id="rId81" Type="http://schemas.openxmlformats.org/officeDocument/2006/relationships/hyperlink" Target="https://www.vetus-shop.com/aluminium-hydraulic-tank-70-incl-ht1013-p-2024.html" TargetMode="External"/><Relationship Id="rId82" Type="http://schemas.openxmlformats.org/officeDocument/2006/relationships/hyperlink" Target="https://webshop.vetus.com/nl/products/power-hydraulics/hydraulische-tanks" TargetMode="External"/><Relationship Id="rId83" Type="http://schemas.openxmlformats.org/officeDocument/2006/relationships/hyperlink" Target="https://www.vetus-shop.com/vetus-power-hydraulics-c-21_210.html" TargetMode="External"/><Relationship Id="rId84" Type="http://schemas.openxmlformats.org/officeDocument/2006/relationships/hyperlink" Target="https://www.vetus-shop.com/aluminium-hydraulic-tank-70-incl-ht1013-p-2024.html" TargetMode="External"/><Relationship Id="rId85" Type="http://schemas.openxmlformats.org/officeDocument/2006/relationships/hyperlink" Target="https://www.vetus-shop.com/aluminium-hydraulic-tank-70-incl-ht1013-p-2024.html" TargetMode="External"/><Relationship Id="rId86" Type="http://schemas.openxmlformats.org/officeDocument/2006/relationships/hyperlink" Target="https://www.vetus-shop.com/vetus-power-hydraulics-c-21_210.html" TargetMode="External"/><Relationship Id="rId87" Type="http://schemas.openxmlformats.org/officeDocument/2006/relationships/hyperlink" Target="https://www.vetus-shop.com/aluminium-hydraulic-tank-70-incl-ht1013-p-2024.html" TargetMode="External"/><Relationship Id="rId88" Type="http://schemas.openxmlformats.org/officeDocument/2006/relationships/hyperlink" Target="https://info.sleipnergroup.com/hubfs/Side-Power_Hydraulic_AC_Thrusters_2020.pdf" TargetMode="External"/><Relationship Id="rId89" Type="http://schemas.openxmlformats.org/officeDocument/2006/relationships/hyperlink" Target="https://gallery.harken.com/gallery/3d369089-1f35-489d-8b71-ab3020e962a1.pdf" TargetMode="External"/><Relationship Id="rId90" Type="http://schemas.openxmlformats.org/officeDocument/2006/relationships/hyperlink" Target="https://racorshop.de/product/racor-75500maxm30-turbine-filter-marine/" TargetMode="External"/><Relationship Id="rId91" Type="http://schemas.openxmlformats.org/officeDocument/2006/relationships/hyperlink" Target="https://www.parker.com/content/dam/Parker-com/Literature/Racor-Europe/FDRB544UK_BRO_Distribution_Solution_Brochure-_Racor_Europe.pdf" TargetMode="External"/><Relationship Id="rId92" Type="http://schemas.openxmlformats.org/officeDocument/2006/relationships/hyperlink" Target="https://www.vetus-shop.com/vetus-raw-water-strainer-type-330-and21632mm-p-1026.html" TargetMode="External"/><Relationship Id="rId93" Type="http://schemas.openxmlformats.org/officeDocument/2006/relationships/hyperlink" Target="https://www.mediawinkel.eu/nl/heavy-duty-waterfilter-32-mm.html" TargetMode="External"/><Relationship Id="rId94" Type="http://schemas.openxmlformats.org/officeDocument/2006/relationships/hyperlink" Target="https://www.mackengineering.co.uk/rule-2000-gph-bilge-pump-24v.html" TargetMode="External"/><Relationship Id="rId95" Type="http://schemas.openxmlformats.org/officeDocument/2006/relationships/hyperlink" Target="https://www.xylem.com/siteassets/brand/rule/resources/technical-brochure/standard-bilge-pumps-model-number-table.pdf" TargetMode="External"/><Relationship Id="rId96" Type="http://schemas.openxmlformats.org/officeDocument/2006/relationships/hyperlink" Target="https://www.mackengineering.co.uk/bp9005-whale-gusher-urchin-hand-pump.html" TargetMode="External"/><Relationship Id="rId97" Type="http://schemas.openxmlformats.org/officeDocument/2006/relationships/hyperlink" Target="https://www.mackengineering.co.uk/rule-2000-gph-bilge-pump-24v.html" TargetMode="External"/><Relationship Id="rId98" Type="http://schemas.openxmlformats.org/officeDocument/2006/relationships/hyperlink" Target="https://www.mackengineering.co.uk/35770-0094-24v-flexmount-blower.html" TargetMode="External"/><Relationship Id="rId99" Type="http://schemas.openxmlformats.org/officeDocument/2006/relationships/hyperlink" Target="https://www.xylem.com/siteassets/brand/jabsco/resources/manual/357x0-technical-data-sheet.pdf" TargetMode="External"/><Relationship Id="rId100" Type="http://schemas.openxmlformats.org/officeDocument/2006/relationships/hyperlink" Target="https://www.mackengineering.co.uk/marco-up3-oil-pump-24v.html" TargetMode="External"/><Relationship Id="rId101" Type="http://schemas.openxmlformats.org/officeDocument/2006/relationships/hyperlink" Target="https://items.marco.it/en/md_productpdf/index/generate/product/253/store/2/" TargetMode="External"/><Relationship Id="rId102" Type="http://schemas.openxmlformats.org/officeDocument/2006/relationships/hyperlink" Target="https://www.vetus-shop.com/vetus-fuel-tank-quickfit-diesel-40-litre-8mm-p-1786.html" TargetMode="External"/><Relationship Id="rId103" Type="http://schemas.openxmlformats.org/officeDocument/2006/relationships/hyperlink" Target="https://www.vetus-shop.com/vetus-fuel-tank-quickfit-diesel-40-litre-8mm-p-1786.html" TargetMode="External"/><Relationship Id="rId104" Type="http://schemas.openxmlformats.org/officeDocument/2006/relationships/hyperlink" Target="https://www.cactusnav.com/jabsco-macerator-pump-p-37922.html" TargetMode="External"/><Relationship Id="rId105" Type="http://schemas.openxmlformats.org/officeDocument/2006/relationships/hyperlink" Target="https://www.oltrevela.com/en/31-620-55-fireboy-ma-series-automatic-manual-fire-extinguisher-13-4-kg-for-engine-rooms-and-motor-compartments-up-to-51m-uscg-and-iso-rina-approved-fireboy-4" TargetMode="External"/><Relationship Id="rId106" Type="http://schemas.openxmlformats.org/officeDocument/2006/relationships/hyperlink" Target="https://fireboy.com/ma2-fire-extinguisher/" TargetMode="External"/><Relationship Id="rId107" Type="http://schemas.openxmlformats.org/officeDocument/2006/relationships/hyperlink" Target="https://www.standkachel.nu/webasto-air-and-water-heaters-and/webasto-waterkachels-thermotop-spheros-dbw-valeo/webasto-marine-waterheaters-for-thermo-pro-90-24-volt/webasto-thermo-chiller--pro-90-marine-24-volt-" TargetMode="External"/><Relationship Id="rId108" Type="http://schemas.openxmlformats.org/officeDocument/2006/relationships/hyperlink" Target="https://www.butlertechnik.com/item/Webasto/Thermo-Pro-90-24v-Marine-Kit-With-Switch-91kW-4111185A/5G7" TargetMode="External"/><Relationship Id="rId109" Type="http://schemas.openxmlformats.org/officeDocument/2006/relationships/hyperlink" Target="https://www.butlertechnik.com/downloads/cms/7432/webasto-thermo-pro-90-marine-installation-manual.pdf" TargetMode="External"/><Relationship Id="rId110" Type="http://schemas.openxmlformats.org/officeDocument/2006/relationships/hyperlink" Target="https://www.abma-sneek.nl/yanmar/engines-gears-drives/powerboat-engines?prod_id=650436" TargetMode="External"/><Relationship Id="rId111" Type="http://schemas.openxmlformats.org/officeDocument/2006/relationships/hyperlink" Target="https://www.yanmar.com/marine/product/engines/8lv320/" TargetMode="External"/><Relationship Id="rId112" Type="http://schemas.openxmlformats.org/officeDocument/2006/relationships/hyperlink" Target="https://useddieselenginecenter.nl/yanmar-6lpam-stp2-6-lpam-stp-2-bobtail" TargetMode="External"/><Relationship Id="rId113" Type="http://schemas.openxmlformats.org/officeDocument/2006/relationships/hyperlink" Target="https://www.yanmar.com/marine/product/engines/6lpa-stp2-6lpa-stc/" TargetMode="External"/><Relationship Id="rId114" Type="http://schemas.openxmlformats.org/officeDocument/2006/relationships/hyperlink" Target="https://www.yanmar.com/marine/product/engines/6ly2m-wdt/" TargetMode="External"/><Relationship Id="rId115" Type="http://schemas.openxmlformats.org/officeDocument/2006/relationships/hyperlink" Target="https://www.jpcdirect.com/product/fischer-panda-12000x-generator/" TargetMode="External"/><Relationship Id="rId116" Type="http://schemas.openxmlformats.org/officeDocument/2006/relationships/hyperlink" Target="https://www.onefischerpanda.com/fileadmin/content/product-information/marine-generators-compact-power/12000x/Panda_12000x_PMS_-_EN.pdf" TargetMode="External"/><Relationship Id="rId117" Type="http://schemas.openxmlformats.org/officeDocument/2006/relationships/hyperlink" Target="https://www.nautiradar.pt/en/products/fischer-panda/panda-12000x-230v-pms-12kva-fixed-engine-speed-marine-generator" TargetMode="External"/><Relationship Id="rId118" Type="http://schemas.openxmlformats.org/officeDocument/2006/relationships/hyperlink" Target="https://www.onefischerpanda.com/fileadmin/content/product-information/marine-generators-compact-power/12000x/Panda_12000x_PMS_-_EN.pdf" TargetMode="External"/><Relationship Id="rId119" Type="http://schemas.openxmlformats.org/officeDocument/2006/relationships/hyperlink" Target="https://www.nautiradar.pt/en/products/fischer-panda/panda-15000i-230v-pms-12kw-230v-variable-speed-marine-generator" TargetMode="External"/><Relationship Id="rId120" Type="http://schemas.openxmlformats.org/officeDocument/2006/relationships/hyperlink" Target="https://www.fischerpanda.co.uk/res/Fischer%20Panda%20Marine%20Generators%202026%20-%20FPUK" TargetMode="External"/><Relationship Id="rId12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palmerpower.com/yanmar-kmh50a-lp-kmh50a-lp-2-13-2-43-for-6lp-stp2/" TargetMode="External"/><Relationship Id="rId2" Type="http://schemas.openxmlformats.org/officeDocument/2006/relationships/hyperlink" Target="https://www.dutchengineparts.nl/damper-hsw630-119773-85520.html" TargetMode="External"/><Relationship Id="rId3" Type="http://schemas.openxmlformats.org/officeDocument/2006/relationships/hyperlink" Target="https://www.dutchengineparts.nl/panel-instrument-b-119773-91132.html" TargetMode="External"/><Relationship Id="rId4" Type="http://schemas.openxmlformats.org/officeDocument/2006/relationships/hyperlink" Target="https://www.dutchengineparts.nl/cooler-oil-177523-04820.html" TargetMode="External"/><Relationship Id="rId5" Type="http://schemas.openxmlformats.org/officeDocument/2006/relationships/hyperlink" Target="https://yachtneeds.com/yanmar-6m-wiring-harness-6-metres-129574-77760" TargetMode="External"/><Relationship Id="rId6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yanmar.com/marine/wp-content/uploads/2020/03/DS_8LV320-350-370_A4_2021_1018_HR.pdf?download=1%20%7C%20https://www.yanmar.com/marine/wp-content/uploads/2020/05/Yanmar-Datasheet_6LPA-STP2.pdf?download=1" TargetMode="External"/><Relationship Id="rId2" Type="http://schemas.openxmlformats.org/officeDocument/2006/relationships/hyperlink" Target="https://www.yanmar.com/marine/wp-content/uploads/2020/03/DS_8LV320-350-370_A4_2021_1018_HR.pdf?download=1%20%7C%20https://www.yanmar.com/marine/wp-content/uploads/2020/05/Yanmar-Datasheet_6LPA-STP2.pdf?download=1" TargetMode="External"/><Relationship Id="rId3" Type="http://schemas.openxmlformats.org/officeDocument/2006/relationships/hyperlink" Target="https://www.yanmar.com/marine/product/engines/8lv320/" TargetMode="External"/><Relationship Id="rId4" Type="http://schemas.openxmlformats.org/officeDocument/2006/relationships/hyperlink" Target="https://www.yanmar.com/marine/wp-content/uploads/2020/03/DS_8LV320-350-370_A4_2021_1018_HR.pdf?download=1%20%7C%20https://www.yanmar.com/marine/wp-content/uploads/2020/05/Yanmar-Datasheet_6LPA-STP2.pdf?download=1" TargetMode="External"/><Relationship Id="rId5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www.podatki.gov.pl/podatki-firmowe/vat/stawki-i-limity" TargetMode="External"/><Relationship Id="rId2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3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4"/>
    <col collapsed="false" customWidth="true" hidden="false" outlineLevel="0" max="4" min="4" style="0" width="28"/>
    <col collapsed="false" customWidth="true" hidden="false" outlineLevel="0" max="5" min="5" style="0" width="27"/>
    <col collapsed="false" customWidth="true" hidden="false" outlineLevel="0" max="6" min="6" style="0" width="20"/>
    <col collapsed="false" customWidth="true" hidden="false" outlineLevel="0" max="7" min="7" style="0" width="22"/>
    <col collapsed="false" customWidth="true" hidden="false" outlineLevel="0" max="8" min="8" style="0" width="75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64.5" hidden="false" customHeight="true" outlineLevel="0" collapsed="false">
      <c r="A2" s="2" t="s">
        <v>8</v>
      </c>
      <c r="B2" s="2" t="s">
        <v>9</v>
      </c>
      <c r="C2" s="3" t="str">
        <f aca="false">IF(COUNT(01_Смета!J2,01_Смета!J27)=0,"",SUM(01_Смета!J2,01_Смета!J27))</f>
        <v/>
      </c>
      <c r="D2" s="3" t="str">
        <f aca="false">IF(COUNT(01_Смета!M2,01_Смета!M27)=0,"",SUM(01_Смета!M2,01_Смета!M27))</f>
        <v/>
      </c>
      <c r="E2" s="3" t="n">
        <f aca="false">IF(COUNT(01_Смета!O2,01_Смета!O27)=0,"",SUM(01_Смета!O2,01_Смета!O27))</f>
        <v>58842</v>
      </c>
      <c r="F2" s="4" t="n">
        <v>1</v>
      </c>
      <c r="G2" s="2" t="s">
        <v>10</v>
      </c>
      <c r="H2" s="2" t="s">
        <v>11</v>
      </c>
    </row>
    <row r="3" customFormat="false" ht="64.5" hidden="false" customHeight="true" outlineLevel="0" collapsed="false">
      <c r="A3" s="5" t="s">
        <v>12</v>
      </c>
      <c r="B3" s="5" t="s">
        <v>13</v>
      </c>
      <c r="C3" s="3" t="n">
        <f aca="false">IF(COUNT(01_Смета!J3)=0,"",SUM(01_Смета!J3))</f>
        <v>34902.44</v>
      </c>
      <c r="D3" s="3" t="n">
        <f aca="false">IF(COUNT(01_Смета!M3)=0,"",SUM(01_Смета!M3))</f>
        <v>8027.56</v>
      </c>
      <c r="E3" s="3" t="n">
        <f aca="false">IF(COUNT(01_Смета!O3)=0,"",SUM(01_Смета!O3))</f>
        <v>42930</v>
      </c>
      <c r="F3" s="6" t="n">
        <v>0</v>
      </c>
      <c r="G3" s="5" t="s">
        <v>10</v>
      </c>
      <c r="H3" s="5" t="s">
        <v>11</v>
      </c>
    </row>
    <row r="4" customFormat="false" ht="64.5" hidden="false" customHeight="true" outlineLevel="0" collapsed="false">
      <c r="A4" s="2" t="s">
        <v>14</v>
      </c>
      <c r="B4" s="2" t="s">
        <v>15</v>
      </c>
      <c r="C4" s="3" t="n">
        <f aca="false">IF(COUNT(01_Смета!J4,01_Смета!J5,01_Смета!J28,01_Смета!J29)=0,"",SUM(01_Смета!J4,01_Смета!J5,01_Смета!J28,01_Смета!J29))</f>
        <v>1680.58</v>
      </c>
      <c r="D4" s="3" t="n">
        <f aca="false">IF(COUNT(01_Смета!M4,01_Смета!M5,01_Смета!M28,01_Смета!M29)=0,"",SUM(01_Смета!M4,01_Смета!M5,01_Смета!M28,01_Смета!M29))</f>
        <v>386.53</v>
      </c>
      <c r="E4" s="3" t="n">
        <f aca="false">IF(COUNT(01_Смета!O4,01_Смета!O5,01_Смета!O28,01_Смета!O29)=0,"",SUM(01_Смета!O4,01_Смета!O5,01_Смета!O28,01_Смета!O29))</f>
        <v>2067.11</v>
      </c>
      <c r="F4" s="4" t="n">
        <v>3</v>
      </c>
      <c r="G4" s="2" t="s">
        <v>10</v>
      </c>
      <c r="H4" s="2" t="s">
        <v>11</v>
      </c>
    </row>
    <row r="5" customFormat="false" ht="64.5" hidden="false" customHeight="true" outlineLevel="0" collapsed="false">
      <c r="A5" s="5" t="s">
        <v>16</v>
      </c>
      <c r="B5" s="5" t="s">
        <v>17</v>
      </c>
      <c r="C5" s="3" t="n">
        <f aca="false">IF(COUNT(01_Смета!J6,01_Смета!J7,01_Смета!J8,01_Смета!J9)=0,"",SUM(01_Смета!J6,01_Смета!J7,01_Смета!J8,01_Смета!J9))</f>
        <v>1608.42</v>
      </c>
      <c r="D5" s="3" t="n">
        <f aca="false">IF(COUNT(01_Смета!M6,01_Смета!M7,01_Смета!M8,01_Смета!M9)=0,"",SUM(01_Смета!M6,01_Смета!M7,01_Смета!M8,01_Смета!M9))</f>
        <v>369.94</v>
      </c>
      <c r="E5" s="3" t="n">
        <f aca="false">IF(COUNT(01_Смета!O6,01_Смета!O7,01_Смета!O8,01_Смета!O9)=0,"",SUM(01_Смета!O6,01_Смета!O7,01_Смета!O8,01_Смета!O9))</f>
        <v>1978.36</v>
      </c>
      <c r="F5" s="6" t="n">
        <v>3</v>
      </c>
      <c r="G5" s="5" t="s">
        <v>10</v>
      </c>
      <c r="H5" s="5" t="s">
        <v>11</v>
      </c>
    </row>
    <row r="6" customFormat="false" ht="64.5" hidden="false" customHeight="true" outlineLevel="0" collapsed="false">
      <c r="A6" s="2" t="s">
        <v>18</v>
      </c>
      <c r="B6" s="2" t="s">
        <v>19</v>
      </c>
      <c r="C6" s="3" t="n">
        <f aca="false">IF(COUNT(01_Смета!J10,01_Смета!J11,01_Смета!J30)=0,"",SUM(01_Смета!J10,01_Смета!J11,01_Смета!J30))</f>
        <v>2145.75</v>
      </c>
      <c r="D6" s="3" t="n">
        <f aca="false">IF(COUNT(01_Смета!M10,01_Смета!M11,01_Смета!M30)=0,"",SUM(01_Смета!M10,01_Смета!M11,01_Смета!M30))</f>
        <v>493.53</v>
      </c>
      <c r="E6" s="3" t="n">
        <f aca="false">IF(COUNT(01_Смета!O10,01_Смета!O11,01_Смета!O30)=0,"",SUM(01_Смета!O10,01_Смета!O11,01_Смета!O30))</f>
        <v>2639.28</v>
      </c>
      <c r="F6" s="4" t="n">
        <v>1</v>
      </c>
      <c r="G6" s="2" t="s">
        <v>10</v>
      </c>
      <c r="H6" s="2" t="s">
        <v>11</v>
      </c>
    </row>
    <row r="7" customFormat="false" ht="64.5" hidden="false" customHeight="true" outlineLevel="0" collapsed="false">
      <c r="A7" s="5" t="s">
        <v>20</v>
      </c>
      <c r="B7" s="5" t="s">
        <v>21</v>
      </c>
      <c r="C7" s="3" t="n">
        <f aca="false">IF(COUNT(01_Смета!J12)=0,"",SUM(01_Смета!J12))</f>
        <v>10683.5</v>
      </c>
      <c r="D7" s="3" t="n">
        <f aca="false">IF(COUNT(01_Смета!M12)=0,"",SUM(01_Смета!M12))</f>
        <v>2457.21</v>
      </c>
      <c r="E7" s="3" t="n">
        <f aca="false">IF(COUNT(01_Смета!O12)=0,"",SUM(01_Смета!O12))</f>
        <v>13140.71</v>
      </c>
      <c r="F7" s="6" t="n">
        <v>0</v>
      </c>
      <c r="G7" s="5" t="s">
        <v>10</v>
      </c>
      <c r="H7" s="5" t="s">
        <v>11</v>
      </c>
    </row>
    <row r="8" customFormat="false" ht="64.5" hidden="false" customHeight="true" outlineLevel="0" collapsed="false">
      <c r="A8" s="2" t="s">
        <v>22</v>
      </c>
      <c r="B8" s="2" t="s">
        <v>23</v>
      </c>
      <c r="C8" s="3" t="str">
        <f aca="false">IF(COUNT(01_Смета!J13)=0,"",SUM(01_Смета!J13))</f>
        <v/>
      </c>
      <c r="D8" s="3" t="str">
        <f aca="false">IF(COUNT(01_Смета!M13)=0,"",SUM(01_Смета!M13))</f>
        <v/>
      </c>
      <c r="E8" s="3" t="str">
        <f aca="false">IF(COUNT(01_Смета!O13)=0,"",SUM(01_Смета!O13))</f>
        <v/>
      </c>
      <c r="F8" s="4" t="n">
        <v>1</v>
      </c>
      <c r="G8" s="2" t="s">
        <v>10</v>
      </c>
      <c r="H8" s="2" t="s">
        <v>11</v>
      </c>
    </row>
    <row r="9" customFormat="false" ht="64.5" hidden="false" customHeight="true" outlineLevel="0" collapsed="false">
      <c r="A9" s="5" t="s">
        <v>24</v>
      </c>
      <c r="B9" s="5" t="s">
        <v>25</v>
      </c>
      <c r="C9" s="3" t="n">
        <f aca="false">IF(COUNT(01_Смета!J14,01_Смета!J15,01_Смета!J31)=0,"",SUM(01_Смета!J14,01_Смета!J15,01_Смета!J31))</f>
        <v>8310.6</v>
      </c>
      <c r="D9" s="3" t="n">
        <f aca="false">IF(COUNT(01_Смета!M14,01_Смета!M15,01_Смета!M31)=0,"",SUM(01_Смета!M14,01_Смета!M15,01_Смета!M31))</f>
        <v>1911.44</v>
      </c>
      <c r="E9" s="3" t="n">
        <f aca="false">IF(COUNT(01_Смета!O14,01_Смета!O15,01_Смета!O31)=0,"",SUM(01_Смета!O14,01_Смета!O15,01_Смета!O31))</f>
        <v>10222.04</v>
      </c>
      <c r="F9" s="6" t="n">
        <v>2</v>
      </c>
      <c r="G9" s="5" t="s">
        <v>10</v>
      </c>
      <c r="H9" s="5" t="s">
        <v>11</v>
      </c>
    </row>
    <row r="10" customFormat="false" ht="64.5" hidden="false" customHeight="true" outlineLevel="0" collapsed="false">
      <c r="A10" s="2" t="s">
        <v>26</v>
      </c>
      <c r="B10" s="2" t="s">
        <v>27</v>
      </c>
      <c r="C10" s="3" t="str">
        <f aca="false">IF(COUNT(01_Смета!J16,01_Смета!J17,01_Смета!J18,01_Смета!J19)=0,"",SUM(01_Смета!J16,01_Смета!J17,01_Смета!J18,01_Смета!J19))</f>
        <v/>
      </c>
      <c r="D10" s="3" t="str">
        <f aca="false">IF(COUNT(01_Смета!M16,01_Смета!M17,01_Смета!M18,01_Смета!M19)=0,"",SUM(01_Смета!M16,01_Смета!M17,01_Смета!M18,01_Смета!M19))</f>
        <v/>
      </c>
      <c r="E10" s="3" t="str">
        <f aca="false">IF(COUNT(01_Смета!O16,01_Смета!O17,01_Смета!O18,01_Смета!O19)=0,"",SUM(01_Смета!O16,01_Смета!O17,01_Смета!O18,01_Смета!O19))</f>
        <v/>
      </c>
      <c r="F10" s="4" t="n">
        <v>4</v>
      </c>
      <c r="G10" s="2" t="s">
        <v>10</v>
      </c>
      <c r="H10" s="2" t="s">
        <v>11</v>
      </c>
    </row>
    <row r="11" customFormat="false" ht="64.5" hidden="false" customHeight="true" outlineLevel="0" collapsed="false">
      <c r="A11" s="5" t="s">
        <v>28</v>
      </c>
      <c r="B11" s="5" t="s">
        <v>29</v>
      </c>
      <c r="C11" s="3" t="str">
        <f aca="false">IF(COUNT(01_Смета!J20,01_Смета!J21,01_Смета!J22,01_Смета!J23)=0,"",SUM(01_Смета!J20,01_Смета!J21,01_Смета!J22,01_Смета!J23))</f>
        <v/>
      </c>
      <c r="D11" s="3" t="str">
        <f aca="false">IF(COUNT(01_Смета!M20,01_Смета!M21,01_Смета!M22,01_Смета!M23)=0,"",SUM(01_Смета!M20,01_Смета!M21,01_Смета!M22,01_Смета!M23))</f>
        <v/>
      </c>
      <c r="E11" s="3" t="str">
        <f aca="false">IF(COUNT(01_Смета!O20,01_Смета!O21,01_Смета!O22,01_Смета!O23)=0,"",SUM(01_Смета!O20,01_Смета!O21,01_Смета!O22,01_Смета!O23))</f>
        <v/>
      </c>
      <c r="F11" s="6" t="n">
        <v>4</v>
      </c>
      <c r="G11" s="5" t="s">
        <v>10</v>
      </c>
      <c r="H11" s="5" t="s">
        <v>11</v>
      </c>
    </row>
    <row r="12" customFormat="false" ht="64.5" hidden="false" customHeight="true" outlineLevel="0" collapsed="false">
      <c r="A12" s="2" t="s">
        <v>30</v>
      </c>
      <c r="B12" s="2" t="s">
        <v>31</v>
      </c>
      <c r="C12" s="3" t="str">
        <f aca="false">IF(COUNT(01_Смета!J24,01_Смета!J25)=0,"",SUM(01_Смета!J24,01_Смета!J25))</f>
        <v/>
      </c>
      <c r="D12" s="3" t="str">
        <f aca="false">IF(COUNT(01_Смета!M24,01_Смета!M25)=0,"",SUM(01_Смета!M24,01_Смета!M25))</f>
        <v/>
      </c>
      <c r="E12" s="3" t="str">
        <f aca="false">IF(COUNT(01_Смета!O24,01_Смета!O25)=0,"",SUM(01_Смета!O24,01_Смета!O25))</f>
        <v/>
      </c>
      <c r="F12" s="4" t="n">
        <v>2</v>
      </c>
      <c r="G12" s="2" t="s">
        <v>10</v>
      </c>
      <c r="H12" s="2" t="s">
        <v>11</v>
      </c>
    </row>
    <row r="13" customFormat="false" ht="64.5" hidden="false" customHeight="true" outlineLevel="0" collapsed="false">
      <c r="A13" s="5" t="s">
        <v>32</v>
      </c>
      <c r="B13" s="5" t="s">
        <v>33</v>
      </c>
      <c r="C13" s="3" t="str">
        <f aca="false">IF(COUNT(01_Смета!J26)=0,"",SUM(01_Смета!J26))</f>
        <v/>
      </c>
      <c r="D13" s="3" t="str">
        <f aca="false">IF(COUNT(01_Смета!M26)=0,"",SUM(01_Смета!M26))</f>
        <v/>
      </c>
      <c r="E13" s="3" t="str">
        <f aca="false">IF(COUNT(01_Смета!O26)=0,"",SUM(01_Смета!O26))</f>
        <v/>
      </c>
      <c r="F13" s="6" t="n">
        <v>1</v>
      </c>
      <c r="G13" s="5" t="s">
        <v>10</v>
      </c>
      <c r="H13" s="5" t="s">
        <v>11</v>
      </c>
    </row>
    <row r="14" customFormat="false" ht="64.5" hidden="false" customHeight="true" outlineLevel="0" collapsed="false">
      <c r="A14" s="2" t="s">
        <v>34</v>
      </c>
      <c r="B14" s="2" t="s">
        <v>35</v>
      </c>
      <c r="C14" s="3" t="str">
        <f aca="false">IF(COUNT(01_Смета!J32,01_Смета!J33,01_Смета!J34,01_Смета!J35,01_Смета!J36,01_Смета!J37,01_Смета!J38,01_Смета!J39)=0,"",SUM(01_Смета!J32,01_Смета!J33,01_Смета!J34,01_Смета!J35,01_Смета!J36,01_Смета!J37,01_Смета!J38,01_Смета!J39))</f>
        <v/>
      </c>
      <c r="D14" s="3" t="str">
        <f aca="false">IF(COUNT(01_Смета!M32,01_Смета!M33,01_Смета!M34,01_Смета!M35,01_Смета!M36,01_Смета!M37,01_Смета!M38,01_Смета!M39)=0,"",SUM(01_Смета!M32,01_Смета!M33,01_Смета!M34,01_Смета!M35,01_Смета!M36,01_Смета!M37,01_Смета!M38,01_Смета!M39))</f>
        <v/>
      </c>
      <c r="E14" s="3" t="str">
        <f aca="false">IF(COUNT(01_Смета!O32,01_Смета!O33,01_Смета!O34,01_Смета!O35,01_Смета!O36,01_Смета!O37,01_Смета!O38,01_Смета!O39)=0,"",SUM(01_Смета!O32,01_Смета!O33,01_Смета!O34,01_Смета!O35,01_Смета!O36,01_Смета!O37,01_Смета!O38,01_Смета!O39))</f>
        <v/>
      </c>
      <c r="F14" s="4" t="n">
        <v>8</v>
      </c>
      <c r="G14" s="2" t="s">
        <v>10</v>
      </c>
      <c r="H14" s="2" t="s">
        <v>11</v>
      </c>
    </row>
    <row r="15" customFormat="false" ht="60" hidden="false" customHeight="true" outlineLevel="0" collapsed="false">
      <c r="B15" s="0" t="s">
        <v>36</v>
      </c>
      <c r="C15" s="7" t="n">
        <f aca="false">SUM(C2:C14)</f>
        <v>59331.29</v>
      </c>
      <c r="D15" s="7" t="n">
        <f aca="false">SUM(D2:D14)</f>
        <v>13646.21</v>
      </c>
      <c r="E15" s="7" t="n">
        <f aca="false">SUM(E2:E14)</f>
        <v>131819.5</v>
      </c>
      <c r="F15" s="0" t="n">
        <v>30</v>
      </c>
    </row>
    <row r="16" customFormat="false" ht="49.5" hidden="false" customHeight="true" outlineLevel="0" collapsed="false">
      <c r="B16" s="0" t="s">
        <v>6</v>
      </c>
      <c r="C16" s="8" t="s">
        <v>37</v>
      </c>
      <c r="D16" s="8"/>
      <c r="E16" s="8"/>
      <c r="F16" s="8"/>
      <c r="G16" s="8"/>
      <c r="H16" s="8"/>
    </row>
    <row r="17" customFormat="false" ht="49.5" hidden="false" customHeight="true" outlineLevel="0" collapsed="false">
      <c r="B17" s="0" t="s">
        <v>38</v>
      </c>
      <c r="C17" s="8" t="s">
        <v>39</v>
      </c>
      <c r="D17" s="8"/>
      <c r="E17" s="8"/>
      <c r="F17" s="8"/>
      <c r="G17" s="8"/>
      <c r="H17" s="8"/>
    </row>
    <row r="18" customFormat="false" ht="49.5" hidden="false" customHeight="true" outlineLevel="0" collapsed="false">
      <c r="B18" s="0" t="s">
        <v>40</v>
      </c>
      <c r="C18" s="8" t="s">
        <v>41</v>
      </c>
      <c r="D18" s="8"/>
      <c r="E18" s="8"/>
      <c r="F18" s="8"/>
      <c r="G18" s="8"/>
      <c r="H18" s="8"/>
    </row>
    <row r="19" customFormat="false" ht="49.5" hidden="false" customHeight="true" outlineLevel="0" collapsed="false">
      <c r="B19" s="0" t="s">
        <v>42</v>
      </c>
      <c r="C19" s="8" t="s">
        <v>43</v>
      </c>
      <c r="D19" s="8"/>
      <c r="E19" s="8"/>
      <c r="F19" s="8"/>
      <c r="G19" s="8"/>
      <c r="H19" s="8"/>
    </row>
    <row r="20" customFormat="false" ht="49.5" hidden="false" customHeight="true" outlineLevel="0" collapsed="false">
      <c r="B20" s="0" t="s">
        <v>44</v>
      </c>
      <c r="C20" s="8" t="s">
        <v>45</v>
      </c>
      <c r="D20" s="8"/>
      <c r="E20" s="8"/>
      <c r="F20" s="8"/>
      <c r="G20" s="8"/>
      <c r="H20" s="8"/>
    </row>
    <row r="21" customFormat="false" ht="49.5" hidden="false" customHeight="true" outlineLevel="0" collapsed="false">
      <c r="B21" s="0" t="s">
        <v>46</v>
      </c>
      <c r="C21" s="8" t="s">
        <v>47</v>
      </c>
      <c r="D21" s="8"/>
      <c r="E21" s="8"/>
      <c r="F21" s="8"/>
      <c r="G21" s="8"/>
      <c r="H21" s="8"/>
    </row>
    <row r="22" customFormat="false" ht="49.5" hidden="false" customHeight="true" outlineLevel="0" collapsed="false">
      <c r="B22" s="0" t="s">
        <v>48</v>
      </c>
      <c r="C22" s="8" t="s">
        <v>49</v>
      </c>
      <c r="D22" s="8"/>
      <c r="E22" s="8"/>
      <c r="F22" s="8"/>
      <c r="G22" s="8"/>
      <c r="H22" s="8"/>
    </row>
    <row r="23" customFormat="false" ht="49.5" hidden="false" customHeight="true" outlineLevel="0" collapsed="false">
      <c r="B23" s="0" t="s">
        <v>50</v>
      </c>
      <c r="C23" s="8" t="s">
        <v>51</v>
      </c>
      <c r="D23" s="8"/>
      <c r="E23" s="8"/>
      <c r="F23" s="8"/>
      <c r="G23" s="8"/>
      <c r="H23" s="8"/>
    </row>
  </sheetData>
  <autoFilter ref="A1:H14"/>
  <mergeCells count="8">
    <mergeCell ref="C16:H16"/>
    <mergeCell ref="C17:H17"/>
    <mergeCell ref="C18:H18"/>
    <mergeCell ref="C19:H19"/>
    <mergeCell ref="C20:H20"/>
    <mergeCell ref="C21:H21"/>
    <mergeCell ref="C22:H22"/>
    <mergeCell ref="C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4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24"/>
    <col collapsed="false" customWidth="true" hidden="false" outlineLevel="0" max="6" min="4" style="0" width="22"/>
    <col collapsed="false" customWidth="true" hidden="false" outlineLevel="0" max="7" min="7" style="0" width="50"/>
    <col collapsed="false" customWidth="true" hidden="false" outlineLevel="0" max="8" min="8" style="0" width="24"/>
    <col collapsed="false" customWidth="true" hidden="false" outlineLevel="0" max="10" min="9" style="0" width="22"/>
    <col collapsed="false" customWidth="true" hidden="false" outlineLevel="0" max="11" min="11" style="0" width="26"/>
    <col collapsed="false" customWidth="true" hidden="false" outlineLevel="0" max="17" min="12" style="0" width="22"/>
    <col collapsed="false" customWidth="true" hidden="false" outlineLevel="0" max="18" min="18" style="0" width="100"/>
    <col collapsed="false" customWidth="true" hidden="false" outlineLevel="0" max="19" min="19" style="0" width="45"/>
    <col collapsed="false" customWidth="true" hidden="false" outlineLevel="0" max="21" min="20" style="0" width="22"/>
  </cols>
  <sheetData>
    <row r="1" customFormat="false" ht="45" hidden="false" customHeight="true" outlineLevel="0" collapsed="false">
      <c r="A1" s="1" t="s">
        <v>52</v>
      </c>
      <c r="B1" s="1" t="s">
        <v>0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customFormat="false" ht="64.5" hidden="false" customHeight="true" outlineLevel="0" collapsed="false">
      <c r="A2" s="2" t="s">
        <v>72</v>
      </c>
      <c r="B2" s="2" t="s">
        <v>8</v>
      </c>
      <c r="C2" s="2" t="s">
        <v>73</v>
      </c>
      <c r="D2" s="2" t="s">
        <v>74</v>
      </c>
      <c r="E2" s="9" t="n">
        <v>1</v>
      </c>
      <c r="F2" s="2" t="s">
        <v>75</v>
      </c>
      <c r="G2" s="2" t="s">
        <v>76</v>
      </c>
      <c r="H2" s="2" t="s">
        <v>77</v>
      </c>
      <c r="I2" s="10"/>
      <c r="J2" s="3" t="str">
        <f aca="false">IF(AND(ISNUMBER(E2),ISNUMBER(I2)),ROUND(E2*I2,2),"")</f>
        <v/>
      </c>
      <c r="K2" s="10" t="s">
        <v>78</v>
      </c>
      <c r="L2" s="10"/>
      <c r="M2" s="3" t="str">
        <f aca="false">IF(AND(K2="PL23_ESTIMATE",ISNUMBER(J2),ISNUMBER(L2)),ROUND(J2*L2/100,2),"")</f>
        <v/>
      </c>
      <c r="N2" s="9" t="n">
        <v>58842</v>
      </c>
      <c r="O2" s="3" t="n">
        <f aca="false">IF(K2="SOURCE_GROSS",IF(AND(ISNUMBER(E2),ISNUMBER(N2)),ROUND(E2*N2,2),""),IF(AND(ISNUMBER(J2),ISNUMBER(M2)),ROUND(J2+M2,2),""))</f>
        <v>58842</v>
      </c>
      <c r="P2" s="2" t="s">
        <v>79</v>
      </c>
      <c r="Q2" s="2" t="s">
        <v>80</v>
      </c>
      <c r="R2" s="2" t="s">
        <v>81</v>
      </c>
      <c r="S2" s="11" t="s">
        <v>82</v>
      </c>
      <c r="T2" s="4" t="n">
        <v>58842</v>
      </c>
      <c r="U2" s="2" t="s">
        <v>83</v>
      </c>
    </row>
    <row r="3" customFormat="false" ht="64.5" hidden="false" customHeight="true" outlineLevel="0" collapsed="false">
      <c r="A3" s="5" t="s">
        <v>84</v>
      </c>
      <c r="B3" s="5" t="s">
        <v>12</v>
      </c>
      <c r="C3" s="5" t="s">
        <v>85</v>
      </c>
      <c r="D3" s="5" t="s">
        <v>74</v>
      </c>
      <c r="E3" s="12" t="n">
        <v>2</v>
      </c>
      <c r="F3" s="5" t="s">
        <v>75</v>
      </c>
      <c r="G3" s="5" t="s">
        <v>86</v>
      </c>
      <c r="H3" s="5" t="s">
        <v>87</v>
      </c>
      <c r="I3" s="12" t="n">
        <v>17451.22</v>
      </c>
      <c r="J3" s="3" t="n">
        <f aca="false">IF(AND(ISNUMBER(E3),ISNUMBER(I3)),ROUND(E3*I3,2),"")</f>
        <v>34902.44</v>
      </c>
      <c r="K3" s="13" t="s">
        <v>88</v>
      </c>
      <c r="L3" s="12" t="n">
        <v>23</v>
      </c>
      <c r="M3" s="3" t="n">
        <f aca="false">IF(AND(K3="PL23_ESTIMATE",ISNUMBER(J3),ISNUMBER(L3)),ROUND(J3*L3/100,2),"")</f>
        <v>8027.56</v>
      </c>
      <c r="N3" s="13"/>
      <c r="O3" s="3" t="n">
        <f aca="false">IF(K3="SOURCE_GROSS",IF(AND(ISNUMBER(E3),ISNUMBER(N3)),ROUND(E3*N3,2),""),IF(AND(ISNUMBER(J3),ISNUMBER(M3)),ROUND(J3+M3,2),""))</f>
        <v>42930</v>
      </c>
      <c r="P3" s="5" t="s">
        <v>79</v>
      </c>
      <c r="Q3" s="5" t="s">
        <v>89</v>
      </c>
      <c r="R3" s="5" t="s">
        <v>90</v>
      </c>
      <c r="S3" s="14" t="s">
        <v>91</v>
      </c>
      <c r="T3" s="6" t="n">
        <v>17451.22</v>
      </c>
      <c r="U3" s="5" t="s">
        <v>83</v>
      </c>
    </row>
    <row r="4" customFormat="false" ht="64.5" hidden="false" customHeight="true" outlineLevel="0" collapsed="false">
      <c r="A4" s="2" t="s">
        <v>92</v>
      </c>
      <c r="B4" s="2" t="s">
        <v>14</v>
      </c>
      <c r="C4" s="2" t="s">
        <v>93</v>
      </c>
      <c r="D4" s="2" t="s">
        <v>74</v>
      </c>
      <c r="E4" s="9" t="n">
        <v>2</v>
      </c>
      <c r="F4" s="2" t="s">
        <v>94</v>
      </c>
      <c r="G4" s="2" t="s">
        <v>95</v>
      </c>
      <c r="H4" s="2" t="s">
        <v>96</v>
      </c>
      <c r="I4" s="9" t="n">
        <v>840.29</v>
      </c>
      <c r="J4" s="3" t="n">
        <f aca="false">IF(AND(ISNUMBER(E4),ISNUMBER(I4)),ROUND(E4*I4,2),"")</f>
        <v>1680.58</v>
      </c>
      <c r="K4" s="10" t="s">
        <v>88</v>
      </c>
      <c r="L4" s="9" t="n">
        <v>23</v>
      </c>
      <c r="M4" s="3" t="n">
        <f aca="false">IF(AND(K4="PL23_ESTIMATE",ISNUMBER(J4),ISNUMBER(L4)),ROUND(J4*L4/100,2),"")</f>
        <v>386.53</v>
      </c>
      <c r="N4" s="10"/>
      <c r="O4" s="3" t="n">
        <f aca="false">IF(K4="SOURCE_GROSS",IF(AND(ISNUMBER(E4),ISNUMBER(N4)),ROUND(E4*N4,2),""),IF(AND(ISNUMBER(J4),ISNUMBER(M4)),ROUND(J4+M4,2),""))</f>
        <v>2067.11</v>
      </c>
      <c r="P4" s="2" t="s">
        <v>79</v>
      </c>
      <c r="Q4" s="2" t="s">
        <v>89</v>
      </c>
      <c r="R4" s="2" t="s">
        <v>97</v>
      </c>
      <c r="S4" s="11" t="s">
        <v>98</v>
      </c>
      <c r="T4" s="4" t="n">
        <v>999.95</v>
      </c>
      <c r="U4" s="2" t="s">
        <v>83</v>
      </c>
    </row>
    <row r="5" customFormat="false" ht="64.5" hidden="false" customHeight="true" outlineLevel="0" collapsed="false">
      <c r="A5" s="5" t="s">
        <v>99</v>
      </c>
      <c r="B5" s="5" t="s">
        <v>14</v>
      </c>
      <c r="C5" s="5" t="s">
        <v>100</v>
      </c>
      <c r="D5" s="5" t="s">
        <v>74</v>
      </c>
      <c r="E5" s="13"/>
      <c r="F5" s="5" t="s">
        <v>94</v>
      </c>
      <c r="G5" s="5" t="s">
        <v>101</v>
      </c>
      <c r="H5" s="5" t="s">
        <v>102</v>
      </c>
      <c r="I5" s="12" t="n">
        <v>1008.36</v>
      </c>
      <c r="J5" s="3" t="str">
        <f aca="false">IF(AND(ISNUMBER(E5),ISNUMBER(I5)),ROUND(E5*I5,2),"")</f>
        <v/>
      </c>
      <c r="K5" s="13" t="s">
        <v>88</v>
      </c>
      <c r="L5" s="12" t="n">
        <v>23</v>
      </c>
      <c r="M5" s="3" t="str">
        <f aca="false">IF(AND(K5="PL23_ESTIMATE",ISNUMBER(J5),ISNUMBER(L5)),ROUND(J5*L5/100,2),"")</f>
        <v/>
      </c>
      <c r="N5" s="13"/>
      <c r="O5" s="3" t="str">
        <f aca="false">IF(K5="SOURCE_GROSS",IF(AND(ISNUMBER(E5),ISNUMBER(N5)),ROUND(E5*N5,2),""),IF(AND(ISNUMBER(J5),ISNUMBER(M5)),ROUND(J5+M5,2),""))</f>
        <v/>
      </c>
      <c r="P5" s="5" t="s">
        <v>79</v>
      </c>
      <c r="Q5" s="5" t="s">
        <v>89</v>
      </c>
      <c r="R5" s="5" t="s">
        <v>103</v>
      </c>
      <c r="S5" s="14" t="s">
        <v>104</v>
      </c>
      <c r="T5" s="6" t="n">
        <v>1008.36</v>
      </c>
      <c r="U5" s="5" t="s">
        <v>83</v>
      </c>
    </row>
    <row r="6" customFormat="false" ht="64.5" hidden="false" customHeight="true" outlineLevel="0" collapsed="false">
      <c r="A6" s="2" t="s">
        <v>105</v>
      </c>
      <c r="B6" s="2" t="s">
        <v>16</v>
      </c>
      <c r="C6" s="2" t="s">
        <v>106</v>
      </c>
      <c r="D6" s="2" t="s">
        <v>74</v>
      </c>
      <c r="E6" s="9" t="n">
        <v>6</v>
      </c>
      <c r="F6" s="2" t="s">
        <v>94</v>
      </c>
      <c r="G6" s="2" t="s">
        <v>107</v>
      </c>
      <c r="H6" s="2" t="s">
        <v>108</v>
      </c>
      <c r="I6" s="9" t="n">
        <v>268.07</v>
      </c>
      <c r="J6" s="3" t="n">
        <f aca="false">IF(AND(ISNUMBER(E6),ISNUMBER(I6)),ROUND(E6*I6,2),"")</f>
        <v>1608.42</v>
      </c>
      <c r="K6" s="10" t="s">
        <v>88</v>
      </c>
      <c r="L6" s="9" t="n">
        <v>23</v>
      </c>
      <c r="M6" s="3" t="n">
        <f aca="false">IF(AND(K6="PL23_ESTIMATE",ISNUMBER(J6),ISNUMBER(L6)),ROUND(J6*L6/100,2),"")</f>
        <v>369.94</v>
      </c>
      <c r="N6" s="10"/>
      <c r="O6" s="3" t="n">
        <f aca="false">IF(K6="SOURCE_GROSS",IF(AND(ISNUMBER(E6),ISNUMBER(N6)),ROUND(E6*N6,2),""),IF(AND(ISNUMBER(J6),ISNUMBER(M6)),ROUND(J6+M6,2),""))</f>
        <v>1978.36</v>
      </c>
      <c r="P6" s="2" t="s">
        <v>79</v>
      </c>
      <c r="Q6" s="2" t="s">
        <v>89</v>
      </c>
      <c r="R6" s="2" t="s">
        <v>109</v>
      </c>
      <c r="S6" s="11" t="s">
        <v>110</v>
      </c>
      <c r="T6" s="4" t="n">
        <v>319</v>
      </c>
      <c r="U6" s="2" t="s">
        <v>83</v>
      </c>
    </row>
    <row r="7" customFormat="false" ht="64.5" hidden="false" customHeight="true" outlineLevel="0" collapsed="false">
      <c r="A7" s="5" t="s">
        <v>111</v>
      </c>
      <c r="B7" s="5" t="s">
        <v>16</v>
      </c>
      <c r="C7" s="5" t="s">
        <v>112</v>
      </c>
      <c r="D7" s="5" t="s">
        <v>74</v>
      </c>
      <c r="E7" s="12" t="n">
        <v>1</v>
      </c>
      <c r="F7" s="5" t="s">
        <v>94</v>
      </c>
      <c r="G7" s="5" t="s">
        <v>113</v>
      </c>
      <c r="H7" s="5" t="s">
        <v>114</v>
      </c>
      <c r="I7" s="13"/>
      <c r="J7" s="3" t="str">
        <f aca="false">IF(AND(ISNUMBER(E7),ISNUMBER(I7)),ROUND(E7*I7,2),"")</f>
        <v/>
      </c>
      <c r="K7" s="13" t="s">
        <v>88</v>
      </c>
      <c r="L7" s="12" t="n">
        <v>23</v>
      </c>
      <c r="M7" s="3" t="str">
        <f aca="false">IF(AND(K7="PL23_ESTIMATE",ISNUMBER(J7),ISNUMBER(L7)),ROUND(J7*L7/100,2),"")</f>
        <v/>
      </c>
      <c r="N7" s="13"/>
      <c r="O7" s="3" t="str">
        <f aca="false">IF(K7="SOURCE_GROSS",IF(AND(ISNUMBER(E7),ISNUMBER(N7)),ROUND(E7*N7,2),""),IF(AND(ISNUMBER(J7),ISNUMBER(M7)),ROUND(J7+M7,2),""))</f>
        <v/>
      </c>
      <c r="P7" s="5" t="s">
        <v>79</v>
      </c>
      <c r="Q7" s="5" t="s">
        <v>80</v>
      </c>
      <c r="R7" s="5" t="s">
        <v>115</v>
      </c>
      <c r="S7" s="5"/>
      <c r="T7" s="5"/>
      <c r="U7" s="5"/>
    </row>
    <row r="8" customFormat="false" ht="64.5" hidden="false" customHeight="true" outlineLevel="0" collapsed="false">
      <c r="A8" s="2" t="s">
        <v>116</v>
      </c>
      <c r="B8" s="2" t="s">
        <v>16</v>
      </c>
      <c r="C8" s="2" t="s">
        <v>117</v>
      </c>
      <c r="D8" s="2" t="s">
        <v>74</v>
      </c>
      <c r="E8" s="9" t="n">
        <v>2</v>
      </c>
      <c r="F8" s="2" t="s">
        <v>94</v>
      </c>
      <c r="G8" s="2" t="s">
        <v>118</v>
      </c>
      <c r="H8" s="2" t="s">
        <v>119</v>
      </c>
      <c r="I8" s="10"/>
      <c r="J8" s="3" t="str">
        <f aca="false">IF(AND(ISNUMBER(E8),ISNUMBER(I8)),ROUND(E8*I8,2),"")</f>
        <v/>
      </c>
      <c r="K8" s="10" t="s">
        <v>88</v>
      </c>
      <c r="L8" s="9" t="n">
        <v>23</v>
      </c>
      <c r="M8" s="3" t="str">
        <f aca="false">IF(AND(K8="PL23_ESTIMATE",ISNUMBER(J8),ISNUMBER(L8)),ROUND(J8*L8/100,2),"")</f>
        <v/>
      </c>
      <c r="N8" s="10"/>
      <c r="O8" s="3" t="str">
        <f aca="false">IF(K8="SOURCE_GROSS",IF(AND(ISNUMBER(E8),ISNUMBER(N8)),ROUND(E8*N8,2),""),IF(AND(ISNUMBER(J8),ISNUMBER(M8)),ROUND(J8+M8,2),""))</f>
        <v/>
      </c>
      <c r="P8" s="2" t="s">
        <v>79</v>
      </c>
      <c r="Q8" s="2" t="s">
        <v>80</v>
      </c>
      <c r="R8" s="2" t="s">
        <v>120</v>
      </c>
      <c r="S8" s="2"/>
      <c r="T8" s="2"/>
      <c r="U8" s="2"/>
    </row>
    <row r="9" customFormat="false" ht="64.5" hidden="false" customHeight="true" outlineLevel="0" collapsed="false">
      <c r="A9" s="5" t="s">
        <v>121</v>
      </c>
      <c r="B9" s="5" t="s">
        <v>16</v>
      </c>
      <c r="C9" s="5" t="s">
        <v>122</v>
      </c>
      <c r="D9" s="5" t="s">
        <v>74</v>
      </c>
      <c r="E9" s="13"/>
      <c r="F9" s="5" t="s">
        <v>94</v>
      </c>
      <c r="G9" s="5" t="s">
        <v>123</v>
      </c>
      <c r="H9" s="5" t="s">
        <v>124</v>
      </c>
      <c r="I9" s="12" t="n">
        <v>239.45</v>
      </c>
      <c r="J9" s="3" t="str">
        <f aca="false">IF(AND(ISNUMBER(E9),ISNUMBER(I9)),ROUND(E9*I9,2),"")</f>
        <v/>
      </c>
      <c r="K9" s="13" t="s">
        <v>88</v>
      </c>
      <c r="L9" s="12" t="n">
        <v>23</v>
      </c>
      <c r="M9" s="3" t="str">
        <f aca="false">IF(AND(K9="PL23_ESTIMATE",ISNUMBER(J9),ISNUMBER(L9)),ROUND(J9*L9/100,2),"")</f>
        <v/>
      </c>
      <c r="N9" s="13"/>
      <c r="O9" s="3" t="str">
        <f aca="false">IF(K9="SOURCE_GROSS",IF(AND(ISNUMBER(E9),ISNUMBER(N9)),ROUND(E9*N9,2),""),IF(AND(ISNUMBER(J9),ISNUMBER(M9)),ROUND(J9+M9,2),""))</f>
        <v/>
      </c>
      <c r="P9" s="5" t="s">
        <v>79</v>
      </c>
      <c r="Q9" s="5" t="s">
        <v>89</v>
      </c>
      <c r="R9" s="5" t="s">
        <v>125</v>
      </c>
      <c r="S9" s="14" t="s">
        <v>126</v>
      </c>
      <c r="T9" s="6" t="n">
        <v>239.45</v>
      </c>
      <c r="U9" s="5" t="s">
        <v>83</v>
      </c>
    </row>
    <row r="10" customFormat="false" ht="64.5" hidden="false" customHeight="true" outlineLevel="0" collapsed="false">
      <c r="A10" s="2" t="s">
        <v>127</v>
      </c>
      <c r="B10" s="2" t="s">
        <v>18</v>
      </c>
      <c r="C10" s="2" t="s">
        <v>128</v>
      </c>
      <c r="D10" s="2" t="s">
        <v>74</v>
      </c>
      <c r="E10" s="9" t="n">
        <v>1</v>
      </c>
      <c r="F10" s="2" t="s">
        <v>129</v>
      </c>
      <c r="G10" s="2" t="s">
        <v>130</v>
      </c>
      <c r="H10" s="2" t="s">
        <v>131</v>
      </c>
      <c r="I10" s="9" t="n">
        <v>1093.25</v>
      </c>
      <c r="J10" s="3" t="n">
        <f aca="false">IF(AND(ISNUMBER(E10),ISNUMBER(I10)),ROUND(E10*I10,2),"")</f>
        <v>1093.25</v>
      </c>
      <c r="K10" s="10" t="s">
        <v>88</v>
      </c>
      <c r="L10" s="9" t="n">
        <v>23</v>
      </c>
      <c r="M10" s="3" t="n">
        <f aca="false">IF(AND(K10="PL23_ESTIMATE",ISNUMBER(J10),ISNUMBER(L10)),ROUND(J10*L10/100,2),"")</f>
        <v>251.45</v>
      </c>
      <c r="N10" s="10"/>
      <c r="O10" s="3" t="n">
        <f aca="false">IF(K10="SOURCE_GROSS",IF(AND(ISNUMBER(E10),ISNUMBER(N10)),ROUND(E10*N10,2),""),IF(AND(ISNUMBER(J10),ISNUMBER(M10)),ROUND(J10+M10,2),""))</f>
        <v>1344.7</v>
      </c>
      <c r="P10" s="2" t="s">
        <v>79</v>
      </c>
      <c r="Q10" s="2" t="s">
        <v>89</v>
      </c>
      <c r="R10" s="2" t="s">
        <v>132</v>
      </c>
      <c r="S10" s="11" t="s">
        <v>133</v>
      </c>
      <c r="T10" s="4" t="n">
        <v>1311.9</v>
      </c>
      <c r="U10" s="2" t="s">
        <v>83</v>
      </c>
    </row>
    <row r="11" customFormat="false" ht="64.5" hidden="false" customHeight="true" outlineLevel="0" collapsed="false">
      <c r="A11" s="5" t="s">
        <v>134</v>
      </c>
      <c r="B11" s="5" t="s">
        <v>18</v>
      </c>
      <c r="C11" s="5" t="s">
        <v>135</v>
      </c>
      <c r="D11" s="5" t="s">
        <v>74</v>
      </c>
      <c r="E11" s="12" t="n">
        <v>1</v>
      </c>
      <c r="F11" s="5" t="s">
        <v>129</v>
      </c>
      <c r="G11" s="5" t="s">
        <v>136</v>
      </c>
      <c r="H11" s="5" t="s">
        <v>137</v>
      </c>
      <c r="I11" s="12" t="n">
        <v>1052.5</v>
      </c>
      <c r="J11" s="3" t="n">
        <f aca="false">IF(AND(ISNUMBER(E11),ISNUMBER(I11)),ROUND(E11*I11,2),"")</f>
        <v>1052.5</v>
      </c>
      <c r="K11" s="13" t="s">
        <v>88</v>
      </c>
      <c r="L11" s="12" t="n">
        <v>23</v>
      </c>
      <c r="M11" s="3" t="n">
        <f aca="false">IF(AND(K11="PL23_ESTIMATE",ISNUMBER(J11),ISNUMBER(L11)),ROUND(J11*L11/100,2),"")</f>
        <v>242.08</v>
      </c>
      <c r="N11" s="13"/>
      <c r="O11" s="3" t="n">
        <f aca="false">IF(K11="SOURCE_GROSS",IF(AND(ISNUMBER(E11),ISNUMBER(N11)),ROUND(E11*N11,2),""),IF(AND(ISNUMBER(J11),ISNUMBER(M11)),ROUND(J11+M11,2),""))</f>
        <v>1294.58</v>
      </c>
      <c r="P11" s="5" t="s">
        <v>79</v>
      </c>
      <c r="Q11" s="5" t="s">
        <v>89</v>
      </c>
      <c r="R11" s="5" t="s">
        <v>138</v>
      </c>
      <c r="S11" s="14" t="s">
        <v>139</v>
      </c>
      <c r="T11" s="6" t="n">
        <v>1263</v>
      </c>
      <c r="U11" s="5" t="s">
        <v>83</v>
      </c>
    </row>
    <row r="12" customFormat="false" ht="64.5" hidden="false" customHeight="true" outlineLevel="0" collapsed="false">
      <c r="A12" s="2" t="s">
        <v>140</v>
      </c>
      <c r="B12" s="2" t="s">
        <v>20</v>
      </c>
      <c r="C12" s="2" t="s">
        <v>141</v>
      </c>
      <c r="D12" s="2" t="s">
        <v>74</v>
      </c>
      <c r="E12" s="9" t="n">
        <v>1</v>
      </c>
      <c r="F12" s="2" t="s">
        <v>129</v>
      </c>
      <c r="G12" s="2" t="s">
        <v>142</v>
      </c>
      <c r="H12" s="2" t="s">
        <v>143</v>
      </c>
      <c r="I12" s="9" t="n">
        <v>10683.5</v>
      </c>
      <c r="J12" s="3" t="n">
        <f aca="false">IF(AND(ISNUMBER(E12),ISNUMBER(I12)),ROUND(E12*I12,2),"")</f>
        <v>10683.5</v>
      </c>
      <c r="K12" s="10" t="s">
        <v>88</v>
      </c>
      <c r="L12" s="9" t="n">
        <v>23</v>
      </c>
      <c r="M12" s="3" t="n">
        <f aca="false">IF(AND(K12="PL23_ESTIMATE",ISNUMBER(J12),ISNUMBER(L12)),ROUND(J12*L12/100,2),"")</f>
        <v>2457.21</v>
      </c>
      <c r="N12" s="10"/>
      <c r="O12" s="3" t="n">
        <f aca="false">IF(K12="SOURCE_GROSS",IF(AND(ISNUMBER(E12),ISNUMBER(N12)),ROUND(E12*N12,2),""),IF(AND(ISNUMBER(J12),ISNUMBER(M12)),ROUND(J12+M12,2),""))</f>
        <v>13140.71</v>
      </c>
      <c r="P12" s="2" t="s">
        <v>79</v>
      </c>
      <c r="Q12" s="2" t="s">
        <v>144</v>
      </c>
      <c r="R12" s="2" t="s">
        <v>145</v>
      </c>
      <c r="S12" s="11" t="s">
        <v>146</v>
      </c>
      <c r="T12" s="4" t="n">
        <v>12820.2</v>
      </c>
      <c r="U12" s="2" t="s">
        <v>83</v>
      </c>
    </row>
    <row r="13" customFormat="false" ht="64.5" hidden="false" customHeight="true" outlineLevel="0" collapsed="false">
      <c r="A13" s="5" t="s">
        <v>147</v>
      </c>
      <c r="B13" s="5" t="s">
        <v>22</v>
      </c>
      <c r="C13" s="5" t="s">
        <v>148</v>
      </c>
      <c r="D13" s="5" t="s">
        <v>74</v>
      </c>
      <c r="E13" s="13"/>
      <c r="F13" s="5" t="s">
        <v>129</v>
      </c>
      <c r="G13" s="5" t="s">
        <v>149</v>
      </c>
      <c r="H13" s="5" t="s">
        <v>150</v>
      </c>
      <c r="I13" s="12" t="n">
        <v>690.83</v>
      </c>
      <c r="J13" s="3" t="str">
        <f aca="false">IF(AND(ISNUMBER(E13),ISNUMBER(I13)),ROUND(E13*I13,2),"")</f>
        <v/>
      </c>
      <c r="K13" s="13" t="s">
        <v>88</v>
      </c>
      <c r="L13" s="12" t="n">
        <v>23</v>
      </c>
      <c r="M13" s="3" t="str">
        <f aca="false">IF(AND(K13="PL23_ESTIMATE",ISNUMBER(J13),ISNUMBER(L13)),ROUND(J13*L13/100,2),"")</f>
        <v/>
      </c>
      <c r="N13" s="13"/>
      <c r="O13" s="3" t="str">
        <f aca="false">IF(K13="SOURCE_GROSS",IF(AND(ISNUMBER(E13),ISNUMBER(N13)),ROUND(E13*N13,2),""),IF(AND(ISNUMBER(J13),ISNUMBER(M13)),ROUND(J13+M13,2),""))</f>
        <v/>
      </c>
      <c r="P13" s="5" t="s">
        <v>79</v>
      </c>
      <c r="Q13" s="5" t="s">
        <v>89</v>
      </c>
      <c r="R13" s="5" t="s">
        <v>151</v>
      </c>
      <c r="S13" s="14" t="s">
        <v>152</v>
      </c>
      <c r="T13" s="6" t="n">
        <v>829</v>
      </c>
      <c r="U13" s="5" t="s">
        <v>83</v>
      </c>
    </row>
    <row r="14" customFormat="false" ht="64.5" hidden="false" customHeight="true" outlineLevel="0" collapsed="false">
      <c r="A14" s="2" t="s">
        <v>153</v>
      </c>
      <c r="B14" s="2" t="s">
        <v>24</v>
      </c>
      <c r="C14" s="2" t="s">
        <v>154</v>
      </c>
      <c r="D14" s="2" t="s">
        <v>74</v>
      </c>
      <c r="E14" s="9" t="n">
        <v>2</v>
      </c>
      <c r="F14" s="2" t="s">
        <v>129</v>
      </c>
      <c r="G14" s="2" t="s">
        <v>155</v>
      </c>
      <c r="H14" s="2" t="s">
        <v>156</v>
      </c>
      <c r="I14" s="9" t="n">
        <v>4155.3</v>
      </c>
      <c r="J14" s="3" t="n">
        <f aca="false">IF(AND(ISNUMBER(E14),ISNUMBER(I14)),ROUND(E14*I14,2),"")</f>
        <v>8310.6</v>
      </c>
      <c r="K14" s="10" t="s">
        <v>88</v>
      </c>
      <c r="L14" s="9" t="n">
        <v>23</v>
      </c>
      <c r="M14" s="3" t="n">
        <f aca="false">IF(AND(K14="PL23_ESTIMATE",ISNUMBER(J14),ISNUMBER(L14)),ROUND(J14*L14/100,2),"")</f>
        <v>1911.44</v>
      </c>
      <c r="N14" s="10"/>
      <c r="O14" s="3" t="n">
        <f aca="false">IF(K14="SOURCE_GROSS",IF(AND(ISNUMBER(E14),ISNUMBER(N14)),ROUND(E14*N14,2),""),IF(AND(ISNUMBER(J14),ISNUMBER(M14)),ROUND(J14+M14,2),""))</f>
        <v>10222.04</v>
      </c>
      <c r="P14" s="2" t="s">
        <v>79</v>
      </c>
      <c r="Q14" s="2" t="s">
        <v>89</v>
      </c>
      <c r="R14" s="2" t="s">
        <v>157</v>
      </c>
      <c r="S14" s="11" t="s">
        <v>158</v>
      </c>
      <c r="T14" s="4" t="n">
        <v>4155.3</v>
      </c>
      <c r="U14" s="2" t="s">
        <v>83</v>
      </c>
    </row>
    <row r="15" customFormat="false" ht="64.5" hidden="false" customHeight="true" outlineLevel="0" collapsed="false">
      <c r="A15" s="5" t="s">
        <v>159</v>
      </c>
      <c r="B15" s="5" t="s">
        <v>24</v>
      </c>
      <c r="C15" s="5" t="s">
        <v>160</v>
      </c>
      <c r="D15" s="5" t="s">
        <v>74</v>
      </c>
      <c r="E15" s="13"/>
      <c r="F15" s="5" t="s">
        <v>129</v>
      </c>
      <c r="G15" s="5" t="s">
        <v>161</v>
      </c>
      <c r="H15" s="5" t="s">
        <v>162</v>
      </c>
      <c r="I15" s="12" t="n">
        <v>663.25</v>
      </c>
      <c r="J15" s="3" t="str">
        <f aca="false">IF(AND(ISNUMBER(E15),ISNUMBER(I15)),ROUND(E15*I15,2),"")</f>
        <v/>
      </c>
      <c r="K15" s="13" t="s">
        <v>88</v>
      </c>
      <c r="L15" s="12" t="n">
        <v>23</v>
      </c>
      <c r="M15" s="3" t="str">
        <f aca="false">IF(AND(K15="PL23_ESTIMATE",ISNUMBER(J15),ISNUMBER(L15)),ROUND(J15*L15/100,2),"")</f>
        <v/>
      </c>
      <c r="N15" s="13"/>
      <c r="O15" s="3" t="str">
        <f aca="false">IF(K15="SOURCE_GROSS",IF(AND(ISNUMBER(E15),ISNUMBER(N15)),ROUND(E15*N15,2),""),IF(AND(ISNUMBER(J15),ISNUMBER(M15)),ROUND(J15+M15,2),""))</f>
        <v/>
      </c>
      <c r="P15" s="5" t="s">
        <v>79</v>
      </c>
      <c r="Q15" s="5" t="s">
        <v>89</v>
      </c>
      <c r="R15" s="5" t="s">
        <v>163</v>
      </c>
      <c r="S15" s="14" t="s">
        <v>164</v>
      </c>
      <c r="T15" s="6" t="n">
        <v>795.9</v>
      </c>
      <c r="U15" s="5" t="s">
        <v>83</v>
      </c>
    </row>
    <row r="16" customFormat="false" ht="64.5" hidden="false" customHeight="true" outlineLevel="0" collapsed="false">
      <c r="A16" s="2" t="s">
        <v>165</v>
      </c>
      <c r="B16" s="2" t="s">
        <v>26</v>
      </c>
      <c r="C16" s="2" t="s">
        <v>166</v>
      </c>
      <c r="D16" s="2" t="s">
        <v>74</v>
      </c>
      <c r="E16" s="10"/>
      <c r="F16" s="2" t="s">
        <v>129</v>
      </c>
      <c r="G16" s="2" t="s">
        <v>167</v>
      </c>
      <c r="H16" s="2" t="s">
        <v>168</v>
      </c>
      <c r="I16" s="9" t="n">
        <v>1848.66</v>
      </c>
      <c r="J16" s="3" t="str">
        <f aca="false">IF(AND(ISNUMBER(E16),ISNUMBER(I16)),ROUND(E16*I16,2),"")</f>
        <v/>
      </c>
      <c r="K16" s="10" t="s">
        <v>88</v>
      </c>
      <c r="L16" s="9" t="n">
        <v>23</v>
      </c>
      <c r="M16" s="3" t="str">
        <f aca="false">IF(AND(K16="PL23_ESTIMATE",ISNUMBER(J16),ISNUMBER(L16)),ROUND(J16*L16/100,2),"")</f>
        <v/>
      </c>
      <c r="N16" s="10"/>
      <c r="O16" s="3" t="str">
        <f aca="false">IF(K16="SOURCE_GROSS",IF(AND(ISNUMBER(E16),ISNUMBER(N16)),ROUND(E16*N16,2),""),IF(AND(ISNUMBER(J16),ISNUMBER(M16)),ROUND(J16+M16,2),""))</f>
        <v/>
      </c>
      <c r="P16" s="2" t="s">
        <v>79</v>
      </c>
      <c r="Q16" s="2" t="s">
        <v>169</v>
      </c>
      <c r="R16" s="2" t="s">
        <v>170</v>
      </c>
      <c r="S16" s="11" t="s">
        <v>171</v>
      </c>
      <c r="T16" s="4" t="n">
        <v>2199.9</v>
      </c>
      <c r="U16" s="2" t="s">
        <v>83</v>
      </c>
    </row>
    <row r="17" customFormat="false" ht="64.5" hidden="false" customHeight="true" outlineLevel="0" collapsed="false">
      <c r="A17" s="5" t="s">
        <v>172</v>
      </c>
      <c r="B17" s="5" t="s">
        <v>26</v>
      </c>
      <c r="C17" s="5" t="s">
        <v>173</v>
      </c>
      <c r="D17" s="5" t="s">
        <v>74</v>
      </c>
      <c r="E17" s="13"/>
      <c r="F17" s="5" t="s">
        <v>129</v>
      </c>
      <c r="G17" s="5" t="s">
        <v>174</v>
      </c>
      <c r="H17" s="5" t="s">
        <v>175</v>
      </c>
      <c r="I17" s="12" t="n">
        <v>164.46</v>
      </c>
      <c r="J17" s="3" t="str">
        <f aca="false">IF(AND(ISNUMBER(E17),ISNUMBER(I17)),ROUND(E17*I17,2),"")</f>
        <v/>
      </c>
      <c r="K17" s="13" t="s">
        <v>88</v>
      </c>
      <c r="L17" s="12" t="n">
        <v>23</v>
      </c>
      <c r="M17" s="3" t="str">
        <f aca="false">IF(AND(K17="PL23_ESTIMATE",ISNUMBER(J17),ISNUMBER(L17)),ROUND(J17*L17/100,2),"")</f>
        <v/>
      </c>
      <c r="N17" s="13"/>
      <c r="O17" s="3" t="str">
        <f aca="false">IF(K17="SOURCE_GROSS",IF(AND(ISNUMBER(E17),ISNUMBER(N17)),ROUND(E17*N17,2),""),IF(AND(ISNUMBER(J17),ISNUMBER(M17)),ROUND(J17+M17,2),""))</f>
        <v/>
      </c>
      <c r="P17" s="5" t="s">
        <v>79</v>
      </c>
      <c r="Q17" s="5" t="s">
        <v>89</v>
      </c>
      <c r="R17" s="5" t="s">
        <v>176</v>
      </c>
      <c r="S17" s="14" t="s">
        <v>177</v>
      </c>
      <c r="T17" s="6" t="n">
        <v>164.46</v>
      </c>
      <c r="U17" s="5" t="s">
        <v>83</v>
      </c>
    </row>
    <row r="18" customFormat="false" ht="64.5" hidden="false" customHeight="true" outlineLevel="0" collapsed="false">
      <c r="A18" s="2" t="s">
        <v>178</v>
      </c>
      <c r="B18" s="2" t="s">
        <v>26</v>
      </c>
      <c r="C18" s="2" t="s">
        <v>179</v>
      </c>
      <c r="D18" s="2" t="s">
        <v>74</v>
      </c>
      <c r="E18" s="10"/>
      <c r="F18" s="2" t="s">
        <v>129</v>
      </c>
      <c r="G18" s="2" t="s">
        <v>180</v>
      </c>
      <c r="H18" s="2" t="s">
        <v>181</v>
      </c>
      <c r="I18" s="10"/>
      <c r="J18" s="3" t="str">
        <f aca="false">IF(AND(ISNUMBER(E18),ISNUMBER(I18)),ROUND(E18*I18,2),"")</f>
        <v/>
      </c>
      <c r="K18" s="10" t="s">
        <v>88</v>
      </c>
      <c r="L18" s="9" t="n">
        <v>23</v>
      </c>
      <c r="M18" s="3" t="str">
        <f aca="false">IF(AND(K18="PL23_ESTIMATE",ISNUMBER(J18),ISNUMBER(L18)),ROUND(J18*L18/100,2),"")</f>
        <v/>
      </c>
      <c r="N18" s="10"/>
      <c r="O18" s="3" t="str">
        <f aca="false">IF(K18="SOURCE_GROSS",IF(AND(ISNUMBER(E18),ISNUMBER(N18)),ROUND(E18*N18,2),""),IF(AND(ISNUMBER(J18),ISNUMBER(M18)),ROUND(J18+M18,2),""))</f>
        <v/>
      </c>
      <c r="P18" s="2" t="s">
        <v>79</v>
      </c>
      <c r="Q18" s="2" t="s">
        <v>80</v>
      </c>
      <c r="R18" s="2" t="s">
        <v>182</v>
      </c>
      <c r="S18" s="11" t="s">
        <v>183</v>
      </c>
      <c r="T18" s="4" t="n">
        <v>224.42</v>
      </c>
      <c r="U18" s="2" t="s">
        <v>184</v>
      </c>
    </row>
    <row r="19" customFormat="false" ht="64.5" hidden="false" customHeight="true" outlineLevel="0" collapsed="false">
      <c r="A19" s="5" t="s">
        <v>185</v>
      </c>
      <c r="B19" s="5" t="s">
        <v>26</v>
      </c>
      <c r="C19" s="5" t="s">
        <v>186</v>
      </c>
      <c r="D19" s="5" t="s">
        <v>74</v>
      </c>
      <c r="E19" s="13"/>
      <c r="F19" s="5" t="s">
        <v>129</v>
      </c>
      <c r="G19" s="5" t="s">
        <v>187</v>
      </c>
      <c r="H19" s="5" t="s">
        <v>188</v>
      </c>
      <c r="I19" s="12" t="n">
        <v>188.56</v>
      </c>
      <c r="J19" s="3" t="str">
        <f aca="false">IF(AND(ISNUMBER(E19),ISNUMBER(I19)),ROUND(E19*I19,2),"")</f>
        <v/>
      </c>
      <c r="K19" s="13" t="s">
        <v>88</v>
      </c>
      <c r="L19" s="12" t="n">
        <v>23</v>
      </c>
      <c r="M19" s="3" t="str">
        <f aca="false">IF(AND(K19="PL23_ESTIMATE",ISNUMBER(J19),ISNUMBER(L19)),ROUND(J19*L19/100,2),"")</f>
        <v/>
      </c>
      <c r="N19" s="13"/>
      <c r="O19" s="3" t="str">
        <f aca="false">IF(K19="SOURCE_GROSS",IF(AND(ISNUMBER(E19),ISNUMBER(N19)),ROUND(E19*N19,2),""),IF(AND(ISNUMBER(J19),ISNUMBER(M19)),ROUND(J19+M19,2),""))</f>
        <v/>
      </c>
      <c r="P19" s="5" t="s">
        <v>79</v>
      </c>
      <c r="Q19" s="5" t="s">
        <v>89</v>
      </c>
      <c r="R19" s="5" t="s">
        <v>189</v>
      </c>
      <c r="S19" s="14" t="s">
        <v>190</v>
      </c>
      <c r="T19" s="6" t="n">
        <v>162</v>
      </c>
      <c r="U19" s="5" t="s">
        <v>184</v>
      </c>
    </row>
    <row r="20" customFormat="false" ht="64.5" hidden="false" customHeight="true" outlineLevel="0" collapsed="false">
      <c r="A20" s="2" t="s">
        <v>191</v>
      </c>
      <c r="B20" s="2" t="s">
        <v>28</v>
      </c>
      <c r="C20" s="2" t="s">
        <v>192</v>
      </c>
      <c r="D20" s="2" t="s">
        <v>74</v>
      </c>
      <c r="E20" s="10"/>
      <c r="F20" s="2" t="s">
        <v>129</v>
      </c>
      <c r="G20" s="2" t="s">
        <v>193</v>
      </c>
      <c r="H20" s="2" t="s">
        <v>194</v>
      </c>
      <c r="I20" s="9" t="n">
        <v>124.82</v>
      </c>
      <c r="J20" s="3" t="str">
        <f aca="false">IF(AND(ISNUMBER(E20),ISNUMBER(I20)),ROUND(E20*I20,2),"")</f>
        <v/>
      </c>
      <c r="K20" s="10" t="s">
        <v>88</v>
      </c>
      <c r="L20" s="9" t="n">
        <v>23</v>
      </c>
      <c r="M20" s="3" t="str">
        <f aca="false">IF(AND(K20="PL23_ESTIMATE",ISNUMBER(J20),ISNUMBER(L20)),ROUND(J20*L20/100,2),"")</f>
        <v/>
      </c>
      <c r="N20" s="10"/>
      <c r="O20" s="3" t="str">
        <f aca="false">IF(K20="SOURCE_GROSS",IF(AND(ISNUMBER(E20),ISNUMBER(N20)),ROUND(E20*N20,2),""),IF(AND(ISNUMBER(J20),ISNUMBER(M20)),ROUND(J20+M20,2),""))</f>
        <v/>
      </c>
      <c r="P20" s="2" t="s">
        <v>79</v>
      </c>
      <c r="Q20" s="2" t="s">
        <v>89</v>
      </c>
      <c r="R20" s="2" t="s">
        <v>195</v>
      </c>
      <c r="S20" s="11" t="s">
        <v>196</v>
      </c>
      <c r="T20" s="4" t="n">
        <v>107.24</v>
      </c>
      <c r="U20" s="2" t="s">
        <v>184</v>
      </c>
    </row>
    <row r="21" customFormat="false" ht="64.5" hidden="false" customHeight="true" outlineLevel="0" collapsed="false">
      <c r="A21" s="5" t="s">
        <v>197</v>
      </c>
      <c r="B21" s="5" t="s">
        <v>28</v>
      </c>
      <c r="C21" s="5" t="s">
        <v>192</v>
      </c>
      <c r="D21" s="5" t="s">
        <v>74</v>
      </c>
      <c r="E21" s="13"/>
      <c r="F21" s="5" t="s">
        <v>129</v>
      </c>
      <c r="G21" s="5" t="s">
        <v>198</v>
      </c>
      <c r="H21" s="5" t="s">
        <v>199</v>
      </c>
      <c r="I21" s="12" t="n">
        <v>64.13</v>
      </c>
      <c r="J21" s="3" t="str">
        <f aca="false">IF(AND(ISNUMBER(E21),ISNUMBER(I21)),ROUND(E21*I21,2),"")</f>
        <v/>
      </c>
      <c r="K21" s="13" t="s">
        <v>88</v>
      </c>
      <c r="L21" s="12" t="n">
        <v>23</v>
      </c>
      <c r="M21" s="3" t="str">
        <f aca="false">IF(AND(K21="PL23_ESTIMATE",ISNUMBER(J21),ISNUMBER(L21)),ROUND(J21*L21/100,2),"")</f>
        <v/>
      </c>
      <c r="N21" s="13"/>
      <c r="O21" s="3" t="str">
        <f aca="false">IF(K21="SOURCE_GROSS",IF(AND(ISNUMBER(E21),ISNUMBER(N21)),ROUND(E21*N21,2),""),IF(AND(ISNUMBER(J21),ISNUMBER(M21)),ROUND(J21+M21,2),""))</f>
        <v/>
      </c>
      <c r="P21" s="5" t="s">
        <v>79</v>
      </c>
      <c r="Q21" s="5" t="s">
        <v>89</v>
      </c>
      <c r="R21" s="5" t="s">
        <v>200</v>
      </c>
      <c r="S21" s="14" t="s">
        <v>201</v>
      </c>
      <c r="T21" s="6" t="n">
        <v>55.1</v>
      </c>
      <c r="U21" s="5" t="s">
        <v>184</v>
      </c>
    </row>
    <row r="22" customFormat="false" ht="64.5" hidden="false" customHeight="true" outlineLevel="0" collapsed="false">
      <c r="A22" s="2" t="s">
        <v>202</v>
      </c>
      <c r="B22" s="2" t="s">
        <v>28</v>
      </c>
      <c r="C22" s="2" t="s">
        <v>192</v>
      </c>
      <c r="D22" s="2" t="s">
        <v>74</v>
      </c>
      <c r="E22" s="10"/>
      <c r="F22" s="2" t="s">
        <v>129</v>
      </c>
      <c r="G22" s="2" t="s">
        <v>203</v>
      </c>
      <c r="H22" s="2" t="s">
        <v>204</v>
      </c>
      <c r="I22" s="9" t="n">
        <v>85.19</v>
      </c>
      <c r="J22" s="3" t="str">
        <f aca="false">IF(AND(ISNUMBER(E22),ISNUMBER(I22)),ROUND(E22*I22,2),"")</f>
        <v/>
      </c>
      <c r="K22" s="10" t="s">
        <v>88</v>
      </c>
      <c r="L22" s="9" t="n">
        <v>23</v>
      </c>
      <c r="M22" s="3" t="str">
        <f aca="false">IF(AND(K22="PL23_ESTIMATE",ISNUMBER(J22),ISNUMBER(L22)),ROUND(J22*L22/100,2),"")</f>
        <v/>
      </c>
      <c r="N22" s="10"/>
      <c r="O22" s="3" t="str">
        <f aca="false">IF(K22="SOURCE_GROSS",IF(AND(ISNUMBER(E22),ISNUMBER(N22)),ROUND(E22*N22,2),""),IF(AND(ISNUMBER(J22),ISNUMBER(M22)),ROUND(J22+M22,2),""))</f>
        <v/>
      </c>
      <c r="P22" s="2" t="s">
        <v>79</v>
      </c>
      <c r="Q22" s="2" t="s">
        <v>89</v>
      </c>
      <c r="R22" s="2" t="s">
        <v>205</v>
      </c>
      <c r="S22" s="11" t="s">
        <v>196</v>
      </c>
      <c r="T22" s="4" t="n">
        <v>73.19</v>
      </c>
      <c r="U22" s="2" t="s">
        <v>184</v>
      </c>
    </row>
    <row r="23" customFormat="false" ht="64.5" hidden="false" customHeight="true" outlineLevel="0" collapsed="false">
      <c r="A23" s="5" t="s">
        <v>206</v>
      </c>
      <c r="B23" s="5" t="s">
        <v>28</v>
      </c>
      <c r="C23" s="5" t="s">
        <v>207</v>
      </c>
      <c r="D23" s="5" t="s">
        <v>74</v>
      </c>
      <c r="E23" s="13"/>
      <c r="F23" s="5" t="s">
        <v>129</v>
      </c>
      <c r="G23" s="5" t="s">
        <v>208</v>
      </c>
      <c r="H23" s="5" t="s">
        <v>209</v>
      </c>
      <c r="I23" s="13"/>
      <c r="J23" s="3" t="str">
        <f aca="false">IF(AND(ISNUMBER(E23),ISNUMBER(I23)),ROUND(E23*I23,2),"")</f>
        <v/>
      </c>
      <c r="K23" s="13" t="s">
        <v>88</v>
      </c>
      <c r="L23" s="12" t="n">
        <v>23</v>
      </c>
      <c r="M23" s="3" t="str">
        <f aca="false">IF(AND(K23="PL23_ESTIMATE",ISNUMBER(J23),ISNUMBER(L23)),ROUND(J23*L23/100,2),"")</f>
        <v/>
      </c>
      <c r="N23" s="13"/>
      <c r="O23" s="3" t="str">
        <f aca="false">IF(K23="SOURCE_GROSS",IF(AND(ISNUMBER(E23),ISNUMBER(N23)),ROUND(E23*N23,2),""),IF(AND(ISNUMBER(J23),ISNUMBER(M23)),ROUND(J23+M23,2),""))</f>
        <v/>
      </c>
      <c r="P23" s="5" t="s">
        <v>79</v>
      </c>
      <c r="Q23" s="5" t="s">
        <v>80</v>
      </c>
      <c r="R23" s="5" t="s">
        <v>210</v>
      </c>
      <c r="S23" s="14" t="s">
        <v>211</v>
      </c>
      <c r="T23" s="6" t="n">
        <v>1950</v>
      </c>
      <c r="U23" s="5" t="s">
        <v>83</v>
      </c>
    </row>
    <row r="24" customFormat="false" ht="64.5" hidden="false" customHeight="true" outlineLevel="0" collapsed="false">
      <c r="A24" s="2" t="s">
        <v>212</v>
      </c>
      <c r="B24" s="2" t="s">
        <v>30</v>
      </c>
      <c r="C24" s="2" t="s">
        <v>213</v>
      </c>
      <c r="D24" s="2" t="s">
        <v>74</v>
      </c>
      <c r="E24" s="10"/>
      <c r="F24" s="2" t="s">
        <v>129</v>
      </c>
      <c r="G24" s="2" t="s">
        <v>214</v>
      </c>
      <c r="H24" s="2" t="s">
        <v>215</v>
      </c>
      <c r="I24" s="9" t="n">
        <v>187.69</v>
      </c>
      <c r="J24" s="3" t="str">
        <f aca="false">IF(AND(ISNUMBER(E24),ISNUMBER(I24)),ROUND(E24*I24,2),"")</f>
        <v/>
      </c>
      <c r="K24" s="10" t="s">
        <v>88</v>
      </c>
      <c r="L24" s="9" t="n">
        <v>23</v>
      </c>
      <c r="M24" s="3" t="str">
        <f aca="false">IF(AND(K24="PL23_ESTIMATE",ISNUMBER(J24),ISNUMBER(L24)),ROUND(J24*L24/100,2),"")</f>
        <v/>
      </c>
      <c r="N24" s="10"/>
      <c r="O24" s="3" t="str">
        <f aca="false">IF(K24="SOURCE_GROSS",IF(AND(ISNUMBER(E24),ISNUMBER(N24)),ROUND(E24*N24,2),""),IF(AND(ISNUMBER(J24),ISNUMBER(M24)),ROUND(J24+M24,2),""))</f>
        <v/>
      </c>
      <c r="P24" s="2" t="s">
        <v>79</v>
      </c>
      <c r="Q24" s="2" t="s">
        <v>89</v>
      </c>
      <c r="R24" s="2" t="s">
        <v>216</v>
      </c>
      <c r="S24" s="11" t="s">
        <v>217</v>
      </c>
      <c r="T24" s="4" t="n">
        <v>161.25</v>
      </c>
      <c r="U24" s="2" t="s">
        <v>184</v>
      </c>
    </row>
    <row r="25" customFormat="false" ht="64.5" hidden="false" customHeight="true" outlineLevel="0" collapsed="false">
      <c r="A25" s="5" t="s">
        <v>218</v>
      </c>
      <c r="B25" s="5" t="s">
        <v>30</v>
      </c>
      <c r="C25" s="5" t="s">
        <v>219</v>
      </c>
      <c r="D25" s="5" t="s">
        <v>74</v>
      </c>
      <c r="E25" s="13"/>
      <c r="F25" s="5" t="s">
        <v>129</v>
      </c>
      <c r="G25" s="5" t="s">
        <v>220</v>
      </c>
      <c r="H25" s="5" t="s">
        <v>221</v>
      </c>
      <c r="I25" s="12" t="n">
        <v>164.85</v>
      </c>
      <c r="J25" s="3" t="str">
        <f aca="false">IF(AND(ISNUMBER(E25),ISNUMBER(I25)),ROUND(E25*I25,2),"")</f>
        <v/>
      </c>
      <c r="K25" s="13" t="s">
        <v>88</v>
      </c>
      <c r="L25" s="12" t="n">
        <v>23</v>
      </c>
      <c r="M25" s="3" t="str">
        <f aca="false">IF(AND(K25="PL23_ESTIMATE",ISNUMBER(J25),ISNUMBER(L25)),ROUND(J25*L25/100,2),"")</f>
        <v/>
      </c>
      <c r="N25" s="13"/>
      <c r="O25" s="3" t="str">
        <f aca="false">IF(K25="SOURCE_GROSS",IF(AND(ISNUMBER(E25),ISNUMBER(N25)),ROUND(E25*N25,2),""),IF(AND(ISNUMBER(J25),ISNUMBER(M25)),ROUND(J25+M25,2),""))</f>
        <v/>
      </c>
      <c r="P25" s="5" t="s">
        <v>79</v>
      </c>
      <c r="Q25" s="5" t="s">
        <v>89</v>
      </c>
      <c r="R25" s="5" t="s">
        <v>222</v>
      </c>
      <c r="S25" s="14" t="s">
        <v>223</v>
      </c>
      <c r="T25" s="6" t="n">
        <v>141.63</v>
      </c>
      <c r="U25" s="5" t="s">
        <v>184</v>
      </c>
    </row>
    <row r="26" customFormat="false" ht="64.5" hidden="false" customHeight="true" outlineLevel="0" collapsed="false">
      <c r="A26" s="2" t="s">
        <v>224</v>
      </c>
      <c r="B26" s="2" t="s">
        <v>32</v>
      </c>
      <c r="C26" s="2" t="s">
        <v>225</v>
      </c>
      <c r="D26" s="2" t="s">
        <v>74</v>
      </c>
      <c r="E26" s="10"/>
      <c r="F26" s="2" t="s">
        <v>129</v>
      </c>
      <c r="G26" s="2" t="s">
        <v>226</v>
      </c>
      <c r="H26" s="2" t="s">
        <v>227</v>
      </c>
      <c r="I26" s="10"/>
      <c r="J26" s="3" t="str">
        <f aca="false">IF(AND(ISNUMBER(E26),ISNUMBER(I26)),ROUND(E26*I26,2),"")</f>
        <v/>
      </c>
      <c r="K26" s="10" t="s">
        <v>88</v>
      </c>
      <c r="L26" s="9" t="n">
        <v>23</v>
      </c>
      <c r="M26" s="3" t="str">
        <f aca="false">IF(AND(K26="PL23_ESTIMATE",ISNUMBER(J26),ISNUMBER(L26)),ROUND(J26*L26/100,2),"")</f>
        <v/>
      </c>
      <c r="N26" s="10"/>
      <c r="O26" s="3" t="str">
        <f aca="false">IF(K26="SOURCE_GROSS",IF(AND(ISNUMBER(E26),ISNUMBER(N26)),ROUND(E26*N26,2),""),IF(AND(ISNUMBER(J26),ISNUMBER(M26)),ROUND(J26+M26,2),""))</f>
        <v/>
      </c>
      <c r="P26" s="2" t="s">
        <v>79</v>
      </c>
      <c r="Q26" s="2" t="s">
        <v>80</v>
      </c>
      <c r="R26" s="2" t="s">
        <v>228</v>
      </c>
      <c r="S26" s="2"/>
      <c r="T26" s="2"/>
      <c r="U26" s="2" t="s">
        <v>83</v>
      </c>
    </row>
    <row r="27" customFormat="false" ht="64.5" hidden="false" customHeight="true" outlineLevel="0" collapsed="false">
      <c r="A27" s="5" t="s">
        <v>229</v>
      </c>
      <c r="B27" s="5" t="s">
        <v>8</v>
      </c>
      <c r="C27" s="5" t="s">
        <v>230</v>
      </c>
      <c r="D27" s="5" t="s">
        <v>231</v>
      </c>
      <c r="E27" s="13"/>
      <c r="F27" s="5"/>
      <c r="G27" s="5" t="s">
        <v>232</v>
      </c>
      <c r="H27" s="5" t="s">
        <v>233</v>
      </c>
      <c r="I27" s="13"/>
      <c r="J27" s="3" t="str">
        <f aca="false">IF(AND(ISNUMBER(E27),ISNUMBER(I27)),ROUND(E27*I27,2),"")</f>
        <v/>
      </c>
      <c r="K27" s="13" t="s">
        <v>88</v>
      </c>
      <c r="L27" s="12" t="n">
        <v>23</v>
      </c>
      <c r="M27" s="3" t="str">
        <f aca="false">IF(AND(K27="PL23_ESTIMATE",ISNUMBER(J27),ISNUMBER(L27)),ROUND(J27*L27/100,2),"")</f>
        <v/>
      </c>
      <c r="N27" s="13"/>
      <c r="O27" s="3" t="str">
        <f aca="false">IF(K27="SOURCE_GROSS",IF(AND(ISNUMBER(E27),ISNUMBER(N27)),ROUND(E27*N27,2),""),IF(AND(ISNUMBER(J27),ISNUMBER(M27)),ROUND(J27+M27,2),""))</f>
        <v/>
      </c>
      <c r="P27" s="5" t="s">
        <v>79</v>
      </c>
      <c r="Q27" s="5" t="s">
        <v>234</v>
      </c>
      <c r="R27" s="5" t="s">
        <v>235</v>
      </c>
      <c r="S27" s="5"/>
      <c r="T27" s="5"/>
      <c r="U27" s="5"/>
    </row>
    <row r="28" customFormat="false" ht="64.5" hidden="false" customHeight="true" outlineLevel="0" collapsed="false">
      <c r="A28" s="2" t="s">
        <v>236</v>
      </c>
      <c r="B28" s="2" t="s">
        <v>14</v>
      </c>
      <c r="C28" s="2" t="s">
        <v>237</v>
      </c>
      <c r="D28" s="2" t="s">
        <v>231</v>
      </c>
      <c r="E28" s="9" t="n">
        <v>1</v>
      </c>
      <c r="F28" s="2" t="s">
        <v>238</v>
      </c>
      <c r="G28" s="2" t="s">
        <v>239</v>
      </c>
      <c r="H28" s="2" t="s">
        <v>240</v>
      </c>
      <c r="I28" s="10"/>
      <c r="J28" s="3" t="str">
        <f aca="false">IF(AND(ISNUMBER(E28),ISNUMBER(I28)),ROUND(E28*I28,2),"")</f>
        <v/>
      </c>
      <c r="K28" s="10" t="s">
        <v>88</v>
      </c>
      <c r="L28" s="9" t="n">
        <v>23</v>
      </c>
      <c r="M28" s="3" t="str">
        <f aca="false">IF(AND(K28="PL23_ESTIMATE",ISNUMBER(J28),ISNUMBER(L28)),ROUND(J28*L28/100,2),"")</f>
        <v/>
      </c>
      <c r="N28" s="10"/>
      <c r="O28" s="3" t="str">
        <f aca="false">IF(K28="SOURCE_GROSS",IF(AND(ISNUMBER(E28),ISNUMBER(N28)),ROUND(E28*N28,2),""),IF(AND(ISNUMBER(J28),ISNUMBER(M28)),ROUND(J28+M28,2),""))</f>
        <v/>
      </c>
      <c r="P28" s="2" t="s">
        <v>79</v>
      </c>
      <c r="Q28" s="2" t="s">
        <v>234</v>
      </c>
      <c r="R28" s="2" t="s">
        <v>241</v>
      </c>
      <c r="S28" s="2"/>
      <c r="T28" s="2"/>
      <c r="U28" s="2"/>
    </row>
    <row r="29" customFormat="false" ht="64.5" hidden="false" customHeight="true" outlineLevel="0" collapsed="false">
      <c r="A29" s="5" t="s">
        <v>242</v>
      </c>
      <c r="B29" s="5" t="s">
        <v>14</v>
      </c>
      <c r="C29" s="5" t="s">
        <v>243</v>
      </c>
      <c r="D29" s="5" t="s">
        <v>231</v>
      </c>
      <c r="E29" s="13"/>
      <c r="F29" s="5"/>
      <c r="G29" s="5" t="s">
        <v>244</v>
      </c>
      <c r="H29" s="5" t="s">
        <v>245</v>
      </c>
      <c r="I29" s="13"/>
      <c r="J29" s="3" t="str">
        <f aca="false">IF(AND(ISNUMBER(E29),ISNUMBER(I29)),ROUND(E29*I29,2),"")</f>
        <v/>
      </c>
      <c r="K29" s="13" t="s">
        <v>88</v>
      </c>
      <c r="L29" s="12" t="n">
        <v>23</v>
      </c>
      <c r="M29" s="3" t="str">
        <f aca="false">IF(AND(K29="PL23_ESTIMATE",ISNUMBER(J29),ISNUMBER(L29)),ROUND(J29*L29/100,2),"")</f>
        <v/>
      </c>
      <c r="N29" s="13"/>
      <c r="O29" s="3" t="str">
        <f aca="false">IF(K29="SOURCE_GROSS",IF(AND(ISNUMBER(E29),ISNUMBER(N29)),ROUND(E29*N29,2),""),IF(AND(ISNUMBER(J29),ISNUMBER(M29)),ROUND(J29+M29,2),""))</f>
        <v/>
      </c>
      <c r="P29" s="5" t="s">
        <v>79</v>
      </c>
      <c r="Q29" s="5" t="s">
        <v>234</v>
      </c>
      <c r="R29" s="5" t="s">
        <v>246</v>
      </c>
      <c r="S29" s="5"/>
      <c r="T29" s="5"/>
      <c r="U29" s="5"/>
    </row>
    <row r="30" customFormat="false" ht="64.5" hidden="false" customHeight="true" outlineLevel="0" collapsed="false">
      <c r="A30" s="2" t="s">
        <v>247</v>
      </c>
      <c r="B30" s="2" t="s">
        <v>18</v>
      </c>
      <c r="C30" s="2" t="s">
        <v>248</v>
      </c>
      <c r="D30" s="2" t="s">
        <v>231</v>
      </c>
      <c r="E30" s="10"/>
      <c r="F30" s="2"/>
      <c r="G30" s="2" t="s">
        <v>249</v>
      </c>
      <c r="H30" s="2" t="s">
        <v>250</v>
      </c>
      <c r="I30" s="10"/>
      <c r="J30" s="3" t="str">
        <f aca="false">IF(AND(ISNUMBER(E30),ISNUMBER(I30)),ROUND(E30*I30,2),"")</f>
        <v/>
      </c>
      <c r="K30" s="10" t="s">
        <v>88</v>
      </c>
      <c r="L30" s="9" t="n">
        <v>23</v>
      </c>
      <c r="M30" s="3" t="str">
        <f aca="false">IF(AND(K30="PL23_ESTIMATE",ISNUMBER(J30),ISNUMBER(L30)),ROUND(J30*L30/100,2),"")</f>
        <v/>
      </c>
      <c r="N30" s="10"/>
      <c r="O30" s="3" t="str">
        <f aca="false">IF(K30="SOURCE_GROSS",IF(AND(ISNUMBER(E30),ISNUMBER(N30)),ROUND(E30*N30,2),""),IF(AND(ISNUMBER(J30),ISNUMBER(M30)),ROUND(J30+M30,2),""))</f>
        <v/>
      </c>
      <c r="P30" s="2" t="s">
        <v>79</v>
      </c>
      <c r="Q30" s="2" t="s">
        <v>234</v>
      </c>
      <c r="R30" s="2" t="s">
        <v>251</v>
      </c>
      <c r="S30" s="2"/>
      <c r="T30" s="2"/>
      <c r="U30" s="2"/>
    </row>
    <row r="31" customFormat="false" ht="64.5" hidden="false" customHeight="true" outlineLevel="0" collapsed="false">
      <c r="A31" s="5" t="s">
        <v>252</v>
      </c>
      <c r="B31" s="5" t="s">
        <v>24</v>
      </c>
      <c r="C31" s="5" t="s">
        <v>253</v>
      </c>
      <c r="D31" s="5" t="s">
        <v>231</v>
      </c>
      <c r="E31" s="13"/>
      <c r="F31" s="5"/>
      <c r="G31" s="5" t="s">
        <v>254</v>
      </c>
      <c r="H31" s="5" t="s">
        <v>255</v>
      </c>
      <c r="I31" s="13"/>
      <c r="J31" s="3" t="str">
        <f aca="false">IF(AND(ISNUMBER(E31),ISNUMBER(I31)),ROUND(E31*I31,2),"")</f>
        <v/>
      </c>
      <c r="K31" s="13" t="s">
        <v>88</v>
      </c>
      <c r="L31" s="12" t="n">
        <v>23</v>
      </c>
      <c r="M31" s="3" t="str">
        <f aca="false">IF(AND(K31="PL23_ESTIMATE",ISNUMBER(J31),ISNUMBER(L31)),ROUND(J31*L31/100,2),"")</f>
        <v/>
      </c>
      <c r="N31" s="13"/>
      <c r="O31" s="3" t="str">
        <f aca="false">IF(K31="SOURCE_GROSS",IF(AND(ISNUMBER(E31),ISNUMBER(N31)),ROUND(E31*N31,2),""),IF(AND(ISNUMBER(J31),ISNUMBER(M31)),ROUND(J31+M31,2),""))</f>
        <v/>
      </c>
      <c r="P31" s="5" t="s">
        <v>256</v>
      </c>
      <c r="Q31" s="5" t="s">
        <v>234</v>
      </c>
      <c r="R31" s="5" t="s">
        <v>257</v>
      </c>
      <c r="S31" s="5"/>
      <c r="T31" s="5"/>
      <c r="U31" s="5"/>
    </row>
    <row r="32" customFormat="false" ht="64.5" hidden="false" customHeight="true" outlineLevel="0" collapsed="false">
      <c r="A32" s="2" t="s">
        <v>258</v>
      </c>
      <c r="B32" s="2" t="s">
        <v>34</v>
      </c>
      <c r="C32" s="2"/>
      <c r="D32" s="2" t="s">
        <v>259</v>
      </c>
      <c r="E32" s="10"/>
      <c r="F32" s="2"/>
      <c r="G32" s="2" t="s">
        <v>260</v>
      </c>
      <c r="H32" s="2" t="s">
        <v>261</v>
      </c>
      <c r="I32" s="10"/>
      <c r="J32" s="3" t="str">
        <f aca="false">IF(AND(ISNUMBER(E32),ISNUMBER(I32)),ROUND(E32*I32,2),"")</f>
        <v/>
      </c>
      <c r="K32" s="10" t="s">
        <v>88</v>
      </c>
      <c r="L32" s="9" t="n">
        <v>23</v>
      </c>
      <c r="M32" s="3" t="str">
        <f aca="false">IF(AND(K32="PL23_ESTIMATE",ISNUMBER(J32),ISNUMBER(L32)),ROUND(J32*L32/100,2),"")</f>
        <v/>
      </c>
      <c r="N32" s="10"/>
      <c r="O32" s="3" t="str">
        <f aca="false">IF(K32="SOURCE_GROSS",IF(AND(ISNUMBER(E32),ISNUMBER(N32)),ROUND(E32*N32,2),""),IF(AND(ISNUMBER(J32),ISNUMBER(M32)),ROUND(J32+M32,2),""))</f>
        <v/>
      </c>
      <c r="P32" s="2" t="s">
        <v>79</v>
      </c>
      <c r="Q32" s="2" t="s">
        <v>234</v>
      </c>
      <c r="R32" s="2" t="s">
        <v>262</v>
      </c>
      <c r="S32" s="2"/>
      <c r="T32" s="2"/>
      <c r="U32" s="2"/>
    </row>
    <row r="33" customFormat="false" ht="64.5" hidden="false" customHeight="true" outlineLevel="0" collapsed="false">
      <c r="A33" s="5" t="s">
        <v>263</v>
      </c>
      <c r="B33" s="5" t="s">
        <v>34</v>
      </c>
      <c r="C33" s="5"/>
      <c r="D33" s="5" t="s">
        <v>259</v>
      </c>
      <c r="E33" s="13"/>
      <c r="F33" s="5"/>
      <c r="G33" s="5" t="s">
        <v>264</v>
      </c>
      <c r="H33" s="5" t="s">
        <v>261</v>
      </c>
      <c r="I33" s="13"/>
      <c r="J33" s="3" t="str">
        <f aca="false">IF(AND(ISNUMBER(E33),ISNUMBER(I33)),ROUND(E33*I33,2),"")</f>
        <v/>
      </c>
      <c r="K33" s="13" t="s">
        <v>88</v>
      </c>
      <c r="L33" s="12" t="n">
        <v>23</v>
      </c>
      <c r="M33" s="3" t="str">
        <f aca="false">IF(AND(K33="PL23_ESTIMATE",ISNUMBER(J33),ISNUMBER(L33)),ROUND(J33*L33/100,2),"")</f>
        <v/>
      </c>
      <c r="N33" s="13"/>
      <c r="O33" s="3" t="str">
        <f aca="false">IF(K33="SOURCE_GROSS",IF(AND(ISNUMBER(E33),ISNUMBER(N33)),ROUND(E33*N33,2),""),IF(AND(ISNUMBER(J33),ISNUMBER(M33)),ROUND(J33+M33,2),""))</f>
        <v/>
      </c>
      <c r="P33" s="5" t="s">
        <v>79</v>
      </c>
      <c r="Q33" s="5" t="s">
        <v>234</v>
      </c>
      <c r="R33" s="5" t="s">
        <v>265</v>
      </c>
      <c r="S33" s="5"/>
      <c r="T33" s="5"/>
      <c r="U33" s="5"/>
    </row>
    <row r="34" customFormat="false" ht="64.5" hidden="false" customHeight="true" outlineLevel="0" collapsed="false">
      <c r="A34" s="2" t="s">
        <v>266</v>
      </c>
      <c r="B34" s="2" t="s">
        <v>34</v>
      </c>
      <c r="C34" s="2"/>
      <c r="D34" s="2" t="s">
        <v>259</v>
      </c>
      <c r="E34" s="10"/>
      <c r="F34" s="2"/>
      <c r="G34" s="2" t="s">
        <v>267</v>
      </c>
      <c r="H34" s="2" t="s">
        <v>261</v>
      </c>
      <c r="I34" s="10"/>
      <c r="J34" s="3" t="str">
        <f aca="false">IF(AND(ISNUMBER(E34),ISNUMBER(I34)),ROUND(E34*I34,2),"")</f>
        <v/>
      </c>
      <c r="K34" s="10" t="s">
        <v>88</v>
      </c>
      <c r="L34" s="9" t="n">
        <v>23</v>
      </c>
      <c r="M34" s="3" t="str">
        <f aca="false">IF(AND(K34="PL23_ESTIMATE",ISNUMBER(J34),ISNUMBER(L34)),ROUND(J34*L34/100,2),"")</f>
        <v/>
      </c>
      <c r="N34" s="10"/>
      <c r="O34" s="3" t="str">
        <f aca="false">IF(K34="SOURCE_GROSS",IF(AND(ISNUMBER(E34),ISNUMBER(N34)),ROUND(E34*N34,2),""),IF(AND(ISNUMBER(J34),ISNUMBER(M34)),ROUND(J34+M34,2),""))</f>
        <v/>
      </c>
      <c r="P34" s="2" t="s">
        <v>79</v>
      </c>
      <c r="Q34" s="2" t="s">
        <v>234</v>
      </c>
      <c r="R34" s="2" t="s">
        <v>268</v>
      </c>
      <c r="S34" s="2"/>
      <c r="T34" s="2"/>
      <c r="U34" s="2"/>
    </row>
    <row r="35" customFormat="false" ht="64.5" hidden="false" customHeight="true" outlineLevel="0" collapsed="false">
      <c r="A35" s="5" t="s">
        <v>269</v>
      </c>
      <c r="B35" s="5" t="s">
        <v>34</v>
      </c>
      <c r="C35" s="5"/>
      <c r="D35" s="5" t="s">
        <v>259</v>
      </c>
      <c r="E35" s="13"/>
      <c r="F35" s="5"/>
      <c r="G35" s="5" t="s">
        <v>270</v>
      </c>
      <c r="H35" s="5" t="s">
        <v>261</v>
      </c>
      <c r="I35" s="13"/>
      <c r="J35" s="3" t="str">
        <f aca="false">IF(AND(ISNUMBER(E35),ISNUMBER(I35)),ROUND(E35*I35,2),"")</f>
        <v/>
      </c>
      <c r="K35" s="13" t="s">
        <v>88</v>
      </c>
      <c r="L35" s="12" t="n">
        <v>23</v>
      </c>
      <c r="M35" s="3" t="str">
        <f aca="false">IF(AND(K35="PL23_ESTIMATE",ISNUMBER(J35),ISNUMBER(L35)),ROUND(J35*L35/100,2),"")</f>
        <v/>
      </c>
      <c r="N35" s="13"/>
      <c r="O35" s="3" t="str">
        <f aca="false">IF(K35="SOURCE_GROSS",IF(AND(ISNUMBER(E35),ISNUMBER(N35)),ROUND(E35*N35,2),""),IF(AND(ISNUMBER(J35),ISNUMBER(M35)),ROUND(J35+M35,2),""))</f>
        <v/>
      </c>
      <c r="P35" s="5" t="s">
        <v>79</v>
      </c>
      <c r="Q35" s="5" t="s">
        <v>234</v>
      </c>
      <c r="R35" s="5" t="s">
        <v>271</v>
      </c>
      <c r="S35" s="5"/>
      <c r="T35" s="5"/>
      <c r="U35" s="5"/>
    </row>
    <row r="36" customFormat="false" ht="64.5" hidden="false" customHeight="true" outlineLevel="0" collapsed="false">
      <c r="A36" s="2" t="s">
        <v>272</v>
      </c>
      <c r="B36" s="2" t="s">
        <v>34</v>
      </c>
      <c r="C36" s="2"/>
      <c r="D36" s="2" t="s">
        <v>259</v>
      </c>
      <c r="E36" s="10"/>
      <c r="F36" s="2"/>
      <c r="G36" s="2" t="s">
        <v>273</v>
      </c>
      <c r="H36" s="2" t="s">
        <v>261</v>
      </c>
      <c r="I36" s="10"/>
      <c r="J36" s="3" t="str">
        <f aca="false">IF(AND(ISNUMBER(E36),ISNUMBER(I36)),ROUND(E36*I36,2),"")</f>
        <v/>
      </c>
      <c r="K36" s="10" t="s">
        <v>88</v>
      </c>
      <c r="L36" s="9" t="n">
        <v>23</v>
      </c>
      <c r="M36" s="3" t="str">
        <f aca="false">IF(AND(K36="PL23_ESTIMATE",ISNUMBER(J36),ISNUMBER(L36)),ROUND(J36*L36/100,2),"")</f>
        <v/>
      </c>
      <c r="N36" s="10"/>
      <c r="O36" s="3" t="str">
        <f aca="false">IF(K36="SOURCE_GROSS",IF(AND(ISNUMBER(E36),ISNUMBER(N36)),ROUND(E36*N36,2),""),IF(AND(ISNUMBER(J36),ISNUMBER(M36)),ROUND(J36+M36,2),""))</f>
        <v/>
      </c>
      <c r="P36" s="2" t="s">
        <v>79</v>
      </c>
      <c r="Q36" s="2" t="s">
        <v>234</v>
      </c>
      <c r="R36" s="2" t="s">
        <v>274</v>
      </c>
      <c r="S36" s="2"/>
      <c r="T36" s="2"/>
      <c r="U36" s="2"/>
    </row>
    <row r="37" customFormat="false" ht="64.5" hidden="false" customHeight="true" outlineLevel="0" collapsed="false">
      <c r="A37" s="5" t="s">
        <v>275</v>
      </c>
      <c r="B37" s="5" t="s">
        <v>34</v>
      </c>
      <c r="C37" s="5"/>
      <c r="D37" s="5" t="s">
        <v>259</v>
      </c>
      <c r="E37" s="13"/>
      <c r="F37" s="5"/>
      <c r="G37" s="5" t="s">
        <v>276</v>
      </c>
      <c r="H37" s="5" t="s">
        <v>261</v>
      </c>
      <c r="I37" s="13"/>
      <c r="J37" s="3" t="str">
        <f aca="false">IF(AND(ISNUMBER(E37),ISNUMBER(I37)),ROUND(E37*I37,2),"")</f>
        <v/>
      </c>
      <c r="K37" s="13" t="s">
        <v>88</v>
      </c>
      <c r="L37" s="12" t="n">
        <v>23</v>
      </c>
      <c r="M37" s="3" t="str">
        <f aca="false">IF(AND(K37="PL23_ESTIMATE",ISNUMBER(J37),ISNUMBER(L37)),ROUND(J37*L37/100,2),"")</f>
        <v/>
      </c>
      <c r="N37" s="13"/>
      <c r="O37" s="3" t="str">
        <f aca="false">IF(K37="SOURCE_GROSS",IF(AND(ISNUMBER(E37),ISNUMBER(N37)),ROUND(E37*N37,2),""),IF(AND(ISNUMBER(J37),ISNUMBER(M37)),ROUND(J37+M37,2),""))</f>
        <v/>
      </c>
      <c r="P37" s="5" t="s">
        <v>79</v>
      </c>
      <c r="Q37" s="5" t="s">
        <v>234</v>
      </c>
      <c r="R37" s="5" t="s">
        <v>277</v>
      </c>
      <c r="S37" s="5"/>
      <c r="T37" s="5"/>
      <c r="U37" s="5"/>
    </row>
    <row r="38" customFormat="false" ht="64.5" hidden="false" customHeight="true" outlineLevel="0" collapsed="false">
      <c r="A38" s="2" t="s">
        <v>278</v>
      </c>
      <c r="B38" s="2" t="s">
        <v>34</v>
      </c>
      <c r="C38" s="2"/>
      <c r="D38" s="2" t="s">
        <v>259</v>
      </c>
      <c r="E38" s="10"/>
      <c r="F38" s="2"/>
      <c r="G38" s="2" t="s">
        <v>279</v>
      </c>
      <c r="H38" s="2" t="s">
        <v>261</v>
      </c>
      <c r="I38" s="10"/>
      <c r="J38" s="3" t="str">
        <f aca="false">IF(AND(ISNUMBER(E38),ISNUMBER(I38)),ROUND(E38*I38,2),"")</f>
        <v/>
      </c>
      <c r="K38" s="10" t="s">
        <v>280</v>
      </c>
      <c r="L38" s="10"/>
      <c r="M38" s="3" t="str">
        <f aca="false">IF(AND(K38="PL23_ESTIMATE",ISNUMBER(J38),ISNUMBER(L38)),ROUND(J38*L38/100,2),"")</f>
        <v/>
      </c>
      <c r="N38" s="10"/>
      <c r="O38" s="3" t="str">
        <f aca="false">IF(K38="SOURCE_GROSS",IF(AND(ISNUMBER(E38),ISNUMBER(N38)),ROUND(E38*N38,2),""),IF(AND(ISNUMBER(J38),ISNUMBER(M38)),ROUND(J38+M38,2),""))</f>
        <v/>
      </c>
      <c r="P38" s="2" t="s">
        <v>79</v>
      </c>
      <c r="Q38" s="2" t="s">
        <v>234</v>
      </c>
      <c r="R38" s="2" t="s">
        <v>281</v>
      </c>
      <c r="S38" s="2"/>
      <c r="T38" s="2"/>
      <c r="U38" s="2"/>
    </row>
    <row r="39" customFormat="false" ht="64.5" hidden="false" customHeight="true" outlineLevel="0" collapsed="false">
      <c r="A39" s="5" t="s">
        <v>282</v>
      </c>
      <c r="B39" s="5" t="s">
        <v>34</v>
      </c>
      <c r="C39" s="5"/>
      <c r="D39" s="5" t="s">
        <v>259</v>
      </c>
      <c r="E39" s="13"/>
      <c r="F39" s="5"/>
      <c r="G39" s="5" t="s">
        <v>283</v>
      </c>
      <c r="H39" s="5" t="s">
        <v>261</v>
      </c>
      <c r="I39" s="13"/>
      <c r="J39" s="3" t="str">
        <f aca="false">IF(AND(ISNUMBER(E39),ISNUMBER(I39)),ROUND(E39*I39,2),"")</f>
        <v/>
      </c>
      <c r="K39" s="13" t="s">
        <v>88</v>
      </c>
      <c r="L39" s="12" t="n">
        <v>23</v>
      </c>
      <c r="M39" s="3" t="str">
        <f aca="false">IF(AND(K39="PL23_ESTIMATE",ISNUMBER(J39),ISNUMBER(L39)),ROUND(J39*L39/100,2),"")</f>
        <v/>
      </c>
      <c r="N39" s="13"/>
      <c r="O39" s="3" t="str">
        <f aca="false">IF(K39="SOURCE_GROSS",IF(AND(ISNUMBER(E39),ISNUMBER(N39)),ROUND(E39*N39,2),""),IF(AND(ISNUMBER(J39),ISNUMBER(M39)),ROUND(J39+M39,2),""))</f>
        <v/>
      </c>
      <c r="P39" s="5" t="s">
        <v>79</v>
      </c>
      <c r="Q39" s="5" t="s">
        <v>234</v>
      </c>
      <c r="R39" s="5" t="s">
        <v>284</v>
      </c>
      <c r="S39" s="5"/>
      <c r="T39" s="5"/>
      <c r="U39" s="5"/>
    </row>
    <row r="40" customFormat="false" ht="75" hidden="false" customHeight="true" outlineLevel="0" collapsed="false">
      <c r="G40" s="0" t="s">
        <v>285</v>
      </c>
      <c r="J40" s="7" t="n">
        <f aca="false">SUM(J2:J39)</f>
        <v>59331.29</v>
      </c>
      <c r="M40" s="7" t="n">
        <f aca="false">SUM(M2:M39)</f>
        <v>13646.21</v>
      </c>
      <c r="O40" s="7" t="n">
        <f aca="false">SUM(O2:O39)</f>
        <v>131819.5</v>
      </c>
      <c r="R40" s="15" t="s">
        <v>286</v>
      </c>
    </row>
  </sheetData>
  <autoFilter ref="A1:U39"/>
  <hyperlinks>
    <hyperlink ref="S2" r:id="rId1" display="https://www.abma-sneek.nl/yanmar/engines-gears-drives/powerboat-engines?prod_id=650436"/>
    <hyperlink ref="S3" r:id="rId2" display="https://www.nautiradar.pt/en/products/fischer-panda/panda-12000x-230v-pms-12kva-fixed-engine-speed-marine-generator"/>
    <hyperlink ref="S4" r:id="rId3" display="https://www.svb.de/de/victron-wechselrichter-ladegeraet-multiplus-ii-gx-24-v-3000-va-70-a.html"/>
    <hyperlink ref="S5" r:id="rId4" display="https://www.svb24.com/en/mastervolt-mass-gi-3-5-isolation-transformer-16-a-3-5-kw.html"/>
    <hyperlink ref="S6" r:id="rId5" display="https://www.nothnagel-marine.de/product_info.php?info=p3857_aquamot---power-battery--dc-battery-als12115-12v-115ah-agm-deep-cycle-battery.html&amp;language=en"/>
    <hyperlink ref="S9" r:id="rId6" display="https://www.svb24.com/en/blue-sea-hd-remote-battery-switch-24v.html"/>
    <hyperlink ref="S10" r:id="rId7" display="https://www.comptoirnautique.com/groupe-d-eau-hydrophore/22947-gianneschi-groupe-d-eau-ecoinox-1-avec-reservoir-20l-24v-45lmin-7024.html"/>
    <hyperlink ref="S11" r:id="rId8" display="https://www.tyboat.com/achat/P-57388-gianneschi-groupe-d-eau-ecoinox2-3-5-bars-0-45-kw-55-litres-minute-reservoir-20-litres-230-volts.html"/>
    <hyperlink ref="S12" r:id="rId9" display="https://mar-nautic.com/schenker-watermaker-zen-150"/>
    <hyperlink ref="S13" r:id="rId10" display="https://www.tyboat.com/achat/P-8880-quick-chauffe-eau-cylindrique-bx-40-litres-220-volts-1200-watts.html"/>
    <hyperlink ref="S14" r:id="rId11" display="https://mdislandsupply.com/en/climma/879-cws-aquacontrol-161-rc-230150-climma.html"/>
    <hyperlink ref="S15" r:id="rId12" display="https://www.comptoirnautique.com/climatisation-bateau/91819-frigomar-pompes-a-entrainement-magnetique.html"/>
    <hyperlink ref="S16" r:id="rId13" display="https://racorshop.de/product/racor-75500maxm30-turbine-filter-marine/"/>
    <hyperlink ref="S17" r:id="rId14" display="https://www.mediawinkel.eu/nl/heavy-duty-waterfilter-32-mm.html"/>
    <hyperlink ref="S18" r:id="rId15" display="https://www.mackengineering.co.uk/35770-0094-24v-flexmount-blower.html"/>
    <hyperlink ref="S19" r:id="rId16" display="https://www.mackengineering.co.uk/marco-up3-oil-pump-24v.html"/>
    <hyperlink ref="S20" r:id="rId17" display="https://www.mackengineering.co.uk/rule-2000-gph-bilge-pump-24v.html"/>
    <hyperlink ref="S21" r:id="rId18" display="https://www.mackengineering.co.uk/bp9005-whale-gusher-urchin-hand-pump.html"/>
    <hyperlink ref="S22" r:id="rId19" display="https://www.mackengineering.co.uk/rule-2000-gph-bilge-pump-24v.html"/>
    <hyperlink ref="S23" r:id="rId20" display="https://www.oltrevela.com/en/31-620-55-fireboy-ma-series-automatic-manual-fire-extinguisher-13-4-kg-for-engine-rooms-and-motor-compartments-up-to-51m-uscg-and-iso-rina-approved-fireboy-4"/>
    <hyperlink ref="S24" r:id="rId21" display="https://www.vetus-shop.com/vetus-fuel-tank-quickfit-diesel-40-litre-8mm-p-1786.html"/>
    <hyperlink ref="S25" r:id="rId22" display="https://www.cactusnav.com/jabsco-macerator-pump-p-37922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8" min="3" style="0" width="22"/>
    <col collapsed="false" customWidth="true" hidden="false" outlineLevel="0" max="9" min="9" style="0" width="95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287</v>
      </c>
      <c r="D1" s="1" t="s">
        <v>288</v>
      </c>
      <c r="E1" s="1" t="s">
        <v>289</v>
      </c>
      <c r="F1" s="1" t="s">
        <v>290</v>
      </c>
      <c r="G1" s="1" t="s">
        <v>291</v>
      </c>
      <c r="H1" s="1" t="s">
        <v>292</v>
      </c>
      <c r="I1" s="1" t="s">
        <v>293</v>
      </c>
    </row>
    <row r="2" customFormat="false" ht="64.5" hidden="false" customHeight="true" outlineLevel="0" collapsed="false">
      <c r="A2" s="2" t="s">
        <v>8</v>
      </c>
      <c r="B2" s="2" t="s">
        <v>9</v>
      </c>
      <c r="C2" s="4" t="n">
        <v>45977</v>
      </c>
      <c r="D2" s="4" t="n">
        <v>0</v>
      </c>
      <c r="E2" s="2"/>
      <c r="F2" s="4" t="n">
        <v>1</v>
      </c>
      <c r="G2" s="2"/>
      <c r="H2" s="4" t="n">
        <v>1</v>
      </c>
      <c r="I2" s="2" t="s">
        <v>294</v>
      </c>
    </row>
    <row r="3" customFormat="false" ht="64.5" hidden="false" customHeight="true" outlineLevel="0" collapsed="false">
      <c r="A3" s="5" t="s">
        <v>12</v>
      </c>
      <c r="B3" s="5" t="s">
        <v>13</v>
      </c>
      <c r="C3" s="6" t="n">
        <v>24893</v>
      </c>
      <c r="D3" s="6" t="n">
        <v>0</v>
      </c>
      <c r="E3" s="6" t="n">
        <v>34902.44</v>
      </c>
      <c r="F3" s="6" t="n">
        <v>0</v>
      </c>
      <c r="G3" s="6" t="n">
        <v>35858.24</v>
      </c>
      <c r="H3" s="6" t="n">
        <v>0</v>
      </c>
      <c r="I3" s="5" t="s">
        <v>294</v>
      </c>
    </row>
    <row r="4" customFormat="false" ht="64.5" hidden="false" customHeight="true" outlineLevel="0" collapsed="false">
      <c r="A4" s="2" t="s">
        <v>14</v>
      </c>
      <c r="B4" s="2" t="s">
        <v>15</v>
      </c>
      <c r="C4" s="4" t="n">
        <v>1478.9</v>
      </c>
      <c r="D4" s="4" t="n">
        <v>1</v>
      </c>
      <c r="E4" s="4" t="n">
        <v>1680.58</v>
      </c>
      <c r="F4" s="4" t="n">
        <v>1</v>
      </c>
      <c r="G4" s="4" t="n">
        <v>2689</v>
      </c>
      <c r="H4" s="4" t="n">
        <v>1</v>
      </c>
      <c r="I4" s="2" t="s">
        <v>294</v>
      </c>
    </row>
    <row r="5" customFormat="false" ht="64.5" hidden="false" customHeight="true" outlineLevel="0" collapsed="false">
      <c r="A5" s="5" t="s">
        <v>16</v>
      </c>
      <c r="B5" s="5" t="s">
        <v>17</v>
      </c>
      <c r="C5" s="6" t="n">
        <v>841.44</v>
      </c>
      <c r="D5" s="6" t="n">
        <v>3</v>
      </c>
      <c r="E5" s="6" t="n">
        <v>1608.42</v>
      </c>
      <c r="F5" s="6" t="n">
        <v>3</v>
      </c>
      <c r="G5" s="6" t="n">
        <v>1636.14</v>
      </c>
      <c r="H5" s="6" t="n">
        <v>3</v>
      </c>
      <c r="I5" s="5" t="s">
        <v>294</v>
      </c>
    </row>
    <row r="6" customFormat="false" ht="64.5" hidden="false" customHeight="true" outlineLevel="0" collapsed="false">
      <c r="A6" s="2" t="s">
        <v>18</v>
      </c>
      <c r="B6" s="2" t="s">
        <v>19</v>
      </c>
      <c r="C6" s="4" t="n">
        <v>1024.92</v>
      </c>
      <c r="D6" s="4" t="n">
        <v>1</v>
      </c>
      <c r="E6" s="4" t="n">
        <v>2145.75</v>
      </c>
      <c r="F6" s="4" t="n">
        <v>0</v>
      </c>
      <c r="G6" s="2"/>
      <c r="H6" s="4" t="n">
        <v>2</v>
      </c>
      <c r="I6" s="2" t="s">
        <v>294</v>
      </c>
    </row>
    <row r="7" customFormat="false" ht="64.5" hidden="false" customHeight="true" outlineLevel="0" collapsed="false">
      <c r="A7" s="5" t="s">
        <v>20</v>
      </c>
      <c r="B7" s="5" t="s">
        <v>21</v>
      </c>
      <c r="C7" s="6" t="n">
        <v>6335.29</v>
      </c>
      <c r="D7" s="6" t="n">
        <v>0</v>
      </c>
      <c r="E7" s="6" t="n">
        <v>10683.5</v>
      </c>
      <c r="F7" s="6" t="n">
        <v>0</v>
      </c>
      <c r="G7" s="5"/>
      <c r="H7" s="6" t="n">
        <v>1</v>
      </c>
      <c r="I7" s="5" t="s">
        <v>294</v>
      </c>
    </row>
    <row r="8" customFormat="false" ht="64.5" hidden="false" customHeight="true" outlineLevel="0" collapsed="false">
      <c r="A8" s="2" t="s">
        <v>22</v>
      </c>
      <c r="B8" s="2" t="s">
        <v>23</v>
      </c>
      <c r="C8" s="2"/>
      <c r="D8" s="4" t="n">
        <v>1</v>
      </c>
      <c r="E8" s="2"/>
      <c r="F8" s="4" t="n">
        <v>1</v>
      </c>
      <c r="G8" s="2"/>
      <c r="H8" s="4" t="n">
        <v>1</v>
      </c>
      <c r="I8" s="2" t="s">
        <v>294</v>
      </c>
    </row>
    <row r="9" customFormat="false" ht="64.5" hidden="false" customHeight="true" outlineLevel="0" collapsed="false">
      <c r="A9" s="5" t="s">
        <v>24</v>
      </c>
      <c r="B9" s="5" t="s">
        <v>25</v>
      </c>
      <c r="C9" s="6" t="n">
        <v>7242</v>
      </c>
      <c r="D9" s="6" t="n">
        <v>1</v>
      </c>
      <c r="E9" s="6" t="n">
        <v>8310.6</v>
      </c>
      <c r="F9" s="6" t="n">
        <v>1</v>
      </c>
      <c r="G9" s="5"/>
      <c r="H9" s="6" t="n">
        <v>2</v>
      </c>
      <c r="I9" s="5" t="s">
        <v>294</v>
      </c>
    </row>
    <row r="10" customFormat="false" ht="64.5" hidden="false" customHeight="true" outlineLevel="0" collapsed="false">
      <c r="A10" s="2" t="s">
        <v>26</v>
      </c>
      <c r="B10" s="2" t="s">
        <v>27</v>
      </c>
      <c r="C10" s="2"/>
      <c r="D10" s="4" t="n">
        <v>4</v>
      </c>
      <c r="E10" s="2"/>
      <c r="F10" s="4" t="n">
        <v>4</v>
      </c>
      <c r="G10" s="2"/>
      <c r="H10" s="4" t="n">
        <v>4</v>
      </c>
      <c r="I10" s="2" t="s">
        <v>294</v>
      </c>
    </row>
    <row r="11" customFormat="false" ht="64.5" hidden="false" customHeight="true" outlineLevel="0" collapsed="false">
      <c r="A11" s="5" t="s">
        <v>28</v>
      </c>
      <c r="B11" s="5" t="s">
        <v>29</v>
      </c>
      <c r="C11" s="5"/>
      <c r="D11" s="6" t="n">
        <v>4</v>
      </c>
      <c r="E11" s="5"/>
      <c r="F11" s="6" t="n">
        <v>4</v>
      </c>
      <c r="G11" s="5"/>
      <c r="H11" s="6" t="n">
        <v>4</v>
      </c>
      <c r="I11" s="5" t="s">
        <v>294</v>
      </c>
    </row>
    <row r="12" customFormat="false" ht="64.5" hidden="false" customHeight="true" outlineLevel="0" collapsed="false">
      <c r="A12" s="2" t="s">
        <v>30</v>
      </c>
      <c r="B12" s="2" t="s">
        <v>31</v>
      </c>
      <c r="C12" s="2"/>
      <c r="D12" s="4" t="n">
        <v>2</v>
      </c>
      <c r="E12" s="2"/>
      <c r="F12" s="4" t="n">
        <v>2</v>
      </c>
      <c r="G12" s="2"/>
      <c r="H12" s="4" t="n">
        <v>2</v>
      </c>
      <c r="I12" s="2" t="s">
        <v>294</v>
      </c>
    </row>
    <row r="13" customFormat="false" ht="64.5" hidden="false" customHeight="true" outlineLevel="0" collapsed="false">
      <c r="A13" s="5" t="s">
        <v>32</v>
      </c>
      <c r="B13" s="5" t="s">
        <v>33</v>
      </c>
      <c r="C13" s="5"/>
      <c r="D13" s="6" t="n">
        <v>5</v>
      </c>
      <c r="E13" s="5"/>
      <c r="F13" s="6" t="n">
        <v>1</v>
      </c>
      <c r="G13" s="5"/>
      <c r="H13" s="6" t="n">
        <v>1</v>
      </c>
      <c r="I13" s="5" t="s">
        <v>294</v>
      </c>
    </row>
  </sheetData>
  <autoFilter ref="A1:I13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7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4" min="1" style="0" width="22"/>
    <col collapsed="false" customWidth="true" hidden="false" outlineLevel="0" max="5" min="5" style="0" width="48"/>
    <col collapsed="false" customWidth="true" hidden="false" outlineLevel="0" max="9" min="6" style="0" width="22"/>
    <col collapsed="false" customWidth="true" hidden="false" outlineLevel="0" max="10" min="10" style="0" width="42"/>
    <col collapsed="false" customWidth="true" hidden="false" outlineLevel="0" max="12" min="11" style="0" width="22"/>
    <col collapsed="false" customWidth="true" hidden="false" outlineLevel="0" max="14" min="13" style="0" width="50"/>
    <col collapsed="false" customWidth="true" hidden="false" outlineLevel="0" max="19" min="15" style="0" width="22"/>
    <col collapsed="false" customWidth="true" hidden="false" outlineLevel="0" max="20" min="20" style="0" width="100"/>
    <col collapsed="false" customWidth="true" hidden="false" outlineLevel="0" max="27" min="21" style="0" width="22"/>
  </cols>
  <sheetData>
    <row r="1" customFormat="false" ht="45" hidden="false" customHeight="true" outlineLevel="0" collapsed="false">
      <c r="A1" s="1" t="s">
        <v>295</v>
      </c>
      <c r="B1" s="1" t="s">
        <v>296</v>
      </c>
      <c r="C1" s="1" t="s">
        <v>297</v>
      </c>
      <c r="D1" s="1" t="s">
        <v>298</v>
      </c>
      <c r="E1" s="1" t="s">
        <v>299</v>
      </c>
      <c r="F1" s="1" t="s">
        <v>300</v>
      </c>
      <c r="G1" s="1" t="s">
        <v>301</v>
      </c>
      <c r="H1" s="1" t="s">
        <v>302</v>
      </c>
      <c r="I1" s="1" t="s">
        <v>303</v>
      </c>
      <c r="J1" s="1" t="s">
        <v>304</v>
      </c>
      <c r="K1" s="1" t="s">
        <v>305</v>
      </c>
      <c r="L1" s="1" t="s">
        <v>306</v>
      </c>
      <c r="M1" s="1" t="s">
        <v>307</v>
      </c>
      <c r="N1" s="1" t="s">
        <v>308</v>
      </c>
      <c r="O1" s="1" t="s">
        <v>309</v>
      </c>
      <c r="P1" s="1" t="s">
        <v>310</v>
      </c>
      <c r="Q1" s="1" t="s">
        <v>311</v>
      </c>
      <c r="R1" s="1" t="s">
        <v>312</v>
      </c>
      <c r="S1" s="1" t="s">
        <v>313</v>
      </c>
      <c r="T1" s="1" t="s">
        <v>314</v>
      </c>
      <c r="U1" s="1" t="s">
        <v>315</v>
      </c>
      <c r="V1" s="1" t="s">
        <v>316</v>
      </c>
      <c r="W1" s="1" t="s">
        <v>317</v>
      </c>
      <c r="X1" s="1" t="s">
        <v>318</v>
      </c>
      <c r="Y1" s="1" t="s">
        <v>319</v>
      </c>
      <c r="Z1" s="1" t="s">
        <v>320</v>
      </c>
      <c r="AA1" s="1" t="s">
        <v>321</v>
      </c>
    </row>
    <row r="2" customFormat="false" ht="64.5" hidden="false" customHeight="true" outlineLevel="0" collapsed="false">
      <c r="A2" s="2" t="s">
        <v>322</v>
      </c>
      <c r="B2" s="2" t="s">
        <v>323</v>
      </c>
      <c r="C2" s="2" t="s">
        <v>324</v>
      </c>
      <c r="D2" s="2" t="s">
        <v>325</v>
      </c>
      <c r="E2" s="2" t="s">
        <v>326</v>
      </c>
      <c r="F2" s="4" t="n">
        <v>1</v>
      </c>
      <c r="G2" s="2" t="s">
        <v>75</v>
      </c>
      <c r="H2" s="2" t="s">
        <v>83</v>
      </c>
      <c r="I2" s="4" t="n">
        <v>44716</v>
      </c>
      <c r="J2" s="2" t="s">
        <v>327</v>
      </c>
      <c r="K2" s="2"/>
      <c r="L2" s="4" t="n">
        <v>44716</v>
      </c>
      <c r="M2" s="11" t="s">
        <v>328</v>
      </c>
      <c r="N2" s="11" t="s">
        <v>329</v>
      </c>
      <c r="O2" s="2"/>
      <c r="P2" s="2"/>
      <c r="Q2" s="2"/>
      <c r="R2" s="2" t="s">
        <v>330</v>
      </c>
      <c r="S2" s="2" t="s">
        <v>331</v>
      </c>
      <c r="T2" s="2" t="s">
        <v>332</v>
      </c>
      <c r="U2" s="2" t="s">
        <v>333</v>
      </c>
      <c r="V2" s="2" t="s">
        <v>334</v>
      </c>
      <c r="W2" s="2" t="s">
        <v>335</v>
      </c>
      <c r="X2" s="2" t="s">
        <v>336</v>
      </c>
      <c r="Y2" s="2" t="s">
        <v>337</v>
      </c>
      <c r="Z2" s="2" t="s">
        <v>338</v>
      </c>
      <c r="AA2" s="4" t="n">
        <v>44716</v>
      </c>
    </row>
    <row r="3" customFormat="false" ht="64.5" hidden="false" customHeight="true" outlineLevel="0" collapsed="false">
      <c r="A3" s="5" t="s">
        <v>339</v>
      </c>
      <c r="B3" s="5" t="s">
        <v>323</v>
      </c>
      <c r="C3" s="5" t="s">
        <v>324</v>
      </c>
      <c r="D3" s="5" t="s">
        <v>325</v>
      </c>
      <c r="E3" s="5" t="s">
        <v>340</v>
      </c>
      <c r="F3" s="6" t="n">
        <v>1</v>
      </c>
      <c r="G3" s="5" t="s">
        <v>75</v>
      </c>
      <c r="H3" s="5" t="s">
        <v>83</v>
      </c>
      <c r="I3" s="6" t="n">
        <v>45977</v>
      </c>
      <c r="J3" s="5" t="s">
        <v>327</v>
      </c>
      <c r="K3" s="5"/>
      <c r="L3" s="6" t="n">
        <v>45977</v>
      </c>
      <c r="M3" s="14" t="s">
        <v>328</v>
      </c>
      <c r="N3" s="14" t="s">
        <v>329</v>
      </c>
      <c r="O3" s="5" t="s">
        <v>341</v>
      </c>
      <c r="P3" s="5" t="s">
        <v>342</v>
      </c>
      <c r="Q3" s="5" t="s">
        <v>343</v>
      </c>
      <c r="R3" s="5" t="s">
        <v>344</v>
      </c>
      <c r="S3" s="5" t="s">
        <v>331</v>
      </c>
      <c r="T3" s="5" t="s">
        <v>345</v>
      </c>
      <c r="U3" s="5" t="s">
        <v>333</v>
      </c>
      <c r="V3" s="5" t="s">
        <v>334</v>
      </c>
      <c r="W3" s="5" t="s">
        <v>335</v>
      </c>
      <c r="X3" s="5" t="s">
        <v>336</v>
      </c>
      <c r="Y3" s="5" t="s">
        <v>337</v>
      </c>
      <c r="Z3" s="5" t="s">
        <v>338</v>
      </c>
      <c r="AA3" s="6" t="n">
        <v>45977</v>
      </c>
    </row>
    <row r="4" customFormat="false" ht="64.5" hidden="false" customHeight="true" outlineLevel="0" collapsed="false">
      <c r="A4" s="2" t="s">
        <v>346</v>
      </c>
      <c r="B4" s="2" t="s">
        <v>323</v>
      </c>
      <c r="C4" s="2" t="s">
        <v>324</v>
      </c>
      <c r="D4" s="2" t="s">
        <v>325</v>
      </c>
      <c r="E4" s="2" t="s">
        <v>347</v>
      </c>
      <c r="F4" s="4" t="n">
        <v>1</v>
      </c>
      <c r="G4" s="2" t="s">
        <v>75</v>
      </c>
      <c r="H4" s="2" t="s">
        <v>83</v>
      </c>
      <c r="I4" s="4" t="n">
        <v>50146</v>
      </c>
      <c r="J4" s="2" t="s">
        <v>327</v>
      </c>
      <c r="K4" s="2"/>
      <c r="L4" s="4" t="n">
        <v>50146</v>
      </c>
      <c r="M4" s="11" t="s">
        <v>328</v>
      </c>
      <c r="N4" s="11" t="s">
        <v>348</v>
      </c>
      <c r="O4" s="2" t="s">
        <v>349</v>
      </c>
      <c r="P4" s="2" t="s">
        <v>342</v>
      </c>
      <c r="Q4" s="2" t="s">
        <v>343</v>
      </c>
      <c r="R4" s="2" t="s">
        <v>350</v>
      </c>
      <c r="S4" s="2" t="s">
        <v>331</v>
      </c>
      <c r="T4" s="2" t="s">
        <v>351</v>
      </c>
      <c r="U4" s="2" t="s">
        <v>333</v>
      </c>
      <c r="V4" s="2" t="s">
        <v>334</v>
      </c>
      <c r="W4" s="2" t="s">
        <v>335</v>
      </c>
      <c r="X4" s="2" t="s">
        <v>336</v>
      </c>
      <c r="Y4" s="2" t="s">
        <v>337</v>
      </c>
      <c r="Z4" s="2" t="s">
        <v>338</v>
      </c>
      <c r="AA4" s="4" t="n">
        <v>50146</v>
      </c>
    </row>
    <row r="5" customFormat="false" ht="64.5" hidden="false" customHeight="true" outlineLevel="0" collapsed="false">
      <c r="A5" s="5" t="s">
        <v>352</v>
      </c>
      <c r="B5" s="5" t="s">
        <v>323</v>
      </c>
      <c r="C5" s="5" t="s">
        <v>324</v>
      </c>
      <c r="D5" s="5" t="s">
        <v>353</v>
      </c>
      <c r="E5" s="5" t="s">
        <v>354</v>
      </c>
      <c r="F5" s="6" t="n">
        <v>1</v>
      </c>
      <c r="G5" s="5" t="s">
        <v>75</v>
      </c>
      <c r="H5" s="5" t="s">
        <v>83</v>
      </c>
      <c r="I5" s="5"/>
      <c r="J5" s="5" t="s">
        <v>355</v>
      </c>
      <c r="K5" s="5"/>
      <c r="L5" s="5"/>
      <c r="M5" s="14" t="s">
        <v>356</v>
      </c>
      <c r="N5" s="14" t="s">
        <v>357</v>
      </c>
      <c r="O5" s="5" t="s">
        <v>358</v>
      </c>
      <c r="P5" s="5" t="s">
        <v>359</v>
      </c>
      <c r="Q5" s="5" t="s">
        <v>360</v>
      </c>
      <c r="R5" s="5" t="s">
        <v>361</v>
      </c>
      <c r="S5" s="5" t="s">
        <v>362</v>
      </c>
      <c r="T5" s="5" t="s">
        <v>363</v>
      </c>
      <c r="U5" s="5" t="s">
        <v>364</v>
      </c>
      <c r="V5" s="5" t="s">
        <v>334</v>
      </c>
      <c r="W5" s="5" t="s">
        <v>80</v>
      </c>
      <c r="X5" s="5" t="s">
        <v>336</v>
      </c>
      <c r="Y5" s="5" t="s">
        <v>365</v>
      </c>
      <c r="Z5" s="5" t="s">
        <v>338</v>
      </c>
      <c r="AA5" s="5"/>
    </row>
    <row r="6" customFormat="false" ht="64.5" hidden="false" customHeight="true" outlineLevel="0" collapsed="false">
      <c r="A6" s="2" t="s">
        <v>366</v>
      </c>
      <c r="B6" s="2" t="s">
        <v>85</v>
      </c>
      <c r="C6" s="2" t="s">
        <v>367</v>
      </c>
      <c r="D6" s="2" t="s">
        <v>368</v>
      </c>
      <c r="E6" s="2" t="s">
        <v>369</v>
      </c>
      <c r="F6" s="4" t="n">
        <v>2</v>
      </c>
      <c r="G6" s="2" t="s">
        <v>75</v>
      </c>
      <c r="H6" s="2" t="s">
        <v>184</v>
      </c>
      <c r="I6" s="4" t="n">
        <v>16830</v>
      </c>
      <c r="J6" s="2" t="s">
        <v>370</v>
      </c>
      <c r="K6" s="2" t="s">
        <v>371</v>
      </c>
      <c r="L6" s="4" t="n">
        <v>14025</v>
      </c>
      <c r="M6" s="11" t="s">
        <v>372</v>
      </c>
      <c r="N6" s="11" t="s">
        <v>373</v>
      </c>
      <c r="O6" s="2" t="s">
        <v>374</v>
      </c>
      <c r="P6" s="2" t="s">
        <v>375</v>
      </c>
      <c r="Q6" s="2" t="s">
        <v>376</v>
      </c>
      <c r="R6" s="2" t="s">
        <v>377</v>
      </c>
      <c r="S6" s="2" t="s">
        <v>378</v>
      </c>
      <c r="T6" s="2" t="s">
        <v>379</v>
      </c>
      <c r="U6" s="2" t="s">
        <v>380</v>
      </c>
      <c r="V6" s="2" t="s">
        <v>334</v>
      </c>
      <c r="W6" s="2" t="s">
        <v>89</v>
      </c>
      <c r="X6" s="2" t="s">
        <v>336</v>
      </c>
      <c r="Y6" s="2" t="s">
        <v>365</v>
      </c>
      <c r="Z6" s="2" t="s">
        <v>338</v>
      </c>
      <c r="AA6" s="4" t="n">
        <v>16324.27</v>
      </c>
    </row>
    <row r="7" customFormat="false" ht="64.5" hidden="false" customHeight="true" outlineLevel="0" collapsed="false">
      <c r="A7" s="5" t="s">
        <v>381</v>
      </c>
      <c r="B7" s="5" t="s">
        <v>85</v>
      </c>
      <c r="C7" s="5" t="s">
        <v>367</v>
      </c>
      <c r="D7" s="5" t="s">
        <v>382</v>
      </c>
      <c r="E7" s="5" t="s">
        <v>383</v>
      </c>
      <c r="F7" s="6" t="n">
        <v>2</v>
      </c>
      <c r="G7" s="5" t="s">
        <v>75</v>
      </c>
      <c r="H7" s="5" t="s">
        <v>184</v>
      </c>
      <c r="I7" s="6" t="n">
        <v>18484.56</v>
      </c>
      <c r="J7" s="5" t="s">
        <v>370</v>
      </c>
      <c r="K7" s="5" t="s">
        <v>371</v>
      </c>
      <c r="L7" s="6" t="n">
        <v>15403.8</v>
      </c>
      <c r="M7" s="14" t="s">
        <v>384</v>
      </c>
      <c r="N7" s="14" t="s">
        <v>385</v>
      </c>
      <c r="O7" s="5" t="s">
        <v>386</v>
      </c>
      <c r="P7" s="5" t="s">
        <v>387</v>
      </c>
      <c r="Q7" s="5" t="s">
        <v>388</v>
      </c>
      <c r="R7" s="5" t="s">
        <v>389</v>
      </c>
      <c r="S7" s="5" t="s">
        <v>390</v>
      </c>
      <c r="T7" s="5" t="s">
        <v>391</v>
      </c>
      <c r="U7" s="5" t="s">
        <v>392</v>
      </c>
      <c r="V7" s="5" t="s">
        <v>334</v>
      </c>
      <c r="W7" s="5" t="s">
        <v>89</v>
      </c>
      <c r="X7" s="5" t="s">
        <v>336</v>
      </c>
      <c r="Y7" s="5" t="s">
        <v>365</v>
      </c>
      <c r="Z7" s="5" t="s">
        <v>338</v>
      </c>
      <c r="AA7" s="6" t="n">
        <v>17929.12</v>
      </c>
    </row>
    <row r="8" customFormat="false" ht="64.5" hidden="false" customHeight="true" outlineLevel="0" collapsed="false">
      <c r="A8" s="2" t="s">
        <v>393</v>
      </c>
      <c r="B8" s="2" t="s">
        <v>85</v>
      </c>
      <c r="C8" s="2" t="s">
        <v>367</v>
      </c>
      <c r="D8" s="2" t="s">
        <v>394</v>
      </c>
      <c r="E8" s="2" t="s">
        <v>395</v>
      </c>
      <c r="F8" s="4" t="n">
        <v>2</v>
      </c>
      <c r="G8" s="2" t="s">
        <v>75</v>
      </c>
      <c r="H8" s="2" t="s">
        <v>83</v>
      </c>
      <c r="I8" s="4" t="n">
        <v>14935.8</v>
      </c>
      <c r="J8" s="2" t="s">
        <v>396</v>
      </c>
      <c r="K8" s="2" t="s">
        <v>371</v>
      </c>
      <c r="L8" s="4" t="n">
        <v>12446.5</v>
      </c>
      <c r="M8" s="11" t="s">
        <v>397</v>
      </c>
      <c r="N8" s="11" t="s">
        <v>398</v>
      </c>
      <c r="O8" s="2" t="s">
        <v>399</v>
      </c>
      <c r="P8" s="2" t="s">
        <v>400</v>
      </c>
      <c r="Q8" s="2" t="s">
        <v>401</v>
      </c>
      <c r="R8" s="2" t="s">
        <v>402</v>
      </c>
      <c r="S8" s="2" t="s">
        <v>403</v>
      </c>
      <c r="T8" s="2" t="s">
        <v>404</v>
      </c>
      <c r="U8" s="2" t="s">
        <v>405</v>
      </c>
      <c r="V8" s="2" t="s">
        <v>334</v>
      </c>
      <c r="W8" s="2" t="s">
        <v>89</v>
      </c>
      <c r="X8" s="2" t="s">
        <v>336</v>
      </c>
      <c r="Y8" s="2" t="s">
        <v>365</v>
      </c>
      <c r="Z8" s="2" t="s">
        <v>338</v>
      </c>
      <c r="AA8" s="4" t="n">
        <v>12446.5</v>
      </c>
    </row>
    <row r="9" customFormat="false" ht="64.5" hidden="false" customHeight="true" outlineLevel="0" collapsed="false">
      <c r="A9" s="5" t="s">
        <v>406</v>
      </c>
      <c r="B9" s="5" t="s">
        <v>85</v>
      </c>
      <c r="C9" s="5" t="s">
        <v>367</v>
      </c>
      <c r="D9" s="5" t="s">
        <v>382</v>
      </c>
      <c r="E9" s="5" t="s">
        <v>407</v>
      </c>
      <c r="F9" s="6" t="n">
        <v>2</v>
      </c>
      <c r="G9" s="5" t="s">
        <v>75</v>
      </c>
      <c r="H9" s="5" t="s">
        <v>408</v>
      </c>
      <c r="I9" s="6" t="n">
        <v>20165.6</v>
      </c>
      <c r="J9" s="5" t="s">
        <v>409</v>
      </c>
      <c r="K9" s="5"/>
      <c r="L9" s="5"/>
      <c r="M9" s="14" t="s">
        <v>410</v>
      </c>
      <c r="N9" s="14" t="s">
        <v>385</v>
      </c>
      <c r="O9" s="5" t="s">
        <v>386</v>
      </c>
      <c r="P9" s="5" t="s">
        <v>387</v>
      </c>
      <c r="Q9" s="5" t="s">
        <v>388</v>
      </c>
      <c r="R9" s="5" t="s">
        <v>389</v>
      </c>
      <c r="S9" s="5" t="s">
        <v>411</v>
      </c>
      <c r="T9" s="5" t="s">
        <v>412</v>
      </c>
      <c r="U9" s="5" t="s">
        <v>413</v>
      </c>
      <c r="V9" s="5" t="s">
        <v>334</v>
      </c>
      <c r="W9" s="5" t="s">
        <v>80</v>
      </c>
      <c r="X9" s="5" t="s">
        <v>336</v>
      </c>
      <c r="Y9" s="5" t="s">
        <v>365</v>
      </c>
      <c r="Z9" s="5" t="s">
        <v>338</v>
      </c>
      <c r="AA9" s="5"/>
    </row>
    <row r="10" customFormat="false" ht="64.5" hidden="false" customHeight="true" outlineLevel="0" collapsed="false">
      <c r="A10" s="2" t="s">
        <v>414</v>
      </c>
      <c r="B10" s="2" t="s">
        <v>93</v>
      </c>
      <c r="C10" s="2" t="s">
        <v>415</v>
      </c>
      <c r="D10" s="2" t="s">
        <v>416</v>
      </c>
      <c r="E10" s="2" t="s">
        <v>417</v>
      </c>
      <c r="F10" s="4" t="n">
        <v>2</v>
      </c>
      <c r="G10" s="2" t="s">
        <v>94</v>
      </c>
      <c r="H10" s="2" t="s">
        <v>83</v>
      </c>
      <c r="I10" s="4" t="n">
        <v>879.95</v>
      </c>
      <c r="J10" s="2" t="s">
        <v>418</v>
      </c>
      <c r="K10" s="2" t="s">
        <v>419</v>
      </c>
      <c r="L10" s="4" t="n">
        <v>739.45</v>
      </c>
      <c r="M10" s="11" t="s">
        <v>420</v>
      </c>
      <c r="N10" s="11" t="s">
        <v>421</v>
      </c>
      <c r="O10" s="2" t="s">
        <v>422</v>
      </c>
      <c r="P10" s="2" t="s">
        <v>423</v>
      </c>
      <c r="Q10" s="2" t="s">
        <v>424</v>
      </c>
      <c r="R10" s="2" t="s">
        <v>419</v>
      </c>
      <c r="S10" s="2" t="s">
        <v>425</v>
      </c>
      <c r="T10" s="2" t="s">
        <v>426</v>
      </c>
      <c r="U10" s="2" t="s">
        <v>427</v>
      </c>
      <c r="V10" s="2" t="s">
        <v>334</v>
      </c>
      <c r="W10" s="2" t="s">
        <v>89</v>
      </c>
      <c r="X10" s="2" t="s">
        <v>336</v>
      </c>
      <c r="Y10" s="2" t="s">
        <v>365</v>
      </c>
      <c r="Z10" s="2" t="s">
        <v>338</v>
      </c>
      <c r="AA10" s="4" t="n">
        <v>739.45</v>
      </c>
    </row>
    <row r="11" customFormat="false" ht="64.5" hidden="false" customHeight="true" outlineLevel="0" collapsed="false">
      <c r="A11" s="5" t="s">
        <v>96</v>
      </c>
      <c r="B11" s="5" t="s">
        <v>93</v>
      </c>
      <c r="C11" s="5" t="s">
        <v>415</v>
      </c>
      <c r="D11" s="5" t="s">
        <v>416</v>
      </c>
      <c r="E11" s="5" t="s">
        <v>428</v>
      </c>
      <c r="F11" s="6" t="n">
        <v>2</v>
      </c>
      <c r="G11" s="5" t="s">
        <v>94</v>
      </c>
      <c r="H11" s="5" t="s">
        <v>83</v>
      </c>
      <c r="I11" s="6" t="n">
        <v>999.95</v>
      </c>
      <c r="J11" s="5" t="s">
        <v>418</v>
      </c>
      <c r="K11" s="5" t="s">
        <v>419</v>
      </c>
      <c r="L11" s="6" t="n">
        <v>840.29</v>
      </c>
      <c r="M11" s="14" t="s">
        <v>98</v>
      </c>
      <c r="N11" s="14" t="s">
        <v>429</v>
      </c>
      <c r="O11" s="5" t="s">
        <v>430</v>
      </c>
      <c r="P11" s="5" t="s">
        <v>431</v>
      </c>
      <c r="Q11" s="5" t="s">
        <v>432</v>
      </c>
      <c r="R11" s="5" t="s">
        <v>371</v>
      </c>
      <c r="S11" s="5" t="s">
        <v>425</v>
      </c>
      <c r="T11" s="5" t="s">
        <v>433</v>
      </c>
      <c r="U11" s="5" t="s">
        <v>434</v>
      </c>
      <c r="V11" s="5" t="s">
        <v>334</v>
      </c>
      <c r="W11" s="5" t="s">
        <v>89</v>
      </c>
      <c r="X11" s="5" t="s">
        <v>336</v>
      </c>
      <c r="Y11" s="5" t="s">
        <v>365</v>
      </c>
      <c r="Z11" s="5" t="s">
        <v>338</v>
      </c>
      <c r="AA11" s="6" t="n">
        <v>840.29</v>
      </c>
    </row>
    <row r="12" customFormat="false" ht="64.5" hidden="false" customHeight="true" outlineLevel="0" collapsed="false">
      <c r="A12" s="2" t="s">
        <v>435</v>
      </c>
      <c r="B12" s="2" t="s">
        <v>93</v>
      </c>
      <c r="C12" s="2" t="s">
        <v>415</v>
      </c>
      <c r="D12" s="2" t="s">
        <v>436</v>
      </c>
      <c r="E12" s="2" t="s">
        <v>437</v>
      </c>
      <c r="F12" s="4" t="n">
        <v>2</v>
      </c>
      <c r="G12" s="2" t="s">
        <v>94</v>
      </c>
      <c r="H12" s="2" t="s">
        <v>83</v>
      </c>
      <c r="I12" s="4" t="n">
        <v>1599.96</v>
      </c>
      <c r="J12" s="2" t="s">
        <v>418</v>
      </c>
      <c r="K12" s="2" t="s">
        <v>419</v>
      </c>
      <c r="L12" s="4" t="n">
        <v>1344.5</v>
      </c>
      <c r="M12" s="11" t="s">
        <v>438</v>
      </c>
      <c r="N12" s="11" t="s">
        <v>439</v>
      </c>
      <c r="O12" s="2" t="s">
        <v>440</v>
      </c>
      <c r="P12" s="2" t="s">
        <v>441</v>
      </c>
      <c r="Q12" s="2" t="s">
        <v>442</v>
      </c>
      <c r="R12" s="2" t="s">
        <v>443</v>
      </c>
      <c r="S12" s="2" t="s">
        <v>444</v>
      </c>
      <c r="T12" s="2" t="s">
        <v>445</v>
      </c>
      <c r="U12" s="2" t="s">
        <v>427</v>
      </c>
      <c r="V12" s="2" t="s">
        <v>334</v>
      </c>
      <c r="W12" s="2" t="s">
        <v>89</v>
      </c>
      <c r="X12" s="2" t="s">
        <v>336</v>
      </c>
      <c r="Y12" s="2" t="s">
        <v>365</v>
      </c>
      <c r="Z12" s="2" t="s">
        <v>338</v>
      </c>
      <c r="AA12" s="4" t="n">
        <v>1344.5</v>
      </c>
    </row>
    <row r="13" customFormat="false" ht="64.5" hidden="false" customHeight="true" outlineLevel="0" collapsed="false">
      <c r="A13" s="5" t="s">
        <v>446</v>
      </c>
      <c r="B13" s="5" t="s">
        <v>100</v>
      </c>
      <c r="C13" s="5" t="s">
        <v>447</v>
      </c>
      <c r="D13" s="5" t="s">
        <v>416</v>
      </c>
      <c r="E13" s="5" t="s">
        <v>448</v>
      </c>
      <c r="F13" s="5"/>
      <c r="G13" s="5" t="s">
        <v>94</v>
      </c>
      <c r="H13" s="5" t="s">
        <v>83</v>
      </c>
      <c r="I13" s="6" t="n">
        <v>436.93</v>
      </c>
      <c r="J13" s="5" t="s">
        <v>449</v>
      </c>
      <c r="K13" s="5"/>
      <c r="L13" s="6" t="n">
        <v>436.93</v>
      </c>
      <c r="M13" s="14" t="s">
        <v>450</v>
      </c>
      <c r="N13" s="14" t="s">
        <v>451</v>
      </c>
      <c r="O13" s="5" t="s">
        <v>452</v>
      </c>
      <c r="P13" s="5" t="s">
        <v>453</v>
      </c>
      <c r="Q13" s="5" t="s">
        <v>454</v>
      </c>
      <c r="R13" s="5" t="s">
        <v>455</v>
      </c>
      <c r="S13" s="5" t="s">
        <v>456</v>
      </c>
      <c r="T13" s="5" t="s">
        <v>457</v>
      </c>
      <c r="U13" s="5" t="s">
        <v>434</v>
      </c>
      <c r="V13" s="5" t="s">
        <v>334</v>
      </c>
      <c r="W13" s="5" t="s">
        <v>89</v>
      </c>
      <c r="X13" s="5" t="s">
        <v>336</v>
      </c>
      <c r="Y13" s="5" t="s">
        <v>365</v>
      </c>
      <c r="Z13" s="5" t="s">
        <v>338</v>
      </c>
      <c r="AA13" s="6" t="n">
        <v>436.93</v>
      </c>
    </row>
    <row r="14" customFormat="false" ht="64.5" hidden="false" customHeight="true" outlineLevel="0" collapsed="false">
      <c r="A14" s="2" t="s">
        <v>102</v>
      </c>
      <c r="B14" s="2" t="s">
        <v>100</v>
      </c>
      <c r="C14" s="2" t="s">
        <v>447</v>
      </c>
      <c r="D14" s="2" t="s">
        <v>436</v>
      </c>
      <c r="E14" s="2" t="s">
        <v>458</v>
      </c>
      <c r="F14" s="2"/>
      <c r="G14" s="2" t="s">
        <v>94</v>
      </c>
      <c r="H14" s="2" t="s">
        <v>83</v>
      </c>
      <c r="I14" s="4" t="n">
        <v>1008.36</v>
      </c>
      <c r="J14" s="2" t="s">
        <v>449</v>
      </c>
      <c r="K14" s="2"/>
      <c r="L14" s="4" t="n">
        <v>1008.36</v>
      </c>
      <c r="M14" s="11" t="s">
        <v>104</v>
      </c>
      <c r="N14" s="11" t="s">
        <v>459</v>
      </c>
      <c r="O14" s="2" t="s">
        <v>460</v>
      </c>
      <c r="P14" s="2" t="s">
        <v>461</v>
      </c>
      <c r="Q14" s="2" t="s">
        <v>462</v>
      </c>
      <c r="R14" s="2" t="s">
        <v>463</v>
      </c>
      <c r="S14" s="2" t="s">
        <v>464</v>
      </c>
      <c r="T14" s="2" t="s">
        <v>465</v>
      </c>
      <c r="U14" s="2" t="s">
        <v>466</v>
      </c>
      <c r="V14" s="2" t="s">
        <v>334</v>
      </c>
      <c r="W14" s="2" t="s">
        <v>89</v>
      </c>
      <c r="X14" s="2" t="s">
        <v>336</v>
      </c>
      <c r="Y14" s="2" t="s">
        <v>365</v>
      </c>
      <c r="Z14" s="2" t="s">
        <v>338</v>
      </c>
      <c r="AA14" s="4" t="n">
        <v>1008.36</v>
      </c>
    </row>
    <row r="15" customFormat="false" ht="64.5" hidden="false" customHeight="true" outlineLevel="0" collapsed="false">
      <c r="A15" s="5" t="s">
        <v>467</v>
      </c>
      <c r="B15" s="5" t="s">
        <v>100</v>
      </c>
      <c r="C15" s="5" t="s">
        <v>447</v>
      </c>
      <c r="D15" s="5" t="s">
        <v>468</v>
      </c>
      <c r="E15" s="5" t="s">
        <v>469</v>
      </c>
      <c r="F15" s="5"/>
      <c r="G15" s="5" t="s">
        <v>94</v>
      </c>
      <c r="H15" s="5" t="s">
        <v>83</v>
      </c>
      <c r="I15" s="6" t="n">
        <v>1885</v>
      </c>
      <c r="J15" s="5" t="s">
        <v>470</v>
      </c>
      <c r="K15" s="5"/>
      <c r="L15" s="5"/>
      <c r="M15" s="14" t="s">
        <v>471</v>
      </c>
      <c r="N15" s="14" t="s">
        <v>472</v>
      </c>
      <c r="O15" s="5" t="s">
        <v>473</v>
      </c>
      <c r="P15" s="5" t="s">
        <v>474</v>
      </c>
      <c r="Q15" s="5" t="s">
        <v>475</v>
      </c>
      <c r="R15" s="5" t="s">
        <v>476</v>
      </c>
      <c r="S15" s="5" t="s">
        <v>477</v>
      </c>
      <c r="T15" s="5" t="s">
        <v>478</v>
      </c>
      <c r="U15" s="5" t="s">
        <v>479</v>
      </c>
      <c r="V15" s="5" t="s">
        <v>334</v>
      </c>
      <c r="W15" s="5" t="s">
        <v>80</v>
      </c>
      <c r="X15" s="5" t="s">
        <v>336</v>
      </c>
      <c r="Y15" s="5" t="s">
        <v>365</v>
      </c>
      <c r="Z15" s="5" t="s">
        <v>338</v>
      </c>
      <c r="AA15" s="5"/>
    </row>
    <row r="16" customFormat="false" ht="64.5" hidden="false" customHeight="true" outlineLevel="0" collapsed="false">
      <c r="A16" s="2" t="s">
        <v>480</v>
      </c>
      <c r="B16" s="2" t="s">
        <v>106</v>
      </c>
      <c r="C16" s="2" t="s">
        <v>481</v>
      </c>
      <c r="D16" s="2" t="s">
        <v>482</v>
      </c>
      <c r="E16" s="2" t="s">
        <v>483</v>
      </c>
      <c r="F16" s="4" t="n">
        <v>6</v>
      </c>
      <c r="G16" s="2" t="s">
        <v>94</v>
      </c>
      <c r="H16" s="2" t="s">
        <v>83</v>
      </c>
      <c r="I16" s="4" t="n">
        <v>166.89</v>
      </c>
      <c r="J16" s="2" t="s">
        <v>418</v>
      </c>
      <c r="K16" s="2" t="s">
        <v>419</v>
      </c>
      <c r="L16" s="4" t="n">
        <v>140.24</v>
      </c>
      <c r="M16" s="11" t="s">
        <v>484</v>
      </c>
      <c r="N16" s="11" t="s">
        <v>485</v>
      </c>
      <c r="O16" s="2" t="s">
        <v>486</v>
      </c>
      <c r="P16" s="2" t="s">
        <v>487</v>
      </c>
      <c r="Q16" s="2" t="s">
        <v>488</v>
      </c>
      <c r="R16" s="2" t="s">
        <v>489</v>
      </c>
      <c r="S16" s="2" t="s">
        <v>490</v>
      </c>
      <c r="T16" s="2" t="s">
        <v>491</v>
      </c>
      <c r="U16" s="2" t="s">
        <v>492</v>
      </c>
      <c r="V16" s="2" t="s">
        <v>334</v>
      </c>
      <c r="W16" s="2" t="s">
        <v>89</v>
      </c>
      <c r="X16" s="2" t="s">
        <v>336</v>
      </c>
      <c r="Y16" s="2" t="s">
        <v>365</v>
      </c>
      <c r="Z16" s="2" t="s">
        <v>338</v>
      </c>
      <c r="AA16" s="4" t="n">
        <v>140.24</v>
      </c>
    </row>
    <row r="17" customFormat="false" ht="64.5" hidden="false" customHeight="true" outlineLevel="0" collapsed="false">
      <c r="A17" s="5" t="s">
        <v>108</v>
      </c>
      <c r="B17" s="5" t="s">
        <v>106</v>
      </c>
      <c r="C17" s="5" t="s">
        <v>481</v>
      </c>
      <c r="D17" s="5" t="s">
        <v>493</v>
      </c>
      <c r="E17" s="5" t="s">
        <v>494</v>
      </c>
      <c r="F17" s="6" t="n">
        <v>6</v>
      </c>
      <c r="G17" s="5" t="s">
        <v>94</v>
      </c>
      <c r="H17" s="5" t="s">
        <v>83</v>
      </c>
      <c r="I17" s="6" t="n">
        <v>319</v>
      </c>
      <c r="J17" s="5" t="s">
        <v>418</v>
      </c>
      <c r="K17" s="5" t="s">
        <v>419</v>
      </c>
      <c r="L17" s="6" t="n">
        <v>268.07</v>
      </c>
      <c r="M17" s="14" t="s">
        <v>110</v>
      </c>
      <c r="N17" s="14" t="s">
        <v>495</v>
      </c>
      <c r="O17" s="5" t="s">
        <v>496</v>
      </c>
      <c r="P17" s="5" t="s">
        <v>497</v>
      </c>
      <c r="Q17" s="5" t="s">
        <v>498</v>
      </c>
      <c r="R17" s="5" t="s">
        <v>499</v>
      </c>
      <c r="S17" s="5" t="s">
        <v>490</v>
      </c>
      <c r="T17" s="5" t="s">
        <v>500</v>
      </c>
      <c r="U17" s="5" t="s">
        <v>501</v>
      </c>
      <c r="V17" s="5" t="s">
        <v>334</v>
      </c>
      <c r="W17" s="5" t="s">
        <v>89</v>
      </c>
      <c r="X17" s="5" t="s">
        <v>336</v>
      </c>
      <c r="Y17" s="5" t="s">
        <v>365</v>
      </c>
      <c r="Z17" s="5" t="s">
        <v>338</v>
      </c>
      <c r="AA17" s="6" t="n">
        <v>268.07</v>
      </c>
    </row>
    <row r="18" customFormat="false" ht="64.5" hidden="false" customHeight="true" outlineLevel="0" collapsed="false">
      <c r="A18" s="2" t="s">
        <v>502</v>
      </c>
      <c r="B18" s="2" t="s">
        <v>106</v>
      </c>
      <c r="C18" s="2" t="s">
        <v>481</v>
      </c>
      <c r="D18" s="2" t="s">
        <v>416</v>
      </c>
      <c r="E18" s="2" t="s">
        <v>503</v>
      </c>
      <c r="F18" s="4" t="n">
        <v>6</v>
      </c>
      <c r="G18" s="2" t="s">
        <v>94</v>
      </c>
      <c r="H18" s="2" t="s">
        <v>83</v>
      </c>
      <c r="I18" s="4" t="n">
        <v>329.95</v>
      </c>
      <c r="J18" s="2" t="s">
        <v>418</v>
      </c>
      <c r="K18" s="2" t="s">
        <v>504</v>
      </c>
      <c r="L18" s="4" t="n">
        <v>272.69</v>
      </c>
      <c r="M18" s="11" t="s">
        <v>505</v>
      </c>
      <c r="N18" s="11" t="s">
        <v>506</v>
      </c>
      <c r="O18" s="2" t="s">
        <v>507</v>
      </c>
      <c r="P18" s="2" t="s">
        <v>508</v>
      </c>
      <c r="Q18" s="2" t="s">
        <v>509</v>
      </c>
      <c r="R18" s="2" t="s">
        <v>510</v>
      </c>
      <c r="S18" s="2" t="s">
        <v>490</v>
      </c>
      <c r="T18" s="2" t="s">
        <v>511</v>
      </c>
      <c r="U18" s="2" t="s">
        <v>512</v>
      </c>
      <c r="V18" s="2" t="s">
        <v>334</v>
      </c>
      <c r="W18" s="2" t="s">
        <v>89</v>
      </c>
      <c r="X18" s="2" t="s">
        <v>336</v>
      </c>
      <c r="Y18" s="2" t="s">
        <v>365</v>
      </c>
      <c r="Z18" s="2" t="s">
        <v>338</v>
      </c>
      <c r="AA18" s="4" t="n">
        <v>272.69</v>
      </c>
    </row>
    <row r="19" customFormat="false" ht="64.5" hidden="false" customHeight="true" outlineLevel="0" collapsed="false">
      <c r="A19" s="5" t="s">
        <v>513</v>
      </c>
      <c r="B19" s="5" t="s">
        <v>243</v>
      </c>
      <c r="C19" s="5" t="s">
        <v>514</v>
      </c>
      <c r="D19" s="5" t="s">
        <v>416</v>
      </c>
      <c r="E19" s="5" t="s">
        <v>515</v>
      </c>
      <c r="F19" s="5"/>
      <c r="G19" s="5" t="s">
        <v>94</v>
      </c>
      <c r="H19" s="5" t="s">
        <v>83</v>
      </c>
      <c r="I19" s="6" t="n">
        <v>182.75</v>
      </c>
      <c r="J19" s="5" t="s">
        <v>449</v>
      </c>
      <c r="K19" s="5"/>
      <c r="L19" s="6" t="n">
        <v>182.75</v>
      </c>
      <c r="M19" s="14" t="s">
        <v>516</v>
      </c>
      <c r="N19" s="14" t="s">
        <v>517</v>
      </c>
      <c r="O19" s="5" t="s">
        <v>518</v>
      </c>
      <c r="P19" s="5" t="s">
        <v>519</v>
      </c>
      <c r="Q19" s="5" t="s">
        <v>474</v>
      </c>
      <c r="R19" s="5" t="s">
        <v>520</v>
      </c>
      <c r="S19" s="5" t="s">
        <v>464</v>
      </c>
      <c r="T19" s="5" t="s">
        <v>521</v>
      </c>
      <c r="U19" s="5" t="s">
        <v>522</v>
      </c>
      <c r="V19" s="5" t="s">
        <v>334</v>
      </c>
      <c r="W19" s="5" t="s">
        <v>89</v>
      </c>
      <c r="X19" s="5" t="s">
        <v>336</v>
      </c>
      <c r="Y19" s="5" t="s">
        <v>365</v>
      </c>
      <c r="Z19" s="5" t="s">
        <v>338</v>
      </c>
      <c r="AA19" s="6" t="n">
        <v>182.75</v>
      </c>
    </row>
    <row r="20" customFormat="false" ht="64.5" hidden="false" customHeight="true" outlineLevel="0" collapsed="false">
      <c r="A20" s="2" t="s">
        <v>523</v>
      </c>
      <c r="B20" s="2" t="s">
        <v>243</v>
      </c>
      <c r="C20" s="2" t="s">
        <v>524</v>
      </c>
      <c r="D20" s="2" t="s">
        <v>525</v>
      </c>
      <c r="E20" s="2" t="s">
        <v>526</v>
      </c>
      <c r="F20" s="2"/>
      <c r="G20" s="2" t="s">
        <v>94</v>
      </c>
      <c r="H20" s="2" t="s">
        <v>83</v>
      </c>
      <c r="I20" s="4" t="n">
        <v>214.24</v>
      </c>
      <c r="J20" s="2" t="s">
        <v>449</v>
      </c>
      <c r="K20" s="2"/>
      <c r="L20" s="4" t="n">
        <v>214.24</v>
      </c>
      <c r="M20" s="11" t="s">
        <v>527</v>
      </c>
      <c r="N20" s="11" t="s">
        <v>528</v>
      </c>
      <c r="O20" s="2" t="s">
        <v>529</v>
      </c>
      <c r="P20" s="2" t="s">
        <v>530</v>
      </c>
      <c r="Q20" s="2" t="s">
        <v>531</v>
      </c>
      <c r="R20" s="2"/>
      <c r="S20" s="2" t="s">
        <v>464</v>
      </c>
      <c r="T20" s="2" t="s">
        <v>532</v>
      </c>
      <c r="U20" s="2" t="s">
        <v>533</v>
      </c>
      <c r="V20" s="2" t="s">
        <v>334</v>
      </c>
      <c r="W20" s="2" t="s">
        <v>89</v>
      </c>
      <c r="X20" s="2" t="s">
        <v>336</v>
      </c>
      <c r="Y20" s="2" t="s">
        <v>365</v>
      </c>
      <c r="Z20" s="2" t="s">
        <v>338</v>
      </c>
      <c r="AA20" s="4" t="n">
        <v>214.24</v>
      </c>
    </row>
    <row r="21" customFormat="false" ht="64.5" hidden="false" customHeight="true" outlineLevel="0" collapsed="false">
      <c r="A21" s="5" t="s">
        <v>534</v>
      </c>
      <c r="B21" s="5" t="s">
        <v>243</v>
      </c>
      <c r="C21" s="5" t="s">
        <v>535</v>
      </c>
      <c r="D21" s="5" t="s">
        <v>525</v>
      </c>
      <c r="E21" s="5" t="s">
        <v>536</v>
      </c>
      <c r="F21" s="5"/>
      <c r="G21" s="5" t="s">
        <v>94</v>
      </c>
      <c r="H21" s="5" t="s">
        <v>83</v>
      </c>
      <c r="I21" s="6" t="n">
        <v>331.89</v>
      </c>
      <c r="J21" s="5" t="s">
        <v>449</v>
      </c>
      <c r="K21" s="5"/>
      <c r="L21" s="6" t="n">
        <v>331.89</v>
      </c>
      <c r="M21" s="14" t="s">
        <v>537</v>
      </c>
      <c r="N21" s="14" t="s">
        <v>538</v>
      </c>
      <c r="O21" s="5" t="s">
        <v>539</v>
      </c>
      <c r="P21" s="5" t="s">
        <v>540</v>
      </c>
      <c r="Q21" s="5" t="s">
        <v>541</v>
      </c>
      <c r="R21" s="5"/>
      <c r="S21" s="5" t="s">
        <v>464</v>
      </c>
      <c r="T21" s="5" t="s">
        <v>542</v>
      </c>
      <c r="U21" s="5" t="s">
        <v>533</v>
      </c>
      <c r="V21" s="5" t="s">
        <v>334</v>
      </c>
      <c r="W21" s="5" t="s">
        <v>89</v>
      </c>
      <c r="X21" s="5" t="s">
        <v>336</v>
      </c>
      <c r="Y21" s="5" t="s">
        <v>365</v>
      </c>
      <c r="Z21" s="5" t="s">
        <v>338</v>
      </c>
      <c r="AA21" s="6" t="n">
        <v>331.89</v>
      </c>
    </row>
    <row r="22" customFormat="false" ht="64.5" hidden="false" customHeight="true" outlineLevel="0" collapsed="false">
      <c r="A22" s="2" t="s">
        <v>124</v>
      </c>
      <c r="B22" s="2" t="s">
        <v>122</v>
      </c>
      <c r="C22" s="2" t="s">
        <v>543</v>
      </c>
      <c r="D22" s="2" t="s">
        <v>544</v>
      </c>
      <c r="E22" s="2" t="s">
        <v>545</v>
      </c>
      <c r="F22" s="2"/>
      <c r="G22" s="2" t="s">
        <v>94</v>
      </c>
      <c r="H22" s="2" t="s">
        <v>83</v>
      </c>
      <c r="I22" s="4" t="n">
        <v>239.45</v>
      </c>
      <c r="J22" s="2" t="s">
        <v>449</v>
      </c>
      <c r="K22" s="2"/>
      <c r="L22" s="4" t="n">
        <v>239.45</v>
      </c>
      <c r="M22" s="11" t="s">
        <v>126</v>
      </c>
      <c r="N22" s="11" t="s">
        <v>546</v>
      </c>
      <c r="O22" s="2"/>
      <c r="P22" s="2"/>
      <c r="Q22" s="2"/>
      <c r="R22" s="2" t="s">
        <v>547</v>
      </c>
      <c r="S22" s="2" t="s">
        <v>464</v>
      </c>
      <c r="T22" s="2" t="s">
        <v>548</v>
      </c>
      <c r="U22" s="2" t="s">
        <v>549</v>
      </c>
      <c r="V22" s="2" t="s">
        <v>334</v>
      </c>
      <c r="W22" s="2" t="s">
        <v>89</v>
      </c>
      <c r="X22" s="2" t="s">
        <v>336</v>
      </c>
      <c r="Y22" s="2" t="s">
        <v>365</v>
      </c>
      <c r="Z22" s="2" t="s">
        <v>338</v>
      </c>
      <c r="AA22" s="4" t="n">
        <v>239.45</v>
      </c>
    </row>
    <row r="23" customFormat="false" ht="64.5" hidden="false" customHeight="true" outlineLevel="0" collapsed="false">
      <c r="A23" s="5" t="s">
        <v>550</v>
      </c>
      <c r="B23" s="5" t="s">
        <v>122</v>
      </c>
      <c r="C23" s="5" t="s">
        <v>551</v>
      </c>
      <c r="D23" s="5" t="s">
        <v>544</v>
      </c>
      <c r="E23" s="5" t="s">
        <v>552</v>
      </c>
      <c r="F23" s="5"/>
      <c r="G23" s="5" t="s">
        <v>94</v>
      </c>
      <c r="H23" s="5" t="s">
        <v>83</v>
      </c>
      <c r="I23" s="6" t="n">
        <v>226.85</v>
      </c>
      <c r="J23" s="5" t="s">
        <v>449</v>
      </c>
      <c r="K23" s="5"/>
      <c r="L23" s="6" t="n">
        <v>226.85</v>
      </c>
      <c r="M23" s="14" t="s">
        <v>553</v>
      </c>
      <c r="N23" s="14" t="s">
        <v>554</v>
      </c>
      <c r="O23" s="5"/>
      <c r="P23" s="5"/>
      <c r="Q23" s="5"/>
      <c r="R23" s="5"/>
      <c r="S23" s="5" t="s">
        <v>464</v>
      </c>
      <c r="T23" s="5" t="s">
        <v>555</v>
      </c>
      <c r="U23" s="5" t="s">
        <v>533</v>
      </c>
      <c r="V23" s="5" t="s">
        <v>334</v>
      </c>
      <c r="W23" s="5" t="s">
        <v>89</v>
      </c>
      <c r="X23" s="5" t="s">
        <v>336</v>
      </c>
      <c r="Y23" s="5" t="s">
        <v>365</v>
      </c>
      <c r="Z23" s="5" t="s">
        <v>338</v>
      </c>
      <c r="AA23" s="6" t="n">
        <v>226.85</v>
      </c>
    </row>
    <row r="24" customFormat="false" ht="64.5" hidden="false" customHeight="true" outlineLevel="0" collapsed="false">
      <c r="A24" s="2" t="s">
        <v>556</v>
      </c>
      <c r="B24" s="2" t="s">
        <v>237</v>
      </c>
      <c r="C24" s="2" t="s">
        <v>557</v>
      </c>
      <c r="D24" s="2"/>
      <c r="E24" s="2" t="s">
        <v>558</v>
      </c>
      <c r="F24" s="4" t="n">
        <v>1</v>
      </c>
      <c r="G24" s="2" t="s">
        <v>559</v>
      </c>
      <c r="H24" s="2"/>
      <c r="I24" s="2"/>
      <c r="J24" s="2" t="s">
        <v>365</v>
      </c>
      <c r="K24" s="2"/>
      <c r="L24" s="2"/>
      <c r="M24" s="2"/>
      <c r="N24" s="2"/>
      <c r="O24" s="2"/>
      <c r="P24" s="2"/>
      <c r="Q24" s="2"/>
      <c r="R24" s="2"/>
      <c r="S24" s="2" t="s">
        <v>560</v>
      </c>
      <c r="T24" s="2" t="s">
        <v>561</v>
      </c>
      <c r="U24" s="2" t="s">
        <v>562</v>
      </c>
      <c r="V24" s="2" t="s">
        <v>334</v>
      </c>
      <c r="W24" s="2" t="s">
        <v>80</v>
      </c>
      <c r="X24" s="2" t="s">
        <v>336</v>
      </c>
      <c r="Y24" s="2" t="s">
        <v>365</v>
      </c>
      <c r="Z24" s="2" t="s">
        <v>338</v>
      </c>
      <c r="AA24" s="2"/>
    </row>
    <row r="25" customFormat="false" ht="64.5" hidden="false" customHeight="true" outlineLevel="0" collapsed="false">
      <c r="A25" s="5" t="s">
        <v>114</v>
      </c>
      <c r="B25" s="5" t="s">
        <v>112</v>
      </c>
      <c r="C25" s="5" t="s">
        <v>563</v>
      </c>
      <c r="D25" s="5"/>
      <c r="E25" s="5" t="s">
        <v>558</v>
      </c>
      <c r="F25" s="6" t="n">
        <v>1</v>
      </c>
      <c r="G25" s="5" t="s">
        <v>94</v>
      </c>
      <c r="H25" s="5"/>
      <c r="I25" s="5"/>
      <c r="J25" s="5" t="s">
        <v>365</v>
      </c>
      <c r="K25" s="5"/>
      <c r="L25" s="5"/>
      <c r="M25" s="5"/>
      <c r="N25" s="5"/>
      <c r="O25" s="5"/>
      <c r="P25" s="5"/>
      <c r="Q25" s="5"/>
      <c r="R25" s="5"/>
      <c r="S25" s="5" t="s">
        <v>564</v>
      </c>
      <c r="T25" s="5" t="s">
        <v>565</v>
      </c>
      <c r="U25" s="5" t="s">
        <v>562</v>
      </c>
      <c r="V25" s="5" t="s">
        <v>334</v>
      </c>
      <c r="W25" s="5" t="s">
        <v>80</v>
      </c>
      <c r="X25" s="5" t="s">
        <v>336</v>
      </c>
      <c r="Y25" s="5" t="s">
        <v>365</v>
      </c>
      <c r="Z25" s="5" t="s">
        <v>338</v>
      </c>
      <c r="AA25" s="5"/>
    </row>
    <row r="26" customFormat="false" ht="64.5" hidden="false" customHeight="true" outlineLevel="0" collapsed="false">
      <c r="A26" s="2" t="s">
        <v>119</v>
      </c>
      <c r="B26" s="2" t="s">
        <v>117</v>
      </c>
      <c r="C26" s="2" t="s">
        <v>566</v>
      </c>
      <c r="D26" s="2"/>
      <c r="E26" s="2" t="s">
        <v>558</v>
      </c>
      <c r="F26" s="4" t="n">
        <v>2</v>
      </c>
      <c r="G26" s="2" t="s">
        <v>94</v>
      </c>
      <c r="H26" s="2"/>
      <c r="I26" s="2"/>
      <c r="J26" s="2" t="s">
        <v>365</v>
      </c>
      <c r="K26" s="2"/>
      <c r="L26" s="2"/>
      <c r="M26" s="2"/>
      <c r="N26" s="2"/>
      <c r="O26" s="2"/>
      <c r="P26" s="2"/>
      <c r="Q26" s="2"/>
      <c r="R26" s="2"/>
      <c r="S26" s="2" t="s">
        <v>564</v>
      </c>
      <c r="T26" s="2" t="s">
        <v>567</v>
      </c>
      <c r="U26" s="2" t="s">
        <v>562</v>
      </c>
      <c r="V26" s="2" t="s">
        <v>334</v>
      </c>
      <c r="W26" s="2" t="s">
        <v>80</v>
      </c>
      <c r="X26" s="2" t="s">
        <v>336</v>
      </c>
      <c r="Y26" s="2" t="s">
        <v>365</v>
      </c>
      <c r="Z26" s="2" t="s">
        <v>338</v>
      </c>
      <c r="AA26" s="2"/>
    </row>
    <row r="27" customFormat="false" ht="64.5" hidden="false" customHeight="true" outlineLevel="0" collapsed="false">
      <c r="A27" s="5" t="s">
        <v>568</v>
      </c>
      <c r="B27" s="5" t="s">
        <v>141</v>
      </c>
      <c r="C27" s="5" t="s">
        <v>569</v>
      </c>
      <c r="D27" s="5" t="s">
        <v>570</v>
      </c>
      <c r="E27" s="5" t="s">
        <v>571</v>
      </c>
      <c r="F27" s="6" t="n">
        <v>1</v>
      </c>
      <c r="G27" s="5" t="s">
        <v>129</v>
      </c>
      <c r="H27" s="5" t="s">
        <v>83</v>
      </c>
      <c r="I27" s="6" t="n">
        <v>7539</v>
      </c>
      <c r="J27" s="5" t="s">
        <v>572</v>
      </c>
      <c r="K27" s="5" t="s">
        <v>419</v>
      </c>
      <c r="L27" s="6" t="n">
        <v>6335.29</v>
      </c>
      <c r="M27" s="14" t="s">
        <v>573</v>
      </c>
      <c r="N27" s="14" t="s">
        <v>573</v>
      </c>
      <c r="O27" s="5"/>
      <c r="P27" s="5"/>
      <c r="Q27" s="5"/>
      <c r="R27" s="5"/>
      <c r="S27" s="5" t="s">
        <v>574</v>
      </c>
      <c r="T27" s="5" t="s">
        <v>575</v>
      </c>
      <c r="U27" s="5" t="s">
        <v>562</v>
      </c>
      <c r="V27" s="5" t="s">
        <v>334</v>
      </c>
      <c r="W27" s="5" t="s">
        <v>89</v>
      </c>
      <c r="X27" s="5" t="s">
        <v>336</v>
      </c>
      <c r="Y27" s="5" t="s">
        <v>365</v>
      </c>
      <c r="Z27" s="5" t="s">
        <v>338</v>
      </c>
      <c r="AA27" s="6" t="n">
        <v>6335.29</v>
      </c>
    </row>
    <row r="28" customFormat="false" ht="64.5" hidden="false" customHeight="true" outlineLevel="0" collapsed="false">
      <c r="A28" s="2" t="s">
        <v>143</v>
      </c>
      <c r="B28" s="2" t="s">
        <v>141</v>
      </c>
      <c r="C28" s="2" t="s">
        <v>569</v>
      </c>
      <c r="D28" s="2" t="s">
        <v>576</v>
      </c>
      <c r="E28" s="2" t="s">
        <v>577</v>
      </c>
      <c r="F28" s="4" t="n">
        <v>1</v>
      </c>
      <c r="G28" s="2" t="s">
        <v>129</v>
      </c>
      <c r="H28" s="2" t="s">
        <v>83</v>
      </c>
      <c r="I28" s="4" t="n">
        <v>12820.2</v>
      </c>
      <c r="J28" s="2" t="s">
        <v>578</v>
      </c>
      <c r="K28" s="2" t="s">
        <v>371</v>
      </c>
      <c r="L28" s="4" t="n">
        <v>10683.5</v>
      </c>
      <c r="M28" s="11" t="s">
        <v>146</v>
      </c>
      <c r="N28" s="11" t="s">
        <v>579</v>
      </c>
      <c r="O28" s="2"/>
      <c r="P28" s="2"/>
      <c r="Q28" s="2"/>
      <c r="R28" s="2"/>
      <c r="S28" s="2" t="s">
        <v>580</v>
      </c>
      <c r="T28" s="2" t="s">
        <v>581</v>
      </c>
      <c r="U28" s="2" t="s">
        <v>582</v>
      </c>
      <c r="V28" s="2" t="s">
        <v>334</v>
      </c>
      <c r="W28" s="2" t="s">
        <v>144</v>
      </c>
      <c r="X28" s="2" t="s">
        <v>336</v>
      </c>
      <c r="Y28" s="2" t="s">
        <v>365</v>
      </c>
      <c r="Z28" s="2" t="s">
        <v>338</v>
      </c>
      <c r="AA28" s="4" t="n">
        <v>10683.5</v>
      </c>
    </row>
    <row r="29" customFormat="false" ht="64.5" hidden="false" customHeight="true" outlineLevel="0" collapsed="false">
      <c r="A29" s="5" t="s">
        <v>583</v>
      </c>
      <c r="B29" s="5" t="s">
        <v>141</v>
      </c>
      <c r="C29" s="5" t="s">
        <v>569</v>
      </c>
      <c r="D29" s="5" t="s">
        <v>584</v>
      </c>
      <c r="E29" s="5" t="s">
        <v>585</v>
      </c>
      <c r="F29" s="6" t="n">
        <v>1</v>
      </c>
      <c r="G29" s="5" t="s">
        <v>129</v>
      </c>
      <c r="H29" s="5" t="s">
        <v>83</v>
      </c>
      <c r="I29" s="5"/>
      <c r="J29" s="5"/>
      <c r="K29" s="5"/>
      <c r="L29" s="5"/>
      <c r="M29" s="14" t="s">
        <v>586</v>
      </c>
      <c r="N29" s="14" t="s">
        <v>587</v>
      </c>
      <c r="O29" s="5"/>
      <c r="P29" s="5"/>
      <c r="Q29" s="5"/>
      <c r="R29" s="5" t="s">
        <v>588</v>
      </c>
      <c r="S29" s="5" t="s">
        <v>589</v>
      </c>
      <c r="T29" s="5" t="s">
        <v>590</v>
      </c>
      <c r="U29" s="5" t="s">
        <v>562</v>
      </c>
      <c r="V29" s="5" t="s">
        <v>334</v>
      </c>
      <c r="W29" s="5" t="s">
        <v>80</v>
      </c>
      <c r="X29" s="5" t="s">
        <v>336</v>
      </c>
      <c r="Y29" s="5" t="s">
        <v>365</v>
      </c>
      <c r="Z29" s="5" t="s">
        <v>338</v>
      </c>
      <c r="AA29" s="5"/>
    </row>
    <row r="30" customFormat="false" ht="64.5" hidden="false" customHeight="true" outlineLevel="0" collapsed="false">
      <c r="A30" s="2" t="s">
        <v>591</v>
      </c>
      <c r="B30" s="2" t="s">
        <v>128</v>
      </c>
      <c r="C30" s="2" t="s">
        <v>592</v>
      </c>
      <c r="D30" s="2" t="s">
        <v>593</v>
      </c>
      <c r="E30" s="2" t="s">
        <v>594</v>
      </c>
      <c r="F30" s="4" t="n">
        <v>1</v>
      </c>
      <c r="G30" s="2" t="s">
        <v>129</v>
      </c>
      <c r="H30" s="2" t="s">
        <v>83</v>
      </c>
      <c r="I30" s="4" t="n">
        <v>1229.9</v>
      </c>
      <c r="J30" s="2" t="s">
        <v>595</v>
      </c>
      <c r="K30" s="2"/>
      <c r="L30" s="4" t="n">
        <v>1024.92</v>
      </c>
      <c r="M30" s="11" t="s">
        <v>596</v>
      </c>
      <c r="N30" s="11" t="s">
        <v>597</v>
      </c>
      <c r="O30" s="2"/>
      <c r="P30" s="2"/>
      <c r="Q30" s="2"/>
      <c r="R30" s="2"/>
      <c r="S30" s="2" t="s">
        <v>598</v>
      </c>
      <c r="T30" s="2" t="s">
        <v>599</v>
      </c>
      <c r="U30" s="2" t="s">
        <v>600</v>
      </c>
      <c r="V30" s="2" t="s">
        <v>334</v>
      </c>
      <c r="W30" s="2" t="s">
        <v>89</v>
      </c>
      <c r="X30" s="2" t="s">
        <v>336</v>
      </c>
      <c r="Y30" s="2" t="s">
        <v>365</v>
      </c>
      <c r="Z30" s="2" t="s">
        <v>338</v>
      </c>
      <c r="AA30" s="4" t="n">
        <v>1024.92</v>
      </c>
    </row>
    <row r="31" customFormat="false" ht="64.5" hidden="false" customHeight="true" outlineLevel="0" collapsed="false">
      <c r="A31" s="5" t="s">
        <v>131</v>
      </c>
      <c r="B31" s="5" t="s">
        <v>128</v>
      </c>
      <c r="C31" s="5" t="s">
        <v>592</v>
      </c>
      <c r="D31" s="5" t="s">
        <v>601</v>
      </c>
      <c r="E31" s="5" t="s">
        <v>602</v>
      </c>
      <c r="F31" s="6" t="n">
        <v>1</v>
      </c>
      <c r="G31" s="5" t="s">
        <v>129</v>
      </c>
      <c r="H31" s="5" t="s">
        <v>83</v>
      </c>
      <c r="I31" s="6" t="n">
        <v>1311.9</v>
      </c>
      <c r="J31" s="5" t="s">
        <v>595</v>
      </c>
      <c r="K31" s="5"/>
      <c r="L31" s="6" t="n">
        <v>1093.25</v>
      </c>
      <c r="M31" s="14" t="s">
        <v>133</v>
      </c>
      <c r="N31" s="14" t="s">
        <v>603</v>
      </c>
      <c r="O31" s="5"/>
      <c r="P31" s="5"/>
      <c r="Q31" s="5"/>
      <c r="R31" s="5"/>
      <c r="S31" s="5" t="s">
        <v>604</v>
      </c>
      <c r="T31" s="5" t="s">
        <v>605</v>
      </c>
      <c r="U31" s="5" t="s">
        <v>606</v>
      </c>
      <c r="V31" s="5" t="s">
        <v>334</v>
      </c>
      <c r="W31" s="5" t="s">
        <v>89</v>
      </c>
      <c r="X31" s="5" t="s">
        <v>336</v>
      </c>
      <c r="Y31" s="5" t="s">
        <v>365</v>
      </c>
      <c r="Z31" s="5" t="s">
        <v>338</v>
      </c>
      <c r="AA31" s="6" t="n">
        <v>1093.25</v>
      </c>
    </row>
    <row r="32" customFormat="false" ht="64.5" hidden="false" customHeight="true" outlineLevel="0" collapsed="false">
      <c r="A32" s="2" t="s">
        <v>607</v>
      </c>
      <c r="B32" s="2" t="s">
        <v>128</v>
      </c>
      <c r="C32" s="2" t="s">
        <v>592</v>
      </c>
      <c r="D32" s="2" t="s">
        <v>608</v>
      </c>
      <c r="E32" s="2" t="s">
        <v>609</v>
      </c>
      <c r="F32" s="4" t="n">
        <v>1</v>
      </c>
      <c r="G32" s="2" t="s">
        <v>129</v>
      </c>
      <c r="H32" s="2" t="s">
        <v>83</v>
      </c>
      <c r="I32" s="2"/>
      <c r="J32" s="2"/>
      <c r="K32" s="2"/>
      <c r="L32" s="2"/>
      <c r="M32" s="11" t="s">
        <v>610</v>
      </c>
      <c r="N32" s="11" t="s">
        <v>610</v>
      </c>
      <c r="O32" s="2"/>
      <c r="P32" s="2"/>
      <c r="Q32" s="2"/>
      <c r="R32" s="2" t="s">
        <v>611</v>
      </c>
      <c r="S32" s="2" t="s">
        <v>612</v>
      </c>
      <c r="T32" s="2" t="s">
        <v>613</v>
      </c>
      <c r="U32" s="2" t="s">
        <v>562</v>
      </c>
      <c r="V32" s="2" t="s">
        <v>334</v>
      </c>
      <c r="W32" s="2" t="s">
        <v>80</v>
      </c>
      <c r="X32" s="2" t="s">
        <v>336</v>
      </c>
      <c r="Y32" s="2" t="s">
        <v>365</v>
      </c>
      <c r="Z32" s="2" t="s">
        <v>338</v>
      </c>
      <c r="AA32" s="2"/>
    </row>
    <row r="33" customFormat="false" ht="64.5" hidden="false" customHeight="true" outlineLevel="0" collapsed="false">
      <c r="A33" s="5" t="s">
        <v>614</v>
      </c>
      <c r="B33" s="5" t="s">
        <v>135</v>
      </c>
      <c r="C33" s="5" t="s">
        <v>615</v>
      </c>
      <c r="D33" s="5" t="s">
        <v>593</v>
      </c>
      <c r="E33" s="5" t="s">
        <v>616</v>
      </c>
      <c r="F33" s="6" t="n">
        <v>1</v>
      </c>
      <c r="G33" s="5" t="s">
        <v>129</v>
      </c>
      <c r="H33" s="5" t="s">
        <v>83</v>
      </c>
      <c r="I33" s="5"/>
      <c r="J33" s="5"/>
      <c r="K33" s="5"/>
      <c r="L33" s="5"/>
      <c r="M33" s="14" t="s">
        <v>597</v>
      </c>
      <c r="N33" s="14" t="s">
        <v>597</v>
      </c>
      <c r="O33" s="5"/>
      <c r="P33" s="5"/>
      <c r="Q33" s="5"/>
      <c r="R33" s="5"/>
      <c r="S33" s="5" t="s">
        <v>617</v>
      </c>
      <c r="T33" s="5" t="s">
        <v>618</v>
      </c>
      <c r="U33" s="5" t="s">
        <v>562</v>
      </c>
      <c r="V33" s="5" t="s">
        <v>334</v>
      </c>
      <c r="W33" s="5" t="s">
        <v>80</v>
      </c>
      <c r="X33" s="5" t="s">
        <v>336</v>
      </c>
      <c r="Y33" s="5" t="s">
        <v>365</v>
      </c>
      <c r="Z33" s="5" t="s">
        <v>338</v>
      </c>
      <c r="AA33" s="5"/>
    </row>
    <row r="34" customFormat="false" ht="64.5" hidden="false" customHeight="true" outlineLevel="0" collapsed="false">
      <c r="A34" s="2" t="s">
        <v>137</v>
      </c>
      <c r="B34" s="2" t="s">
        <v>135</v>
      </c>
      <c r="C34" s="2" t="s">
        <v>615</v>
      </c>
      <c r="D34" s="2" t="s">
        <v>601</v>
      </c>
      <c r="E34" s="2" t="s">
        <v>619</v>
      </c>
      <c r="F34" s="4" t="n">
        <v>1</v>
      </c>
      <c r="G34" s="2" t="s">
        <v>129</v>
      </c>
      <c r="H34" s="2" t="s">
        <v>83</v>
      </c>
      <c r="I34" s="4" t="n">
        <v>1263</v>
      </c>
      <c r="J34" s="2" t="s">
        <v>595</v>
      </c>
      <c r="K34" s="2"/>
      <c r="L34" s="4" t="n">
        <v>1052.5</v>
      </c>
      <c r="M34" s="11" t="s">
        <v>139</v>
      </c>
      <c r="N34" s="11" t="s">
        <v>603</v>
      </c>
      <c r="O34" s="2"/>
      <c r="P34" s="2"/>
      <c r="Q34" s="2"/>
      <c r="R34" s="2"/>
      <c r="S34" s="2" t="s">
        <v>620</v>
      </c>
      <c r="T34" s="2" t="s">
        <v>621</v>
      </c>
      <c r="U34" s="2" t="s">
        <v>622</v>
      </c>
      <c r="V34" s="2" t="s">
        <v>334</v>
      </c>
      <c r="W34" s="2" t="s">
        <v>89</v>
      </c>
      <c r="X34" s="2" t="s">
        <v>336</v>
      </c>
      <c r="Y34" s="2" t="s">
        <v>365</v>
      </c>
      <c r="Z34" s="2" t="s">
        <v>338</v>
      </c>
      <c r="AA34" s="4" t="n">
        <v>1052.5</v>
      </c>
    </row>
    <row r="35" customFormat="false" ht="64.5" hidden="false" customHeight="true" outlineLevel="0" collapsed="false">
      <c r="A35" s="5" t="s">
        <v>623</v>
      </c>
      <c r="B35" s="5" t="s">
        <v>135</v>
      </c>
      <c r="C35" s="5" t="s">
        <v>615</v>
      </c>
      <c r="D35" s="5" t="s">
        <v>608</v>
      </c>
      <c r="E35" s="5" t="s">
        <v>624</v>
      </c>
      <c r="F35" s="6" t="n">
        <v>1</v>
      </c>
      <c r="G35" s="5" t="s">
        <v>129</v>
      </c>
      <c r="H35" s="5" t="s">
        <v>83</v>
      </c>
      <c r="I35" s="5"/>
      <c r="J35" s="5"/>
      <c r="K35" s="5"/>
      <c r="L35" s="5"/>
      <c r="M35" s="14" t="s">
        <v>610</v>
      </c>
      <c r="N35" s="14" t="s">
        <v>610</v>
      </c>
      <c r="O35" s="5"/>
      <c r="P35" s="5"/>
      <c r="Q35" s="5"/>
      <c r="R35" s="5" t="s">
        <v>625</v>
      </c>
      <c r="S35" s="5" t="s">
        <v>617</v>
      </c>
      <c r="T35" s="5" t="s">
        <v>626</v>
      </c>
      <c r="U35" s="5" t="s">
        <v>562</v>
      </c>
      <c r="V35" s="5" t="s">
        <v>334</v>
      </c>
      <c r="W35" s="5" t="s">
        <v>80</v>
      </c>
      <c r="X35" s="5" t="s">
        <v>336</v>
      </c>
      <c r="Y35" s="5" t="s">
        <v>365</v>
      </c>
      <c r="Z35" s="5" t="s">
        <v>338</v>
      </c>
      <c r="AA35" s="5"/>
    </row>
    <row r="36" customFormat="false" ht="64.5" hidden="false" customHeight="true" outlineLevel="0" collapsed="false">
      <c r="A36" s="2" t="s">
        <v>627</v>
      </c>
      <c r="B36" s="2" t="s">
        <v>154</v>
      </c>
      <c r="C36" s="2" t="s">
        <v>628</v>
      </c>
      <c r="D36" s="2" t="s">
        <v>629</v>
      </c>
      <c r="E36" s="2" t="s">
        <v>630</v>
      </c>
      <c r="F36" s="4" t="n">
        <v>2</v>
      </c>
      <c r="G36" s="2" t="s">
        <v>129</v>
      </c>
      <c r="H36" s="2" t="s">
        <v>83</v>
      </c>
      <c r="I36" s="4" t="n">
        <v>4544.35</v>
      </c>
      <c r="J36" s="2" t="s">
        <v>631</v>
      </c>
      <c r="K36" s="2" t="s">
        <v>632</v>
      </c>
      <c r="L36" s="4" t="n">
        <v>3621</v>
      </c>
      <c r="M36" s="11" t="s">
        <v>633</v>
      </c>
      <c r="N36" s="11" t="s">
        <v>634</v>
      </c>
      <c r="O36" s="2" t="s">
        <v>635</v>
      </c>
      <c r="P36" s="2" t="s">
        <v>462</v>
      </c>
      <c r="Q36" s="2" t="s">
        <v>475</v>
      </c>
      <c r="R36" s="2" t="s">
        <v>636</v>
      </c>
      <c r="S36" s="2" t="s">
        <v>637</v>
      </c>
      <c r="T36" s="2" t="s">
        <v>638</v>
      </c>
      <c r="U36" s="2" t="s">
        <v>639</v>
      </c>
      <c r="V36" s="2" t="s">
        <v>334</v>
      </c>
      <c r="W36" s="2" t="s">
        <v>89</v>
      </c>
      <c r="X36" s="2" t="s">
        <v>336</v>
      </c>
      <c r="Y36" s="2" t="s">
        <v>365</v>
      </c>
      <c r="Z36" s="2" t="s">
        <v>338</v>
      </c>
      <c r="AA36" s="4" t="n">
        <v>3621</v>
      </c>
    </row>
    <row r="37" customFormat="false" ht="64.5" hidden="false" customHeight="true" outlineLevel="0" collapsed="false">
      <c r="A37" s="5" t="s">
        <v>156</v>
      </c>
      <c r="B37" s="5" t="s">
        <v>154</v>
      </c>
      <c r="C37" s="5" t="s">
        <v>628</v>
      </c>
      <c r="D37" s="5" t="s">
        <v>640</v>
      </c>
      <c r="E37" s="5" t="s">
        <v>641</v>
      </c>
      <c r="F37" s="6" t="n">
        <v>2</v>
      </c>
      <c r="G37" s="5" t="s">
        <v>129</v>
      </c>
      <c r="H37" s="5" t="s">
        <v>83</v>
      </c>
      <c r="I37" s="6" t="n">
        <v>4155.3</v>
      </c>
      <c r="J37" s="5" t="s">
        <v>642</v>
      </c>
      <c r="K37" s="5"/>
      <c r="L37" s="6" t="n">
        <v>4155.3</v>
      </c>
      <c r="M37" s="14" t="s">
        <v>158</v>
      </c>
      <c r="N37" s="14" t="s">
        <v>643</v>
      </c>
      <c r="O37" s="5"/>
      <c r="P37" s="5"/>
      <c r="Q37" s="5"/>
      <c r="R37" s="5"/>
      <c r="S37" s="5" t="s">
        <v>644</v>
      </c>
      <c r="T37" s="5" t="s">
        <v>645</v>
      </c>
      <c r="U37" s="5" t="s">
        <v>646</v>
      </c>
      <c r="V37" s="5" t="s">
        <v>334</v>
      </c>
      <c r="W37" s="5" t="s">
        <v>89</v>
      </c>
      <c r="X37" s="5" t="s">
        <v>336</v>
      </c>
      <c r="Y37" s="5" t="s">
        <v>365</v>
      </c>
      <c r="Z37" s="5" t="s">
        <v>338</v>
      </c>
      <c r="AA37" s="6" t="n">
        <v>4155.3</v>
      </c>
    </row>
    <row r="38" customFormat="false" ht="64.5" hidden="false" customHeight="true" outlineLevel="0" collapsed="false">
      <c r="A38" s="2" t="s">
        <v>647</v>
      </c>
      <c r="B38" s="2" t="s">
        <v>154</v>
      </c>
      <c r="C38" s="2" t="s">
        <v>628</v>
      </c>
      <c r="D38" s="2" t="s">
        <v>648</v>
      </c>
      <c r="E38" s="2" t="s">
        <v>649</v>
      </c>
      <c r="F38" s="4" t="n">
        <v>2</v>
      </c>
      <c r="G38" s="2" t="s">
        <v>129</v>
      </c>
      <c r="H38" s="2" t="s">
        <v>83</v>
      </c>
      <c r="I38" s="2"/>
      <c r="J38" s="2"/>
      <c r="K38" s="2"/>
      <c r="L38" s="2"/>
      <c r="M38" s="11" t="s">
        <v>650</v>
      </c>
      <c r="N38" s="11" t="s">
        <v>651</v>
      </c>
      <c r="O38" s="2" t="s">
        <v>389</v>
      </c>
      <c r="P38" s="2" t="s">
        <v>474</v>
      </c>
      <c r="Q38" s="2" t="s">
        <v>635</v>
      </c>
      <c r="R38" s="2" t="s">
        <v>652</v>
      </c>
      <c r="S38" s="2" t="s">
        <v>653</v>
      </c>
      <c r="T38" s="2" t="s">
        <v>654</v>
      </c>
      <c r="U38" s="2" t="s">
        <v>562</v>
      </c>
      <c r="V38" s="2" t="s">
        <v>334</v>
      </c>
      <c r="W38" s="2" t="s">
        <v>80</v>
      </c>
      <c r="X38" s="2" t="s">
        <v>336</v>
      </c>
      <c r="Y38" s="2" t="s">
        <v>365</v>
      </c>
      <c r="Z38" s="2" t="s">
        <v>338</v>
      </c>
      <c r="AA38" s="2"/>
    </row>
    <row r="39" customFormat="false" ht="64.5" hidden="false" customHeight="true" outlineLevel="0" collapsed="false">
      <c r="A39" s="5" t="s">
        <v>655</v>
      </c>
      <c r="B39" s="5" t="s">
        <v>148</v>
      </c>
      <c r="C39" s="5" t="s">
        <v>656</v>
      </c>
      <c r="D39" s="5" t="s">
        <v>657</v>
      </c>
      <c r="E39" s="5" t="s">
        <v>658</v>
      </c>
      <c r="F39" s="5"/>
      <c r="G39" s="5" t="s">
        <v>129</v>
      </c>
      <c r="H39" s="5" t="s">
        <v>83</v>
      </c>
      <c r="I39" s="6" t="n">
        <v>737</v>
      </c>
      <c r="J39" s="5" t="s">
        <v>595</v>
      </c>
      <c r="K39" s="5"/>
      <c r="L39" s="6" t="n">
        <v>614.17</v>
      </c>
      <c r="M39" s="14" t="s">
        <v>659</v>
      </c>
      <c r="N39" s="14" t="s">
        <v>660</v>
      </c>
      <c r="O39" s="5"/>
      <c r="P39" s="5"/>
      <c r="Q39" s="5"/>
      <c r="R39" s="5"/>
      <c r="S39" s="5" t="s">
        <v>661</v>
      </c>
      <c r="T39" s="5" t="s">
        <v>662</v>
      </c>
      <c r="U39" s="5" t="s">
        <v>622</v>
      </c>
      <c r="V39" s="5" t="s">
        <v>334</v>
      </c>
      <c r="W39" s="5" t="s">
        <v>89</v>
      </c>
      <c r="X39" s="5" t="s">
        <v>336</v>
      </c>
      <c r="Y39" s="5" t="s">
        <v>365</v>
      </c>
      <c r="Z39" s="5" t="s">
        <v>338</v>
      </c>
      <c r="AA39" s="6" t="n">
        <v>614.17</v>
      </c>
    </row>
    <row r="40" customFormat="false" ht="64.5" hidden="false" customHeight="true" outlineLevel="0" collapsed="false">
      <c r="A40" s="2" t="s">
        <v>150</v>
      </c>
      <c r="B40" s="2" t="s">
        <v>148</v>
      </c>
      <c r="C40" s="2" t="s">
        <v>656</v>
      </c>
      <c r="D40" s="2" t="s">
        <v>657</v>
      </c>
      <c r="E40" s="2" t="s">
        <v>663</v>
      </c>
      <c r="F40" s="2"/>
      <c r="G40" s="2" t="s">
        <v>129</v>
      </c>
      <c r="H40" s="2" t="s">
        <v>83</v>
      </c>
      <c r="I40" s="4" t="n">
        <v>829</v>
      </c>
      <c r="J40" s="2" t="s">
        <v>595</v>
      </c>
      <c r="K40" s="2"/>
      <c r="L40" s="4" t="n">
        <v>690.83</v>
      </c>
      <c r="M40" s="11" t="s">
        <v>152</v>
      </c>
      <c r="N40" s="11" t="s">
        <v>664</v>
      </c>
      <c r="O40" s="2"/>
      <c r="P40" s="2"/>
      <c r="Q40" s="2"/>
      <c r="R40" s="2"/>
      <c r="S40" s="2" t="s">
        <v>661</v>
      </c>
      <c r="T40" s="2" t="s">
        <v>662</v>
      </c>
      <c r="U40" s="2" t="s">
        <v>622</v>
      </c>
      <c r="V40" s="2" t="s">
        <v>334</v>
      </c>
      <c r="W40" s="2" t="s">
        <v>89</v>
      </c>
      <c r="X40" s="2" t="s">
        <v>336</v>
      </c>
      <c r="Y40" s="2" t="s">
        <v>365</v>
      </c>
      <c r="Z40" s="2" t="s">
        <v>338</v>
      </c>
      <c r="AA40" s="4" t="n">
        <v>690.83</v>
      </c>
    </row>
    <row r="41" customFormat="false" ht="64.5" hidden="false" customHeight="true" outlineLevel="0" collapsed="false">
      <c r="A41" s="5" t="s">
        <v>665</v>
      </c>
      <c r="B41" s="5" t="s">
        <v>148</v>
      </c>
      <c r="C41" s="5" t="s">
        <v>656</v>
      </c>
      <c r="D41" s="5" t="s">
        <v>657</v>
      </c>
      <c r="E41" s="5" t="s">
        <v>666</v>
      </c>
      <c r="F41" s="5"/>
      <c r="G41" s="5" t="s">
        <v>129</v>
      </c>
      <c r="H41" s="5" t="s">
        <v>83</v>
      </c>
      <c r="I41" s="6" t="n">
        <v>909</v>
      </c>
      <c r="J41" s="5" t="s">
        <v>595</v>
      </c>
      <c r="K41" s="5"/>
      <c r="L41" s="6" t="n">
        <v>757.5</v>
      </c>
      <c r="M41" s="14" t="s">
        <v>667</v>
      </c>
      <c r="N41" s="14" t="s">
        <v>668</v>
      </c>
      <c r="O41" s="5"/>
      <c r="P41" s="5"/>
      <c r="Q41" s="5"/>
      <c r="R41" s="5"/>
      <c r="S41" s="5" t="s">
        <v>661</v>
      </c>
      <c r="T41" s="5" t="s">
        <v>662</v>
      </c>
      <c r="U41" s="5" t="s">
        <v>622</v>
      </c>
      <c r="V41" s="5" t="s">
        <v>334</v>
      </c>
      <c r="W41" s="5" t="s">
        <v>89</v>
      </c>
      <c r="X41" s="5" t="s">
        <v>336</v>
      </c>
      <c r="Y41" s="5" t="s">
        <v>365</v>
      </c>
      <c r="Z41" s="5" t="s">
        <v>338</v>
      </c>
      <c r="AA41" s="6" t="n">
        <v>757.5</v>
      </c>
    </row>
    <row r="42" customFormat="false" ht="64.5" hidden="false" customHeight="true" outlineLevel="0" collapsed="false">
      <c r="A42" s="2" t="s">
        <v>162</v>
      </c>
      <c r="B42" s="2" t="s">
        <v>160</v>
      </c>
      <c r="C42" s="2" t="s">
        <v>669</v>
      </c>
      <c r="D42" s="2" t="s">
        <v>670</v>
      </c>
      <c r="E42" s="2" t="s">
        <v>671</v>
      </c>
      <c r="F42" s="2"/>
      <c r="G42" s="2" t="s">
        <v>129</v>
      </c>
      <c r="H42" s="2" t="s">
        <v>83</v>
      </c>
      <c r="I42" s="4" t="n">
        <v>795.9</v>
      </c>
      <c r="J42" s="2" t="s">
        <v>595</v>
      </c>
      <c r="K42" s="2"/>
      <c r="L42" s="4" t="n">
        <v>663.25</v>
      </c>
      <c r="M42" s="11" t="s">
        <v>164</v>
      </c>
      <c r="N42" s="11" t="s">
        <v>672</v>
      </c>
      <c r="O42" s="2"/>
      <c r="P42" s="2"/>
      <c r="Q42" s="2"/>
      <c r="R42" s="2"/>
      <c r="S42" s="2" t="s">
        <v>673</v>
      </c>
      <c r="T42" s="2" t="s">
        <v>674</v>
      </c>
      <c r="U42" s="2" t="s">
        <v>675</v>
      </c>
      <c r="V42" s="2" t="s">
        <v>334</v>
      </c>
      <c r="W42" s="2" t="s">
        <v>89</v>
      </c>
      <c r="X42" s="2" t="s">
        <v>336</v>
      </c>
      <c r="Y42" s="2" t="s">
        <v>365</v>
      </c>
      <c r="Z42" s="2" t="s">
        <v>338</v>
      </c>
      <c r="AA42" s="4" t="n">
        <v>663.25</v>
      </c>
    </row>
    <row r="43" customFormat="false" ht="64.5" hidden="false" customHeight="true" outlineLevel="0" collapsed="false">
      <c r="A43" s="5" t="s">
        <v>676</v>
      </c>
      <c r="B43" s="5" t="s">
        <v>248</v>
      </c>
      <c r="C43" s="5" t="s">
        <v>677</v>
      </c>
      <c r="D43" s="5" t="s">
        <v>657</v>
      </c>
      <c r="E43" s="5" t="s">
        <v>678</v>
      </c>
      <c r="F43" s="5"/>
      <c r="G43" s="5" t="s">
        <v>129</v>
      </c>
      <c r="H43" s="5" t="s">
        <v>83</v>
      </c>
      <c r="I43" s="6" t="n">
        <v>140.4</v>
      </c>
      <c r="J43" s="5" t="s">
        <v>595</v>
      </c>
      <c r="K43" s="5"/>
      <c r="L43" s="6" t="n">
        <v>117</v>
      </c>
      <c r="M43" s="14" t="s">
        <v>679</v>
      </c>
      <c r="N43" s="14" t="s">
        <v>680</v>
      </c>
      <c r="O43" s="5"/>
      <c r="P43" s="5"/>
      <c r="Q43" s="5"/>
      <c r="R43" s="5"/>
      <c r="S43" s="5" t="s">
        <v>681</v>
      </c>
      <c r="T43" s="5" t="s">
        <v>682</v>
      </c>
      <c r="U43" s="5" t="s">
        <v>683</v>
      </c>
      <c r="V43" s="5" t="s">
        <v>334</v>
      </c>
      <c r="W43" s="5" t="s">
        <v>89</v>
      </c>
      <c r="X43" s="5" t="s">
        <v>336</v>
      </c>
      <c r="Y43" s="5" t="s">
        <v>365</v>
      </c>
      <c r="Z43" s="5" t="s">
        <v>338</v>
      </c>
      <c r="AA43" s="6" t="n">
        <v>117</v>
      </c>
    </row>
    <row r="44" customFormat="false" ht="64.5" hidden="false" customHeight="true" outlineLevel="0" collapsed="false">
      <c r="A44" s="2" t="s">
        <v>684</v>
      </c>
      <c r="B44" s="2" t="s">
        <v>248</v>
      </c>
      <c r="C44" s="2" t="s">
        <v>685</v>
      </c>
      <c r="D44" s="2" t="s">
        <v>686</v>
      </c>
      <c r="E44" s="2" t="s">
        <v>687</v>
      </c>
      <c r="F44" s="2"/>
      <c r="G44" s="2" t="s">
        <v>129</v>
      </c>
      <c r="H44" s="2" t="s">
        <v>83</v>
      </c>
      <c r="I44" s="4" t="n">
        <v>33.5</v>
      </c>
      <c r="J44" s="2" t="s">
        <v>688</v>
      </c>
      <c r="K44" s="2"/>
      <c r="L44" s="2"/>
      <c r="M44" s="11" t="s">
        <v>689</v>
      </c>
      <c r="N44" s="11" t="s">
        <v>690</v>
      </c>
      <c r="O44" s="2"/>
      <c r="P44" s="2"/>
      <c r="Q44" s="2"/>
      <c r="R44" s="2"/>
      <c r="S44" s="2" t="s">
        <v>691</v>
      </c>
      <c r="T44" s="2" t="s">
        <v>692</v>
      </c>
      <c r="U44" s="2" t="s">
        <v>693</v>
      </c>
      <c r="V44" s="2" t="s">
        <v>334</v>
      </c>
      <c r="W44" s="2" t="s">
        <v>80</v>
      </c>
      <c r="X44" s="2" t="s">
        <v>336</v>
      </c>
      <c r="Y44" s="2" t="s">
        <v>365</v>
      </c>
      <c r="Z44" s="2" t="s">
        <v>338</v>
      </c>
      <c r="AA44" s="2"/>
    </row>
    <row r="45" customFormat="false" ht="64.5" hidden="false" customHeight="true" outlineLevel="0" collapsed="false">
      <c r="A45" s="5" t="s">
        <v>694</v>
      </c>
      <c r="B45" s="5" t="s">
        <v>225</v>
      </c>
      <c r="C45" s="5" t="s">
        <v>695</v>
      </c>
      <c r="D45" s="5" t="s">
        <v>696</v>
      </c>
      <c r="E45" s="5" t="s">
        <v>697</v>
      </c>
      <c r="F45" s="5"/>
      <c r="G45" s="5" t="s">
        <v>129</v>
      </c>
      <c r="H45" s="5" t="s">
        <v>184</v>
      </c>
      <c r="I45" s="6" t="n">
        <v>2412.08</v>
      </c>
      <c r="J45" s="5" t="s">
        <v>449</v>
      </c>
      <c r="K45" s="5"/>
      <c r="L45" s="6" t="n">
        <v>2412.08</v>
      </c>
      <c r="M45" s="14" t="s">
        <v>698</v>
      </c>
      <c r="N45" s="14" t="s">
        <v>699</v>
      </c>
      <c r="O45" s="5"/>
      <c r="P45" s="5"/>
      <c r="Q45" s="5"/>
      <c r="R45" s="5"/>
      <c r="S45" s="5" t="s">
        <v>700</v>
      </c>
      <c r="T45" s="5" t="s">
        <v>701</v>
      </c>
      <c r="U45" s="5" t="s">
        <v>702</v>
      </c>
      <c r="V45" s="5" t="s">
        <v>334</v>
      </c>
      <c r="W45" s="5" t="s">
        <v>89</v>
      </c>
      <c r="X45" s="5" t="s">
        <v>336</v>
      </c>
      <c r="Y45" s="5" t="s">
        <v>365</v>
      </c>
      <c r="Z45" s="5" t="s">
        <v>338</v>
      </c>
      <c r="AA45" s="6" t="n">
        <v>2807.52</v>
      </c>
    </row>
    <row r="46" customFormat="false" ht="64.5" hidden="false" customHeight="true" outlineLevel="0" collapsed="false">
      <c r="A46" s="2" t="s">
        <v>703</v>
      </c>
      <c r="B46" s="2" t="s">
        <v>225</v>
      </c>
      <c r="C46" s="2" t="s">
        <v>704</v>
      </c>
      <c r="D46" s="2" t="s">
        <v>696</v>
      </c>
      <c r="E46" s="2" t="s">
        <v>705</v>
      </c>
      <c r="F46" s="2"/>
      <c r="G46" s="2" t="s">
        <v>129</v>
      </c>
      <c r="H46" s="2" t="s">
        <v>184</v>
      </c>
      <c r="I46" s="4" t="n">
        <v>2716.67</v>
      </c>
      <c r="J46" s="2" t="s">
        <v>449</v>
      </c>
      <c r="K46" s="2"/>
      <c r="L46" s="4" t="n">
        <v>2716.67</v>
      </c>
      <c r="M46" s="11" t="s">
        <v>706</v>
      </c>
      <c r="N46" s="2"/>
      <c r="O46" s="2"/>
      <c r="P46" s="2"/>
      <c r="Q46" s="2"/>
      <c r="R46" s="2"/>
      <c r="S46" s="2" t="s">
        <v>700</v>
      </c>
      <c r="T46" s="2" t="s">
        <v>707</v>
      </c>
      <c r="U46" s="2" t="s">
        <v>708</v>
      </c>
      <c r="V46" s="2" t="s">
        <v>334</v>
      </c>
      <c r="W46" s="2" t="s">
        <v>89</v>
      </c>
      <c r="X46" s="2" t="s">
        <v>336</v>
      </c>
      <c r="Y46" s="2" t="s">
        <v>365</v>
      </c>
      <c r="Z46" s="2" t="s">
        <v>338</v>
      </c>
      <c r="AA46" s="4" t="n">
        <v>3162.04</v>
      </c>
    </row>
    <row r="47" customFormat="false" ht="64.5" hidden="false" customHeight="true" outlineLevel="0" collapsed="false">
      <c r="A47" s="5" t="s">
        <v>709</v>
      </c>
      <c r="B47" s="5" t="s">
        <v>225</v>
      </c>
      <c r="C47" s="5" t="s">
        <v>710</v>
      </c>
      <c r="D47" s="5" t="s">
        <v>696</v>
      </c>
      <c r="E47" s="5" t="s">
        <v>711</v>
      </c>
      <c r="F47" s="5"/>
      <c r="G47" s="5" t="s">
        <v>129</v>
      </c>
      <c r="H47" s="5" t="s">
        <v>184</v>
      </c>
      <c r="I47" s="6" t="n">
        <v>517.5</v>
      </c>
      <c r="J47" s="5" t="s">
        <v>449</v>
      </c>
      <c r="K47" s="5"/>
      <c r="L47" s="6" t="n">
        <v>517.5</v>
      </c>
      <c r="M47" s="14" t="s">
        <v>698</v>
      </c>
      <c r="N47" s="5"/>
      <c r="O47" s="5"/>
      <c r="P47" s="5"/>
      <c r="Q47" s="5"/>
      <c r="R47" s="5"/>
      <c r="S47" s="5" t="s">
        <v>700</v>
      </c>
      <c r="T47" s="5" t="s">
        <v>712</v>
      </c>
      <c r="U47" s="5" t="s">
        <v>708</v>
      </c>
      <c r="V47" s="5" t="s">
        <v>334</v>
      </c>
      <c r="W47" s="5" t="s">
        <v>89</v>
      </c>
      <c r="X47" s="5" t="s">
        <v>336</v>
      </c>
      <c r="Y47" s="5" t="s">
        <v>365</v>
      </c>
      <c r="Z47" s="5" t="s">
        <v>338</v>
      </c>
      <c r="AA47" s="6" t="n">
        <v>602.34</v>
      </c>
    </row>
    <row r="48" customFormat="false" ht="64.5" hidden="false" customHeight="true" outlineLevel="0" collapsed="false">
      <c r="A48" s="2" t="s">
        <v>713</v>
      </c>
      <c r="B48" s="2" t="s">
        <v>225</v>
      </c>
      <c r="C48" s="2" t="s">
        <v>714</v>
      </c>
      <c r="D48" s="2" t="s">
        <v>696</v>
      </c>
      <c r="E48" s="2" t="s">
        <v>715</v>
      </c>
      <c r="F48" s="2"/>
      <c r="G48" s="2" t="s">
        <v>129</v>
      </c>
      <c r="H48" s="2" t="s">
        <v>184</v>
      </c>
      <c r="I48" s="4" t="n">
        <v>487.92</v>
      </c>
      <c r="J48" s="2" t="s">
        <v>449</v>
      </c>
      <c r="K48" s="2"/>
      <c r="L48" s="4" t="n">
        <v>487.92</v>
      </c>
      <c r="M48" s="11" t="s">
        <v>698</v>
      </c>
      <c r="N48" s="2"/>
      <c r="O48" s="2"/>
      <c r="P48" s="2"/>
      <c r="Q48" s="2"/>
      <c r="R48" s="2"/>
      <c r="S48" s="2" t="s">
        <v>700</v>
      </c>
      <c r="T48" s="2" t="s">
        <v>716</v>
      </c>
      <c r="U48" s="2" t="s">
        <v>708</v>
      </c>
      <c r="V48" s="2" t="s">
        <v>334</v>
      </c>
      <c r="W48" s="2" t="s">
        <v>89</v>
      </c>
      <c r="X48" s="2" t="s">
        <v>336</v>
      </c>
      <c r="Y48" s="2" t="s">
        <v>365</v>
      </c>
      <c r="Z48" s="2" t="s">
        <v>338</v>
      </c>
      <c r="AA48" s="4" t="n">
        <v>567.91</v>
      </c>
    </row>
    <row r="49" customFormat="false" ht="64.5" hidden="false" customHeight="true" outlineLevel="0" collapsed="false">
      <c r="A49" s="5" t="s">
        <v>717</v>
      </c>
      <c r="B49" s="5" t="s">
        <v>225</v>
      </c>
      <c r="C49" s="5" t="s">
        <v>718</v>
      </c>
      <c r="D49" s="5" t="s">
        <v>696</v>
      </c>
      <c r="E49" s="5" t="s">
        <v>719</v>
      </c>
      <c r="F49" s="5"/>
      <c r="G49" s="5" t="s">
        <v>129</v>
      </c>
      <c r="H49" s="5" t="s">
        <v>184</v>
      </c>
      <c r="I49" s="6" t="n">
        <v>715.83</v>
      </c>
      <c r="J49" s="5" t="s">
        <v>449</v>
      </c>
      <c r="K49" s="5"/>
      <c r="L49" s="6" t="n">
        <v>715.83</v>
      </c>
      <c r="M49" s="14" t="s">
        <v>706</v>
      </c>
      <c r="N49" s="5"/>
      <c r="O49" s="5"/>
      <c r="P49" s="5"/>
      <c r="Q49" s="5"/>
      <c r="R49" s="5"/>
      <c r="S49" s="5" t="s">
        <v>700</v>
      </c>
      <c r="T49" s="5" t="s">
        <v>720</v>
      </c>
      <c r="U49" s="5" t="s">
        <v>708</v>
      </c>
      <c r="V49" s="5" t="s">
        <v>334</v>
      </c>
      <c r="W49" s="5" t="s">
        <v>89</v>
      </c>
      <c r="X49" s="5" t="s">
        <v>336</v>
      </c>
      <c r="Y49" s="5" t="s">
        <v>365</v>
      </c>
      <c r="Z49" s="5" t="s">
        <v>338</v>
      </c>
      <c r="AA49" s="6" t="n">
        <v>833.18</v>
      </c>
    </row>
    <row r="50" customFormat="false" ht="64.5" hidden="false" customHeight="true" outlineLevel="0" collapsed="false">
      <c r="A50" s="2" t="s">
        <v>721</v>
      </c>
      <c r="B50" s="2" t="s">
        <v>225</v>
      </c>
      <c r="C50" s="2" t="s">
        <v>722</v>
      </c>
      <c r="D50" s="2" t="s">
        <v>696</v>
      </c>
      <c r="E50" s="2" t="s">
        <v>723</v>
      </c>
      <c r="F50" s="2"/>
      <c r="G50" s="2" t="s">
        <v>129</v>
      </c>
      <c r="H50" s="2" t="s">
        <v>184</v>
      </c>
      <c r="I50" s="4" t="n">
        <v>300.83</v>
      </c>
      <c r="J50" s="2" t="s">
        <v>449</v>
      </c>
      <c r="K50" s="2"/>
      <c r="L50" s="4" t="n">
        <v>300.83</v>
      </c>
      <c r="M50" s="11" t="s">
        <v>698</v>
      </c>
      <c r="N50" s="2"/>
      <c r="O50" s="2"/>
      <c r="P50" s="2"/>
      <c r="Q50" s="2"/>
      <c r="R50" s="2"/>
      <c r="S50" s="2" t="s">
        <v>724</v>
      </c>
      <c r="T50" s="2" t="s">
        <v>725</v>
      </c>
      <c r="U50" s="2" t="s">
        <v>708</v>
      </c>
      <c r="V50" s="2" t="s">
        <v>334</v>
      </c>
      <c r="W50" s="2" t="s">
        <v>89</v>
      </c>
      <c r="X50" s="2" t="s">
        <v>336</v>
      </c>
      <c r="Y50" s="2" t="s">
        <v>365</v>
      </c>
      <c r="Z50" s="2" t="s">
        <v>338</v>
      </c>
      <c r="AA50" s="4" t="n">
        <v>350.15</v>
      </c>
    </row>
    <row r="51" customFormat="false" ht="64.5" hidden="false" customHeight="true" outlineLevel="0" collapsed="false">
      <c r="A51" s="5" t="s">
        <v>227</v>
      </c>
      <c r="B51" s="5" t="s">
        <v>225</v>
      </c>
      <c r="C51" s="5" t="s">
        <v>726</v>
      </c>
      <c r="D51" s="5" t="s">
        <v>727</v>
      </c>
      <c r="E51" s="5" t="s">
        <v>728</v>
      </c>
      <c r="F51" s="5"/>
      <c r="G51" s="5" t="s">
        <v>129</v>
      </c>
      <c r="H51" s="5" t="s">
        <v>83</v>
      </c>
      <c r="I51" s="5"/>
      <c r="J51" s="5" t="s">
        <v>355</v>
      </c>
      <c r="K51" s="5"/>
      <c r="L51" s="5"/>
      <c r="M51" s="5"/>
      <c r="N51" s="14" t="s">
        <v>729</v>
      </c>
      <c r="O51" s="5" t="s">
        <v>730</v>
      </c>
      <c r="P51" s="5" t="s">
        <v>731</v>
      </c>
      <c r="Q51" s="5" t="s">
        <v>374</v>
      </c>
      <c r="R51" s="5" t="s">
        <v>732</v>
      </c>
      <c r="S51" s="5" t="s">
        <v>733</v>
      </c>
      <c r="T51" s="5" t="s">
        <v>734</v>
      </c>
      <c r="U51" s="5" t="s">
        <v>708</v>
      </c>
      <c r="V51" s="5" t="s">
        <v>334</v>
      </c>
      <c r="W51" s="5" t="s">
        <v>80</v>
      </c>
      <c r="X51" s="5" t="s">
        <v>336</v>
      </c>
      <c r="Y51" s="5" t="s">
        <v>365</v>
      </c>
      <c r="Z51" s="5" t="s">
        <v>338</v>
      </c>
      <c r="AA51" s="5"/>
    </row>
    <row r="52" customFormat="false" ht="64.5" hidden="false" customHeight="true" outlineLevel="0" collapsed="false">
      <c r="A52" s="2" t="s">
        <v>735</v>
      </c>
      <c r="B52" s="2" t="s">
        <v>225</v>
      </c>
      <c r="C52" s="2" t="s">
        <v>736</v>
      </c>
      <c r="D52" s="2" t="s">
        <v>737</v>
      </c>
      <c r="E52" s="2" t="s">
        <v>738</v>
      </c>
      <c r="F52" s="2"/>
      <c r="G52" s="2" t="s">
        <v>129</v>
      </c>
      <c r="H52" s="2" t="s">
        <v>83</v>
      </c>
      <c r="I52" s="2"/>
      <c r="J52" s="2" t="s">
        <v>355</v>
      </c>
      <c r="K52" s="2"/>
      <c r="L52" s="2"/>
      <c r="M52" s="2"/>
      <c r="N52" s="11" t="s">
        <v>739</v>
      </c>
      <c r="O52" s="2" t="s">
        <v>740</v>
      </c>
      <c r="P52" s="2" t="s">
        <v>741</v>
      </c>
      <c r="Q52" s="2" t="s">
        <v>742</v>
      </c>
      <c r="R52" s="2" t="s">
        <v>743</v>
      </c>
      <c r="S52" s="2" t="s">
        <v>744</v>
      </c>
      <c r="T52" s="2" t="s">
        <v>745</v>
      </c>
      <c r="U52" s="2" t="s">
        <v>708</v>
      </c>
      <c r="V52" s="2" t="s">
        <v>334</v>
      </c>
      <c r="W52" s="2" t="s">
        <v>80</v>
      </c>
      <c r="X52" s="2" t="s">
        <v>336</v>
      </c>
      <c r="Y52" s="2" t="s">
        <v>365</v>
      </c>
      <c r="Z52" s="2" t="s">
        <v>338</v>
      </c>
      <c r="AA52" s="2"/>
    </row>
    <row r="53" customFormat="false" ht="64.5" hidden="false" customHeight="true" outlineLevel="0" collapsed="false">
      <c r="A53" s="5" t="s">
        <v>168</v>
      </c>
      <c r="B53" s="5" t="s">
        <v>166</v>
      </c>
      <c r="C53" s="5" t="s">
        <v>746</v>
      </c>
      <c r="D53" s="5" t="s">
        <v>747</v>
      </c>
      <c r="E53" s="5" t="s">
        <v>748</v>
      </c>
      <c r="F53" s="5"/>
      <c r="G53" s="5" t="s">
        <v>129</v>
      </c>
      <c r="H53" s="5" t="s">
        <v>83</v>
      </c>
      <c r="I53" s="6" t="n">
        <v>2199.9</v>
      </c>
      <c r="J53" s="5" t="s">
        <v>749</v>
      </c>
      <c r="K53" s="5" t="s">
        <v>419</v>
      </c>
      <c r="L53" s="6" t="n">
        <v>1848.66</v>
      </c>
      <c r="M53" s="14" t="s">
        <v>171</v>
      </c>
      <c r="N53" s="14" t="s">
        <v>750</v>
      </c>
      <c r="O53" s="5"/>
      <c r="P53" s="5"/>
      <c r="Q53" s="5"/>
      <c r="R53" s="5"/>
      <c r="S53" s="5" t="s">
        <v>751</v>
      </c>
      <c r="T53" s="5" t="s">
        <v>752</v>
      </c>
      <c r="U53" s="5" t="s">
        <v>753</v>
      </c>
      <c r="V53" s="5" t="s">
        <v>334</v>
      </c>
      <c r="W53" s="5" t="s">
        <v>169</v>
      </c>
      <c r="X53" s="5" t="s">
        <v>336</v>
      </c>
      <c r="Y53" s="5" t="s">
        <v>365</v>
      </c>
      <c r="Z53" s="5" t="s">
        <v>338</v>
      </c>
      <c r="AA53" s="6" t="n">
        <v>1848.66</v>
      </c>
    </row>
    <row r="54" customFormat="false" ht="64.5" hidden="false" customHeight="true" outlineLevel="0" collapsed="false">
      <c r="A54" s="2" t="s">
        <v>754</v>
      </c>
      <c r="B54" s="2" t="s">
        <v>173</v>
      </c>
      <c r="C54" s="2" t="s">
        <v>755</v>
      </c>
      <c r="D54" s="2" t="s">
        <v>696</v>
      </c>
      <c r="E54" s="2" t="s">
        <v>756</v>
      </c>
      <c r="F54" s="2"/>
      <c r="G54" s="2" t="s">
        <v>129</v>
      </c>
      <c r="H54" s="2" t="s">
        <v>184</v>
      </c>
      <c r="I54" s="4" t="n">
        <v>81.67</v>
      </c>
      <c r="J54" s="2" t="s">
        <v>449</v>
      </c>
      <c r="K54" s="2"/>
      <c r="L54" s="4" t="n">
        <v>81.67</v>
      </c>
      <c r="M54" s="11" t="s">
        <v>757</v>
      </c>
      <c r="N54" s="2"/>
      <c r="O54" s="2"/>
      <c r="P54" s="2"/>
      <c r="Q54" s="2"/>
      <c r="R54" s="2"/>
      <c r="S54" s="2" t="s">
        <v>758</v>
      </c>
      <c r="T54" s="2" t="s">
        <v>759</v>
      </c>
      <c r="U54" s="2" t="s">
        <v>760</v>
      </c>
      <c r="V54" s="2" t="s">
        <v>334</v>
      </c>
      <c r="W54" s="2" t="s">
        <v>89</v>
      </c>
      <c r="X54" s="2" t="s">
        <v>336</v>
      </c>
      <c r="Y54" s="2" t="s">
        <v>365</v>
      </c>
      <c r="Z54" s="2" t="s">
        <v>338</v>
      </c>
      <c r="AA54" s="4" t="n">
        <v>95.06</v>
      </c>
    </row>
    <row r="55" customFormat="false" ht="64.5" hidden="false" customHeight="true" outlineLevel="0" collapsed="false">
      <c r="A55" s="5" t="s">
        <v>175</v>
      </c>
      <c r="B55" s="5" t="s">
        <v>173</v>
      </c>
      <c r="C55" s="5" t="s">
        <v>755</v>
      </c>
      <c r="D55" s="5" t="s">
        <v>696</v>
      </c>
      <c r="E55" s="5" t="s">
        <v>761</v>
      </c>
      <c r="F55" s="5"/>
      <c r="G55" s="5" t="s">
        <v>129</v>
      </c>
      <c r="H55" s="5" t="s">
        <v>83</v>
      </c>
      <c r="I55" s="6" t="n">
        <v>164.46</v>
      </c>
      <c r="J55" s="5" t="s">
        <v>449</v>
      </c>
      <c r="K55" s="5"/>
      <c r="L55" s="6" t="n">
        <v>164.46</v>
      </c>
      <c r="M55" s="14" t="s">
        <v>177</v>
      </c>
      <c r="N55" s="5"/>
      <c r="O55" s="5"/>
      <c r="P55" s="5"/>
      <c r="Q55" s="5"/>
      <c r="R55" s="5"/>
      <c r="S55" s="5" t="s">
        <v>758</v>
      </c>
      <c r="T55" s="5" t="s">
        <v>762</v>
      </c>
      <c r="U55" s="5" t="s">
        <v>708</v>
      </c>
      <c r="V55" s="5" t="s">
        <v>334</v>
      </c>
      <c r="W55" s="5" t="s">
        <v>89</v>
      </c>
      <c r="X55" s="5" t="s">
        <v>336</v>
      </c>
      <c r="Y55" s="5" t="s">
        <v>365</v>
      </c>
      <c r="Z55" s="5" t="s">
        <v>338</v>
      </c>
      <c r="AA55" s="6" t="n">
        <v>164.46</v>
      </c>
    </row>
    <row r="56" customFormat="false" ht="64.5" hidden="false" customHeight="true" outlineLevel="0" collapsed="false">
      <c r="A56" s="2" t="s">
        <v>194</v>
      </c>
      <c r="B56" s="2" t="s">
        <v>192</v>
      </c>
      <c r="C56" s="2" t="s">
        <v>763</v>
      </c>
      <c r="D56" s="2" t="s">
        <v>764</v>
      </c>
      <c r="E56" s="2" t="s">
        <v>765</v>
      </c>
      <c r="F56" s="2"/>
      <c r="G56" s="2" t="s">
        <v>129</v>
      </c>
      <c r="H56" s="2" t="s">
        <v>184</v>
      </c>
      <c r="I56" s="4" t="n">
        <v>107.24</v>
      </c>
      <c r="J56" s="2" t="s">
        <v>449</v>
      </c>
      <c r="K56" s="2"/>
      <c r="L56" s="4" t="n">
        <v>107.24</v>
      </c>
      <c r="M56" s="11" t="s">
        <v>196</v>
      </c>
      <c r="N56" s="11" t="s">
        <v>766</v>
      </c>
      <c r="O56" s="2" t="s">
        <v>767</v>
      </c>
      <c r="P56" s="2" t="s">
        <v>767</v>
      </c>
      <c r="Q56" s="2" t="s">
        <v>768</v>
      </c>
      <c r="R56" s="2"/>
      <c r="S56" s="2" t="s">
        <v>758</v>
      </c>
      <c r="T56" s="2" t="s">
        <v>769</v>
      </c>
      <c r="U56" s="2" t="s">
        <v>708</v>
      </c>
      <c r="V56" s="2" t="s">
        <v>334</v>
      </c>
      <c r="W56" s="2" t="s">
        <v>89</v>
      </c>
      <c r="X56" s="2" t="s">
        <v>336</v>
      </c>
      <c r="Y56" s="2" t="s">
        <v>365</v>
      </c>
      <c r="Z56" s="2" t="s">
        <v>338</v>
      </c>
      <c r="AA56" s="4" t="n">
        <v>124.82</v>
      </c>
    </row>
    <row r="57" customFormat="false" ht="64.5" hidden="false" customHeight="true" outlineLevel="0" collapsed="false">
      <c r="A57" s="5" t="s">
        <v>199</v>
      </c>
      <c r="B57" s="5" t="s">
        <v>192</v>
      </c>
      <c r="C57" s="5" t="s">
        <v>770</v>
      </c>
      <c r="D57" s="5" t="s">
        <v>771</v>
      </c>
      <c r="E57" s="5" t="s">
        <v>772</v>
      </c>
      <c r="F57" s="5"/>
      <c r="G57" s="5" t="s">
        <v>129</v>
      </c>
      <c r="H57" s="5" t="s">
        <v>184</v>
      </c>
      <c r="I57" s="6" t="n">
        <v>55.1</v>
      </c>
      <c r="J57" s="5" t="s">
        <v>449</v>
      </c>
      <c r="K57" s="5"/>
      <c r="L57" s="6" t="n">
        <v>55.1</v>
      </c>
      <c r="M57" s="14" t="s">
        <v>201</v>
      </c>
      <c r="N57" s="5"/>
      <c r="O57" s="5"/>
      <c r="P57" s="5"/>
      <c r="Q57" s="5"/>
      <c r="R57" s="5"/>
      <c r="S57" s="5" t="s">
        <v>758</v>
      </c>
      <c r="T57" s="5" t="s">
        <v>773</v>
      </c>
      <c r="U57" s="5" t="s">
        <v>708</v>
      </c>
      <c r="V57" s="5" t="s">
        <v>334</v>
      </c>
      <c r="W57" s="5" t="s">
        <v>89</v>
      </c>
      <c r="X57" s="5" t="s">
        <v>336</v>
      </c>
      <c r="Y57" s="5" t="s">
        <v>365</v>
      </c>
      <c r="Z57" s="5" t="s">
        <v>338</v>
      </c>
      <c r="AA57" s="6" t="n">
        <v>64.13</v>
      </c>
    </row>
    <row r="58" customFormat="false" ht="64.5" hidden="false" customHeight="true" outlineLevel="0" collapsed="false">
      <c r="A58" s="2" t="s">
        <v>204</v>
      </c>
      <c r="B58" s="2" t="s">
        <v>192</v>
      </c>
      <c r="C58" s="2" t="s">
        <v>774</v>
      </c>
      <c r="D58" s="2" t="s">
        <v>764</v>
      </c>
      <c r="E58" s="2" t="s">
        <v>775</v>
      </c>
      <c r="F58" s="2"/>
      <c r="G58" s="2" t="s">
        <v>129</v>
      </c>
      <c r="H58" s="2" t="s">
        <v>184</v>
      </c>
      <c r="I58" s="4" t="n">
        <v>73.19</v>
      </c>
      <c r="J58" s="2" t="s">
        <v>449</v>
      </c>
      <c r="K58" s="2"/>
      <c r="L58" s="4" t="n">
        <v>73.19</v>
      </c>
      <c r="M58" s="11" t="s">
        <v>196</v>
      </c>
      <c r="N58" s="2"/>
      <c r="O58" s="2"/>
      <c r="P58" s="2"/>
      <c r="Q58" s="2"/>
      <c r="R58" s="2"/>
      <c r="S58" s="2" t="s">
        <v>758</v>
      </c>
      <c r="T58" s="2" t="s">
        <v>776</v>
      </c>
      <c r="U58" s="2" t="s">
        <v>708</v>
      </c>
      <c r="V58" s="2" t="s">
        <v>334</v>
      </c>
      <c r="W58" s="2" t="s">
        <v>89</v>
      </c>
      <c r="X58" s="2" t="s">
        <v>336</v>
      </c>
      <c r="Y58" s="2" t="s">
        <v>365</v>
      </c>
      <c r="Z58" s="2" t="s">
        <v>338</v>
      </c>
      <c r="AA58" s="4" t="n">
        <v>85.19</v>
      </c>
    </row>
    <row r="59" customFormat="false" ht="64.5" hidden="false" customHeight="true" outlineLevel="0" collapsed="false">
      <c r="A59" s="5" t="s">
        <v>181</v>
      </c>
      <c r="B59" s="5" t="s">
        <v>179</v>
      </c>
      <c r="C59" s="5" t="s">
        <v>777</v>
      </c>
      <c r="D59" s="5" t="s">
        <v>686</v>
      </c>
      <c r="E59" s="5" t="s">
        <v>778</v>
      </c>
      <c r="F59" s="5"/>
      <c r="G59" s="5" t="s">
        <v>129</v>
      </c>
      <c r="H59" s="5" t="s">
        <v>184</v>
      </c>
      <c r="I59" s="6" t="n">
        <v>224.42</v>
      </c>
      <c r="J59" s="5" t="s">
        <v>779</v>
      </c>
      <c r="K59" s="5"/>
      <c r="L59" s="5"/>
      <c r="M59" s="14" t="s">
        <v>183</v>
      </c>
      <c r="N59" s="14" t="s">
        <v>780</v>
      </c>
      <c r="O59" s="5"/>
      <c r="P59" s="5"/>
      <c r="Q59" s="5"/>
      <c r="R59" s="5" t="s">
        <v>781</v>
      </c>
      <c r="S59" s="5" t="s">
        <v>782</v>
      </c>
      <c r="T59" s="5" t="s">
        <v>783</v>
      </c>
      <c r="U59" s="5" t="s">
        <v>784</v>
      </c>
      <c r="V59" s="5" t="s">
        <v>334</v>
      </c>
      <c r="W59" s="5" t="s">
        <v>80</v>
      </c>
      <c r="X59" s="5" t="s">
        <v>336</v>
      </c>
      <c r="Y59" s="5" t="s">
        <v>365</v>
      </c>
      <c r="Z59" s="5" t="s">
        <v>338</v>
      </c>
      <c r="AA59" s="5"/>
    </row>
    <row r="60" customFormat="false" ht="64.5" hidden="false" customHeight="true" outlineLevel="0" collapsed="false">
      <c r="A60" s="2" t="s">
        <v>188</v>
      </c>
      <c r="B60" s="2" t="s">
        <v>186</v>
      </c>
      <c r="C60" s="2" t="s">
        <v>785</v>
      </c>
      <c r="D60" s="2" t="s">
        <v>786</v>
      </c>
      <c r="E60" s="2" t="s">
        <v>787</v>
      </c>
      <c r="F60" s="2"/>
      <c r="G60" s="2" t="s">
        <v>129</v>
      </c>
      <c r="H60" s="2" t="s">
        <v>184</v>
      </c>
      <c r="I60" s="4" t="n">
        <v>162</v>
      </c>
      <c r="J60" s="2" t="s">
        <v>449</v>
      </c>
      <c r="K60" s="2"/>
      <c r="L60" s="4" t="n">
        <v>162</v>
      </c>
      <c r="M60" s="11" t="s">
        <v>190</v>
      </c>
      <c r="N60" s="11" t="s">
        <v>788</v>
      </c>
      <c r="O60" s="2"/>
      <c r="P60" s="2"/>
      <c r="Q60" s="2"/>
      <c r="R60" s="2"/>
      <c r="S60" s="2" t="s">
        <v>758</v>
      </c>
      <c r="T60" s="2" t="s">
        <v>789</v>
      </c>
      <c r="U60" s="2" t="s">
        <v>708</v>
      </c>
      <c r="V60" s="2" t="s">
        <v>334</v>
      </c>
      <c r="W60" s="2" t="s">
        <v>89</v>
      </c>
      <c r="X60" s="2" t="s">
        <v>336</v>
      </c>
      <c r="Y60" s="2" t="s">
        <v>365</v>
      </c>
      <c r="Z60" s="2" t="s">
        <v>338</v>
      </c>
      <c r="AA60" s="4" t="n">
        <v>188.56</v>
      </c>
    </row>
    <row r="61" customFormat="false" ht="64.5" hidden="false" customHeight="true" outlineLevel="0" collapsed="false">
      <c r="A61" s="5" t="s">
        <v>790</v>
      </c>
      <c r="B61" s="5" t="s">
        <v>213</v>
      </c>
      <c r="C61" s="5" t="s">
        <v>791</v>
      </c>
      <c r="D61" s="5" t="s">
        <v>696</v>
      </c>
      <c r="E61" s="5" t="s">
        <v>792</v>
      </c>
      <c r="F61" s="5"/>
      <c r="G61" s="5" t="s">
        <v>129</v>
      </c>
      <c r="H61" s="5" t="s">
        <v>184</v>
      </c>
      <c r="I61" s="6" t="n">
        <v>61.67</v>
      </c>
      <c r="J61" s="5" t="s">
        <v>449</v>
      </c>
      <c r="K61" s="5"/>
      <c r="L61" s="6" t="n">
        <v>61.67</v>
      </c>
      <c r="M61" s="14" t="s">
        <v>217</v>
      </c>
      <c r="N61" s="5"/>
      <c r="O61" s="5"/>
      <c r="P61" s="5"/>
      <c r="Q61" s="5"/>
      <c r="R61" s="5"/>
      <c r="S61" s="5" t="s">
        <v>758</v>
      </c>
      <c r="T61" s="5" t="s">
        <v>793</v>
      </c>
      <c r="U61" s="5" t="s">
        <v>708</v>
      </c>
      <c r="V61" s="5" t="s">
        <v>334</v>
      </c>
      <c r="W61" s="5" t="s">
        <v>89</v>
      </c>
      <c r="X61" s="5" t="s">
        <v>336</v>
      </c>
      <c r="Y61" s="5" t="s">
        <v>365</v>
      </c>
      <c r="Z61" s="5" t="s">
        <v>338</v>
      </c>
      <c r="AA61" s="6" t="n">
        <v>71.78</v>
      </c>
    </row>
    <row r="62" customFormat="false" ht="64.5" hidden="false" customHeight="true" outlineLevel="0" collapsed="false">
      <c r="A62" s="2" t="s">
        <v>215</v>
      </c>
      <c r="B62" s="2" t="s">
        <v>213</v>
      </c>
      <c r="C62" s="2" t="s">
        <v>791</v>
      </c>
      <c r="D62" s="2" t="s">
        <v>696</v>
      </c>
      <c r="E62" s="2" t="s">
        <v>794</v>
      </c>
      <c r="F62" s="2"/>
      <c r="G62" s="2" t="s">
        <v>129</v>
      </c>
      <c r="H62" s="2" t="s">
        <v>184</v>
      </c>
      <c r="I62" s="4" t="n">
        <v>161.25</v>
      </c>
      <c r="J62" s="2" t="s">
        <v>449</v>
      </c>
      <c r="K62" s="2"/>
      <c r="L62" s="4" t="n">
        <v>161.25</v>
      </c>
      <c r="M62" s="11" t="s">
        <v>217</v>
      </c>
      <c r="N62" s="2"/>
      <c r="O62" s="2"/>
      <c r="P62" s="2"/>
      <c r="Q62" s="2"/>
      <c r="R62" s="2"/>
      <c r="S62" s="2" t="s">
        <v>758</v>
      </c>
      <c r="T62" s="2" t="s">
        <v>795</v>
      </c>
      <c r="U62" s="2" t="s">
        <v>708</v>
      </c>
      <c r="V62" s="2" t="s">
        <v>334</v>
      </c>
      <c r="W62" s="2" t="s">
        <v>89</v>
      </c>
      <c r="X62" s="2" t="s">
        <v>336</v>
      </c>
      <c r="Y62" s="2" t="s">
        <v>365</v>
      </c>
      <c r="Z62" s="2" t="s">
        <v>338</v>
      </c>
      <c r="AA62" s="4" t="n">
        <v>187.69</v>
      </c>
    </row>
    <row r="63" customFormat="false" ht="64.5" hidden="false" customHeight="true" outlineLevel="0" collapsed="false">
      <c r="A63" s="5" t="s">
        <v>221</v>
      </c>
      <c r="B63" s="5" t="s">
        <v>219</v>
      </c>
      <c r="C63" s="5" t="s">
        <v>796</v>
      </c>
      <c r="D63" s="5" t="s">
        <v>686</v>
      </c>
      <c r="E63" s="5" t="s">
        <v>797</v>
      </c>
      <c r="F63" s="5"/>
      <c r="G63" s="5" t="s">
        <v>129</v>
      </c>
      <c r="H63" s="5" t="s">
        <v>184</v>
      </c>
      <c r="I63" s="6" t="n">
        <v>141.63</v>
      </c>
      <c r="J63" s="5" t="s">
        <v>449</v>
      </c>
      <c r="K63" s="5"/>
      <c r="L63" s="6" t="n">
        <v>141.63</v>
      </c>
      <c r="M63" s="14" t="s">
        <v>223</v>
      </c>
      <c r="N63" s="5"/>
      <c r="O63" s="5"/>
      <c r="P63" s="5"/>
      <c r="Q63" s="5"/>
      <c r="R63" s="5"/>
      <c r="S63" s="5" t="s">
        <v>758</v>
      </c>
      <c r="T63" s="5" t="s">
        <v>798</v>
      </c>
      <c r="U63" s="5" t="s">
        <v>799</v>
      </c>
      <c r="V63" s="5" t="s">
        <v>334</v>
      </c>
      <c r="W63" s="5" t="s">
        <v>89</v>
      </c>
      <c r="X63" s="5" t="s">
        <v>336</v>
      </c>
      <c r="Y63" s="5" t="s">
        <v>365</v>
      </c>
      <c r="Z63" s="5" t="s">
        <v>338</v>
      </c>
      <c r="AA63" s="6" t="n">
        <v>164.85</v>
      </c>
    </row>
    <row r="64" customFormat="false" ht="64.5" hidden="false" customHeight="true" outlineLevel="0" collapsed="false">
      <c r="A64" s="2" t="s">
        <v>209</v>
      </c>
      <c r="B64" s="2" t="s">
        <v>207</v>
      </c>
      <c r="C64" s="2" t="s">
        <v>800</v>
      </c>
      <c r="D64" s="2" t="s">
        <v>801</v>
      </c>
      <c r="E64" s="2" t="s">
        <v>802</v>
      </c>
      <c r="F64" s="2"/>
      <c r="G64" s="2" t="s">
        <v>129</v>
      </c>
      <c r="H64" s="2" t="s">
        <v>83</v>
      </c>
      <c r="I64" s="4" t="n">
        <v>1950</v>
      </c>
      <c r="J64" s="2" t="s">
        <v>779</v>
      </c>
      <c r="K64" s="2"/>
      <c r="L64" s="2"/>
      <c r="M64" s="11" t="s">
        <v>211</v>
      </c>
      <c r="N64" s="11" t="s">
        <v>803</v>
      </c>
      <c r="O64" s="2"/>
      <c r="P64" s="2"/>
      <c r="Q64" s="2"/>
      <c r="R64" s="2"/>
      <c r="S64" s="2" t="s">
        <v>804</v>
      </c>
      <c r="T64" s="2" t="s">
        <v>805</v>
      </c>
      <c r="U64" s="2" t="s">
        <v>708</v>
      </c>
      <c r="V64" s="2" t="s">
        <v>334</v>
      </c>
      <c r="W64" s="2" t="s">
        <v>80</v>
      </c>
      <c r="X64" s="2" t="s">
        <v>336</v>
      </c>
      <c r="Y64" s="2" t="s">
        <v>365</v>
      </c>
      <c r="Z64" s="2" t="s">
        <v>338</v>
      </c>
      <c r="AA64" s="2"/>
    </row>
    <row r="65" customFormat="false" ht="64.5" hidden="false" customHeight="true" outlineLevel="0" collapsed="false">
      <c r="A65" s="5" t="s">
        <v>806</v>
      </c>
      <c r="B65" s="5" t="s">
        <v>253</v>
      </c>
      <c r="C65" s="5" t="s">
        <v>807</v>
      </c>
      <c r="D65" s="5" t="s">
        <v>648</v>
      </c>
      <c r="E65" s="5" t="s">
        <v>808</v>
      </c>
      <c r="F65" s="5"/>
      <c r="G65" s="5" t="s">
        <v>129</v>
      </c>
      <c r="H65" s="5" t="s">
        <v>83</v>
      </c>
      <c r="I65" s="6" t="n">
        <v>2007.16</v>
      </c>
      <c r="J65" s="5" t="s">
        <v>809</v>
      </c>
      <c r="K65" s="5"/>
      <c r="L65" s="5"/>
      <c r="M65" s="14" t="s">
        <v>810</v>
      </c>
      <c r="N65" s="5"/>
      <c r="O65" s="5"/>
      <c r="P65" s="5"/>
      <c r="Q65" s="5"/>
      <c r="R65" s="5"/>
      <c r="S65" s="5" t="s">
        <v>811</v>
      </c>
      <c r="T65" s="5" t="s">
        <v>812</v>
      </c>
      <c r="U65" s="5" t="s">
        <v>708</v>
      </c>
      <c r="V65" s="5" t="s">
        <v>334</v>
      </c>
      <c r="W65" s="5" t="s">
        <v>80</v>
      </c>
      <c r="X65" s="5" t="s">
        <v>336</v>
      </c>
      <c r="Y65" s="5" t="s">
        <v>365</v>
      </c>
      <c r="Z65" s="5" t="s">
        <v>338</v>
      </c>
      <c r="AA65" s="5"/>
    </row>
    <row r="66" customFormat="false" ht="64.5" hidden="false" customHeight="true" outlineLevel="0" collapsed="false">
      <c r="A66" s="2" t="s">
        <v>813</v>
      </c>
      <c r="B66" s="2" t="s">
        <v>253</v>
      </c>
      <c r="C66" s="2" t="s">
        <v>807</v>
      </c>
      <c r="D66" s="2" t="s">
        <v>648</v>
      </c>
      <c r="E66" s="2" t="s">
        <v>814</v>
      </c>
      <c r="F66" s="2"/>
      <c r="G66" s="2" t="s">
        <v>129</v>
      </c>
      <c r="H66" s="2" t="s">
        <v>184</v>
      </c>
      <c r="I66" s="4" t="n">
        <v>1995.49</v>
      </c>
      <c r="J66" s="2" t="s">
        <v>449</v>
      </c>
      <c r="K66" s="2"/>
      <c r="L66" s="4" t="n">
        <v>1995.49</v>
      </c>
      <c r="M66" s="11" t="s">
        <v>815</v>
      </c>
      <c r="N66" s="11" t="s">
        <v>816</v>
      </c>
      <c r="O66" s="2"/>
      <c r="P66" s="2"/>
      <c r="Q66" s="2"/>
      <c r="R66" s="2"/>
      <c r="S66" s="2" t="s">
        <v>817</v>
      </c>
      <c r="T66" s="2" t="s">
        <v>818</v>
      </c>
      <c r="U66" s="2" t="s">
        <v>819</v>
      </c>
      <c r="V66" s="2" t="s">
        <v>334</v>
      </c>
      <c r="W66" s="2" t="s">
        <v>89</v>
      </c>
      <c r="X66" s="2" t="s">
        <v>336</v>
      </c>
      <c r="Y66" s="2" t="s">
        <v>365</v>
      </c>
      <c r="Z66" s="2" t="s">
        <v>338</v>
      </c>
      <c r="AA66" s="4" t="n">
        <v>2322.63</v>
      </c>
    </row>
    <row r="67" customFormat="false" ht="64.5" hidden="false" customHeight="true" outlineLevel="0" collapsed="false">
      <c r="A67" s="5" t="s">
        <v>77</v>
      </c>
      <c r="B67" s="5" t="s">
        <v>73</v>
      </c>
      <c r="C67" s="5" t="s">
        <v>324</v>
      </c>
      <c r="D67" s="5" t="s">
        <v>820</v>
      </c>
      <c r="E67" s="5" t="s">
        <v>821</v>
      </c>
      <c r="F67" s="6" t="n">
        <v>1</v>
      </c>
      <c r="G67" s="5" t="s">
        <v>75</v>
      </c>
      <c r="H67" s="5" t="s">
        <v>83</v>
      </c>
      <c r="I67" s="6" t="n">
        <v>58842</v>
      </c>
      <c r="J67" s="5" t="s">
        <v>822</v>
      </c>
      <c r="K67" s="5"/>
      <c r="L67" s="5"/>
      <c r="M67" s="14" t="s">
        <v>82</v>
      </c>
      <c r="N67" s="14" t="s">
        <v>823</v>
      </c>
      <c r="O67" s="5" t="s">
        <v>824</v>
      </c>
      <c r="P67" s="5" t="s">
        <v>825</v>
      </c>
      <c r="Q67" s="5" t="s">
        <v>826</v>
      </c>
      <c r="R67" s="5" t="s">
        <v>827</v>
      </c>
      <c r="S67" s="5" t="s">
        <v>828</v>
      </c>
      <c r="T67" s="5" t="s">
        <v>829</v>
      </c>
      <c r="U67" s="5" t="s">
        <v>830</v>
      </c>
      <c r="V67" s="5" t="s">
        <v>334</v>
      </c>
      <c r="W67" s="5" t="s">
        <v>80</v>
      </c>
      <c r="X67" s="5" t="s">
        <v>336</v>
      </c>
      <c r="Y67" s="5" t="s">
        <v>365</v>
      </c>
      <c r="Z67" s="5" t="s">
        <v>831</v>
      </c>
      <c r="AA67" s="5"/>
    </row>
    <row r="68" customFormat="false" ht="64.5" hidden="false" customHeight="true" outlineLevel="0" collapsed="false">
      <c r="A68" s="2" t="s">
        <v>832</v>
      </c>
      <c r="B68" s="2" t="s">
        <v>833</v>
      </c>
      <c r="C68" s="2" t="s">
        <v>834</v>
      </c>
      <c r="D68" s="2" t="s">
        <v>820</v>
      </c>
      <c r="E68" s="2" t="s">
        <v>835</v>
      </c>
      <c r="F68" s="4" t="n">
        <v>1</v>
      </c>
      <c r="G68" s="2" t="s">
        <v>836</v>
      </c>
      <c r="H68" s="2" t="s">
        <v>83</v>
      </c>
      <c r="I68" s="4" t="n">
        <v>21675</v>
      </c>
      <c r="J68" s="2" t="s">
        <v>837</v>
      </c>
      <c r="K68" s="2"/>
      <c r="L68" s="4" t="n">
        <v>21675</v>
      </c>
      <c r="M68" s="11" t="s">
        <v>838</v>
      </c>
      <c r="N68" s="11" t="s">
        <v>839</v>
      </c>
      <c r="O68" s="2"/>
      <c r="P68" s="2"/>
      <c r="Q68" s="2"/>
      <c r="R68" s="2" t="s">
        <v>840</v>
      </c>
      <c r="S68" s="2" t="s">
        <v>841</v>
      </c>
      <c r="T68" s="2" t="s">
        <v>842</v>
      </c>
      <c r="U68" s="2" t="s">
        <v>843</v>
      </c>
      <c r="V68" s="2" t="s">
        <v>334</v>
      </c>
      <c r="W68" s="2" t="s">
        <v>89</v>
      </c>
      <c r="X68" s="2" t="s">
        <v>336</v>
      </c>
      <c r="Y68" s="2" t="s">
        <v>365</v>
      </c>
      <c r="Z68" s="2" t="s">
        <v>831</v>
      </c>
      <c r="AA68" s="4" t="n">
        <v>21675</v>
      </c>
    </row>
    <row r="69" customFormat="false" ht="64.5" hidden="false" customHeight="true" outlineLevel="0" collapsed="false">
      <c r="A69" s="5" t="s">
        <v>844</v>
      </c>
      <c r="B69" s="5" t="s">
        <v>73</v>
      </c>
      <c r="C69" s="5" t="s">
        <v>324</v>
      </c>
      <c r="D69" s="5" t="s">
        <v>820</v>
      </c>
      <c r="E69" s="5" t="s">
        <v>845</v>
      </c>
      <c r="F69" s="6" t="n">
        <v>1</v>
      </c>
      <c r="G69" s="5" t="s">
        <v>75</v>
      </c>
      <c r="H69" s="5" t="s">
        <v>83</v>
      </c>
      <c r="I69" s="5"/>
      <c r="J69" s="5" t="s">
        <v>355</v>
      </c>
      <c r="K69" s="5"/>
      <c r="L69" s="5"/>
      <c r="M69" s="5"/>
      <c r="N69" s="14" t="s">
        <v>846</v>
      </c>
      <c r="O69" s="5" t="s">
        <v>847</v>
      </c>
      <c r="P69" s="5" t="s">
        <v>848</v>
      </c>
      <c r="Q69" s="5" t="s">
        <v>825</v>
      </c>
      <c r="R69" s="5" t="s">
        <v>849</v>
      </c>
      <c r="S69" s="5" t="s">
        <v>850</v>
      </c>
      <c r="T69" s="5" t="s">
        <v>851</v>
      </c>
      <c r="U69" s="5" t="s">
        <v>852</v>
      </c>
      <c r="V69" s="5" t="s">
        <v>334</v>
      </c>
      <c r="W69" s="5" t="s">
        <v>80</v>
      </c>
      <c r="X69" s="5" t="s">
        <v>336</v>
      </c>
      <c r="Y69" s="5" t="s">
        <v>365</v>
      </c>
      <c r="Z69" s="5" t="s">
        <v>831</v>
      </c>
      <c r="AA69" s="5"/>
    </row>
    <row r="70" customFormat="false" ht="64.5" hidden="false" customHeight="true" outlineLevel="0" collapsed="false">
      <c r="A70" s="2" t="s">
        <v>853</v>
      </c>
      <c r="B70" s="2" t="s">
        <v>85</v>
      </c>
      <c r="C70" s="2" t="s">
        <v>367</v>
      </c>
      <c r="D70" s="2" t="s">
        <v>368</v>
      </c>
      <c r="E70" s="2" t="s">
        <v>854</v>
      </c>
      <c r="F70" s="4" t="n">
        <v>2</v>
      </c>
      <c r="G70" s="2" t="s">
        <v>75</v>
      </c>
      <c r="H70" s="2" t="s">
        <v>184</v>
      </c>
      <c r="I70" s="4" t="n">
        <v>16830</v>
      </c>
      <c r="J70" s="2" t="s">
        <v>855</v>
      </c>
      <c r="K70" s="2" t="s">
        <v>371</v>
      </c>
      <c r="L70" s="4" t="n">
        <v>14025</v>
      </c>
      <c r="M70" s="11" t="s">
        <v>372</v>
      </c>
      <c r="N70" s="11" t="s">
        <v>856</v>
      </c>
      <c r="O70" s="2" t="s">
        <v>374</v>
      </c>
      <c r="P70" s="2" t="s">
        <v>375</v>
      </c>
      <c r="Q70" s="2" t="s">
        <v>376</v>
      </c>
      <c r="R70" s="2" t="s">
        <v>377</v>
      </c>
      <c r="S70" s="2" t="s">
        <v>857</v>
      </c>
      <c r="T70" s="2" t="s">
        <v>858</v>
      </c>
      <c r="U70" s="2" t="s">
        <v>859</v>
      </c>
      <c r="V70" s="2" t="s">
        <v>334</v>
      </c>
      <c r="W70" s="2" t="s">
        <v>89</v>
      </c>
      <c r="X70" s="2" t="s">
        <v>336</v>
      </c>
      <c r="Y70" s="2" t="s">
        <v>365</v>
      </c>
      <c r="Z70" s="2" t="s">
        <v>860</v>
      </c>
      <c r="AA70" s="4" t="n">
        <v>16324.27</v>
      </c>
    </row>
    <row r="71" customFormat="false" ht="64.5" hidden="false" customHeight="true" outlineLevel="0" collapsed="false">
      <c r="A71" s="5" t="s">
        <v>87</v>
      </c>
      <c r="B71" s="5" t="s">
        <v>85</v>
      </c>
      <c r="C71" s="5" t="s">
        <v>367</v>
      </c>
      <c r="D71" s="5" t="s">
        <v>368</v>
      </c>
      <c r="E71" s="5" t="s">
        <v>861</v>
      </c>
      <c r="F71" s="6" t="n">
        <v>2</v>
      </c>
      <c r="G71" s="5" t="s">
        <v>75</v>
      </c>
      <c r="H71" s="5" t="s">
        <v>83</v>
      </c>
      <c r="I71" s="6" t="n">
        <v>17451.22</v>
      </c>
      <c r="J71" s="5" t="s">
        <v>449</v>
      </c>
      <c r="K71" s="5"/>
      <c r="L71" s="6" t="n">
        <v>17451.22</v>
      </c>
      <c r="M71" s="14" t="s">
        <v>91</v>
      </c>
      <c r="N71" s="14" t="s">
        <v>856</v>
      </c>
      <c r="O71" s="5" t="s">
        <v>374</v>
      </c>
      <c r="P71" s="5" t="s">
        <v>375</v>
      </c>
      <c r="Q71" s="5" t="s">
        <v>376</v>
      </c>
      <c r="R71" s="5" t="s">
        <v>377</v>
      </c>
      <c r="S71" s="5" t="s">
        <v>862</v>
      </c>
      <c r="T71" s="5" t="s">
        <v>863</v>
      </c>
      <c r="U71" s="5" t="s">
        <v>864</v>
      </c>
      <c r="V71" s="5" t="s">
        <v>334</v>
      </c>
      <c r="W71" s="5" t="s">
        <v>89</v>
      </c>
      <c r="X71" s="5" t="s">
        <v>336</v>
      </c>
      <c r="Y71" s="5" t="s">
        <v>365</v>
      </c>
      <c r="Z71" s="5" t="s">
        <v>860</v>
      </c>
      <c r="AA71" s="6" t="n">
        <v>17451.22</v>
      </c>
    </row>
    <row r="72" customFormat="false" ht="64.5" hidden="false" customHeight="true" outlineLevel="0" collapsed="false">
      <c r="A72" s="2" t="s">
        <v>865</v>
      </c>
      <c r="B72" s="2" t="s">
        <v>85</v>
      </c>
      <c r="C72" s="2" t="s">
        <v>367</v>
      </c>
      <c r="D72" s="2" t="s">
        <v>368</v>
      </c>
      <c r="E72" s="2" t="s">
        <v>866</v>
      </c>
      <c r="F72" s="4" t="n">
        <v>2</v>
      </c>
      <c r="G72" s="2" t="s">
        <v>75</v>
      </c>
      <c r="H72" s="2" t="s">
        <v>83</v>
      </c>
      <c r="I72" s="4" t="n">
        <v>20128.46</v>
      </c>
      <c r="J72" s="2" t="s">
        <v>449</v>
      </c>
      <c r="K72" s="2"/>
      <c r="L72" s="4" t="n">
        <v>20128.46</v>
      </c>
      <c r="M72" s="11" t="s">
        <v>867</v>
      </c>
      <c r="N72" s="11" t="s">
        <v>868</v>
      </c>
      <c r="O72" s="2" t="s">
        <v>869</v>
      </c>
      <c r="P72" s="2" t="s">
        <v>870</v>
      </c>
      <c r="Q72" s="2" t="s">
        <v>871</v>
      </c>
      <c r="R72" s="2" t="s">
        <v>497</v>
      </c>
      <c r="S72" s="2" t="s">
        <v>872</v>
      </c>
      <c r="T72" s="2" t="s">
        <v>873</v>
      </c>
      <c r="U72" s="2" t="s">
        <v>864</v>
      </c>
      <c r="V72" s="2" t="s">
        <v>334</v>
      </c>
      <c r="W72" s="2" t="s">
        <v>89</v>
      </c>
      <c r="X72" s="2" t="s">
        <v>336</v>
      </c>
      <c r="Y72" s="2" t="s">
        <v>365</v>
      </c>
      <c r="Z72" s="2" t="s">
        <v>860</v>
      </c>
      <c r="AA72" s="4" t="n">
        <v>20128.46</v>
      </c>
    </row>
  </sheetData>
  <autoFilter ref="A1:AA72"/>
  <hyperlinks>
    <hyperlink ref="M2" r:id="rId1" display="https://www.dbmoteurs.fr/sites/default/files/Volvo-Penta-tarifs-prix-achat-moteurs-2023-DB-Moteurs-motorisation-marine-bateau-plaisance.pdf"/>
    <hyperlink ref="N2" r:id="rId2" display="https://www.dbmoteurs.fr/sites/default/files/Moteur-Volvo-Penta-D4-270-300-320-fiche-commerciale-2021-47711815-en.pdf"/>
    <hyperlink ref="M3" r:id="rId3" display="https://www.dbmoteurs.fr/sites/default/files/Volvo-Penta-tarifs-prix-achat-moteurs-2023-DB-Moteurs-motorisation-marine-bateau-plaisance.pdf"/>
    <hyperlink ref="N3" r:id="rId4" display="https://www.dbmoteurs.fr/sites/default/files/Moteur-Volvo-Penta-D4-270-300-320-fiche-commerciale-2021-47711815-en.pdf"/>
    <hyperlink ref="M4" r:id="rId5" display="https://www.dbmoteurs.fr/sites/default/files/Volvo-Penta-tarifs-prix-achat-moteurs-2023-DB-Moteurs-motorisation-marine-bateau-plaisance.pdf"/>
    <hyperlink ref="N4" r:id="rId6" display="https://www.dbmoteurs.fr/sites/default/files/Moteur-Volvo-Penta-D6-300-340-380-fiche-commerciale-brochure-2021-47711891-fr-dbmoteurs.pdf"/>
    <hyperlink ref="M5" r:id="rId7" display="https://www.etruck.fi/shop-1"/>
    <hyperlink ref="N5" r:id="rId8" display="https://www.fptindustrial.com/-/media/FPT/Brochures/Engines/MARINE/COMMERCIAL/Marine_Commercial_FR_2026.pdf?rev=-1"/>
    <hyperlink ref="M6" r:id="rId9" display="https://www.jpcdirect.com/product/fischer-panda-12000x-generator/"/>
    <hyperlink ref="N6" r:id="rId10" display="https://www.onefischerpanda.com/marine/marine-generators/xseries-generators/panda-12000x-pms/"/>
    <hyperlink ref="M7" r:id="rId11" display="https://www.jpcdirect.com/product/kohler-12-kilowatt-generator/"/>
    <hyperlink ref="N7" r:id="rId12" display="https://techcomm.rehlko.com/techcomm/pdf/g2186.pdf"/>
    <hyperlink ref="M8" r:id="rId13" display="https://www.manelservice.com/it/gruppi-elettrogeni-marini/3925-vte-paguro-12000-v-ap12023050m0.html"/>
    <hyperlink ref="N8" r:id="rId14" display="https://www.volpitecno.com/portfolio/paguro-12000-v-10-kw-2000-%C3%B7-3000-g-1/"/>
    <hyperlink ref="M9" r:id="rId15" display="https://mmarineonline.com/products/kohler-marine-diesel-generator-24v-12efkozd-ss-50hz-with-sound-shield"/>
    <hyperlink ref="N9" r:id="rId16" display="https://techcomm.rehlko.com/techcomm/pdf/g2186.pdf"/>
    <hyperlink ref="M10" r:id="rId17" display="https://www.svb.de/de/victron-wechselrichter-ladegeraet-multiplus-ii-24-v-3000-va-70-a.html"/>
    <hyperlink ref="N10" r:id="rId18" display="https://www.victronenergy.com/media/pg/MultiPlus-II_230V/en/technical-specifications-mp-ii-230v.html"/>
    <hyperlink ref="M11" r:id="rId19" display="https://www.svb.de/de/victron-wechselrichter-ladegeraet-multiplus-ii-gx-24-v-3000-va-70-a.html"/>
    <hyperlink ref="N11" r:id="rId20" display="https://www.victronenergy.com/media/pg/MultiPlus-II_GX/en/technical-specifications-mp-ii-gx-230v.html"/>
    <hyperlink ref="M12" r:id="rId21" display="https://www.svb.de/de/mastervolt-wechselrichter-ladegeraet-combimaster-24-v-3000-va-60-a.html?question_sort=oldest"/>
    <hyperlink ref="N12" r:id="rId22" display="https://www.mastervolt.com/products/combimaster/combimaster-24-3000-60-230-v/"/>
    <hyperlink ref="M13" r:id="rId23" display="https://www.svb24.com/en/p/victron-isolation-transformer-3600-w-115-230-v.html"/>
    <hyperlink ref="N13" r:id="rId24" display="https://www.victronenergy.com/upload/documents/Datasheet-Isolation-Transformers-EN.pdf"/>
    <hyperlink ref="M14" r:id="rId25" display="https://www.svb24.com/en/mastervolt-mass-gi-3-5-isolation-transformer-16-a-3-5-kw.html"/>
    <hyperlink ref="N14" r:id="rId26" display="https://www.mastervolt.com/products/mass-gi/mass-gi-35-kva-16a-lightweight/"/>
    <hyperlink ref="M15" r:id="rId27" display="https://www.hansenautic.de/36377/wp-gi-compact-galvanic-isolation-transformator-230v-16a-120v-32a/"/>
    <hyperlink ref="N15" r:id="rId28" display="https://www.whisperpower.com/gi-3600-compact-galvanic-isolation-transformer"/>
    <hyperlink ref="M16" r:id="rId29" display="https://online-batterien.de/a/exide-er550-dual-versorgungsbatterie-starterbatterie-12v-115ah-550wh/400440"/>
    <hyperlink ref="N16" r:id="rId30" display="https://www.exidegroup.com/en/document/ml-brochure-2022"/>
    <hyperlink ref="M17" r:id="rId31" display="https://www.nothnagel-marine.de/product_info.php?info=p3857_aquamot---power-battery--dc-battery-als12115-12v-115ah-agm-deep-cycle-battery.html&amp;language=en"/>
    <hyperlink ref="N17" r:id="rId32" display="https://aquamot.at/wp-content/uploads/2018/02/Die-Batterie-Aquamot.pdf"/>
    <hyperlink ref="M18" r:id="rId33" display="https://ab-marineservice.com/product/12v-115ah-agm-telecom-batt-m8/"/>
    <hyperlink ref="N18" r:id="rId34" display="https://www.victronenergy.com/upload/documents/Datasheet-Telecom-batteries-EN.pdf"/>
    <hyperlink ref="M19" r:id="rId35" display="https://www.dynastart.nl/lyn060102000-lynx-distributor-m8"/>
    <hyperlink ref="N19" r:id="rId36" display="https://www.victronenergy.com/media/pg/Lynx_Distributor/en/technical-specifications-lynx-distributor.html"/>
    <hyperlink ref="M20" r:id="rId37" display="https://www.svb24.com/en/philippi-stv207-power-distribution-panel-configurable.html"/>
    <hyperlink ref="N20" r:id="rId38" display="https://www.philippi-online.de/en/collections/serie_200-marine/products/stv-207"/>
    <hyperlink ref="M21" r:id="rId39" display="https://www.svb24.com/en/philippi-lae-113-shore-connection-unit.html"/>
    <hyperlink ref="N21" r:id="rId40" display="https://www.philippi-online.de/en/products/lae-113"/>
    <hyperlink ref="M22" r:id="rId41" display="https://www.svb24.com/en/blue-sea-hd-remote-battery-switch-24v.html"/>
    <hyperlink ref="N22" r:id="rId42" display="https://www.bluesea.com/products/7702/ML-RBS_Remote_Battery_Switch_with_Manual_Control_-_24V_DC_500A"/>
    <hyperlink ref="M23" r:id="rId43" display="https://www.svb24.com/en/blue-sea-universal-solenoid-switch-24-v.html"/>
    <hyperlink ref="N23" r:id="rId44" display="https://d2pyqm2yd3fw2i.cloudfront.net/files/resources/instructions/990180170-006.pdf"/>
    <hyperlink ref="M27" r:id="rId45" display="https://www.aquatec-watermaker.de/wassermacher-produkt-ac150-ac240.html"/>
    <hyperlink ref="N27" r:id="rId46" display="https://www.aquatec-watermaker.de/wassermacher-produkt-ac150-ac240.html"/>
    <hyperlink ref="M28" r:id="rId47" display="https://mar-nautic.com/schenker-watermaker-zen-150"/>
    <hyperlink ref="N28" r:id="rId48" display="https://schenkerwatermakers.com/wp-content/uploads/2025/03/ZEN150_datasheet_v4.pdf"/>
    <hyperlink ref="M29" r:id="rId49" display="https://www.manelservice.com/en/marine-desalination-systems/17102-osmosea-new12-150c-nautical-watermaker-150-lth.html"/>
    <hyperlink ref="N29" r:id="rId50" display="https://osmosea.it/en/new-12/"/>
    <hyperlink ref="M30" r:id="rId51" display="https://www.comptoirnautique.com/groupe-d-eau-a-pressostat/53022-cem-elettromeccanica-autoclave-cem-vase-expansion-inox-20l-24v-50-l-min.html"/>
    <hyperlink ref="N30" r:id="rId52" display="https://cempumps.com/wp-content/uploads/2024/10/Autoclavi_20L-20X.pdf"/>
    <hyperlink ref="M31" r:id="rId53" display="https://www.comptoirnautique.com/groupe-d-eau-hydrophore/22947-gianneschi-groupe-d-eau-ecoinox-1-avec-reservoir-20l-24v-45lmin-7024.html"/>
    <hyperlink ref="N31" r:id="rId54" display="https://www.gianneschipumps.com/GIANNESCHI_Brochure-web.pdf"/>
    <hyperlink ref="M32" r:id="rId55" display="https://www.enag.fr/english/wp-content/uploads/sites/5/2022/11/FC-GH-EN-C.pdf"/>
    <hyperlink ref="N32" r:id="rId56" display="https://www.enag.fr/english/wp-content/uploads/sites/5/2022/11/FC-GH-EN-C.pdf"/>
    <hyperlink ref="M33" r:id="rId57" display="https://cempumps.com/wp-content/uploads/2024/10/Autoclavi_20L-20X.pdf"/>
    <hyperlink ref="N33" r:id="rId58" display="https://cempumps.com/wp-content/uploads/2024/10/Autoclavi_20L-20X.pdf"/>
    <hyperlink ref="M34" r:id="rId59" display="https://www.tyboat.com/achat/P-57388-gianneschi-groupe-d-eau-ecoinox2-3-5-bars-0-45-kw-55-litres-minute-reservoir-20-litres-230-volts.html"/>
    <hyperlink ref="N34" r:id="rId60" display="https://www.gianneschipumps.com/GIANNESCHI_Brochure-web.pdf"/>
    <hyperlink ref="M35" r:id="rId61" display="https://www.enag.fr/english/wp-content/uploads/sites/5/2022/11/FC-GH-EN-C.pdf"/>
    <hyperlink ref="N35" r:id="rId62" display="https://www.enag.fr/english/wp-content/uploads/sites/5/2022/11/FC-GH-EN-C.pdf"/>
    <hyperlink ref="M36" r:id="rId63" display="https://www.esconet.fi/shop/uc16h-thermowell-uc16h-ilmastointilaite-chiller-230v-16000btu-27518"/>
    <hyperlink ref="N36" r:id="rId64" display="https://www.thermowellmarine.com/wp-content/uploads/2023/04/THERMOWELL-2023_rev1_apr_web.pdf"/>
    <hyperlink ref="M37" r:id="rId65" display="https://mdislandsupply.com/en/climma/879-cws-aquacontrol-161-rc-230150-climma.html"/>
    <hyperlink ref="N37" r:id="rId66" display="https://www.veco.net/en/prodotti/climma-cws-aquacontrol-chillers/"/>
    <hyperlink ref="M38" r:id="rId67" display="https://www.nauticsale.com/en/airconditioning/bluecool-chiller-systems/bluecool-c-series-chillers/"/>
    <hyperlink ref="N38" r:id="rId68" display="https://www.webasto.com/en-us/cooling/marine-chiller-air-conditioning-units/bluecool-c-series.html"/>
    <hyperlink ref="M39" r:id="rId69" display="https://www.tyboat.com/achat/P-8889-quick-chauffe-eau-cylindrique-b3-40-litres-220-volts-1200-watts.html"/>
    <hyperlink ref="N39" r:id="rId70" display="https://www.quickitaly.com/it/prodotti/scalda-acqua/scalda-acqua/nautic-boiler-b3/"/>
    <hyperlink ref="M40" r:id="rId71" display="https://www.tyboat.com/achat/P-8880-quick-chauffe-eau-cylindrique-bx-40-litres-220-volts-1200-watts.html"/>
    <hyperlink ref="N40" r:id="rId72" display="https://www.quickitaly.com/it/prodotti/scalda-acqua/scalda-acqua/nautic-boiler-bx/"/>
    <hyperlink ref="M41" r:id="rId73" display="https://www.tyboat.com/achat/P-18237-quick-chauffe-eau-cube-inox-bxs-40-litres-220-volts-1200-watts.html"/>
    <hyperlink ref="N41" r:id="rId74" display="https://www.quickitaly.com/it/prodotti/scalda-acqua/scalda-acqua/nautic-boiler-bxs/"/>
    <hyperlink ref="M42" r:id="rId75" display="https://www.comptoirnautique.com/climatisation-bateau/91819-frigomar-pompes-a-entrainement-magnetique.html"/>
    <hyperlink ref="N42" r:id="rId76" display="https://www.frigomar.com/en/product-line/"/>
    <hyperlink ref="M43" r:id="rId77" display="https://www.kent-marine.com/fr/produit/35262/chauffe-eau-cylindrique-40l-220v-1200w.html"/>
    <hyperlink ref="N43" r:id="rId78" display="https://www.quickitaly.com/it/prodotti/scalda-acqua/"/>
    <hyperlink ref="M44" r:id="rId79" display="https://www.marine-impact.com/groupe-d-eau/313-filtre-en-ligne-pumpgard-o13-mm-jabsco.html"/>
    <hyperlink ref="N44" r:id="rId80" display="https://www.xylem.com/siteassets/brand/jabsco/resources/manual/36800-technical-data-sheet.pdf"/>
    <hyperlink ref="M45" r:id="rId81" display="https://www.vetus-shop.com/aluminium-hydraulic-tank-70-incl-ht1013-p-2024.html"/>
    <hyperlink ref="N45" r:id="rId82" display="https://webshop.vetus.com/nl/products/power-hydraulics/hydraulische-tanks"/>
    <hyperlink ref="M46" r:id="rId83" display="https://www.vetus-shop.com/vetus-power-hydraulics-c-21_210.html"/>
    <hyperlink ref="M47" r:id="rId84" display="https://www.vetus-shop.com/aluminium-hydraulic-tank-70-incl-ht1013-p-2024.html"/>
    <hyperlink ref="M48" r:id="rId85" display="https://www.vetus-shop.com/aluminium-hydraulic-tank-70-incl-ht1013-p-2024.html"/>
    <hyperlink ref="M49" r:id="rId86" display="https://www.vetus-shop.com/vetus-power-hydraulics-c-21_210.html"/>
    <hyperlink ref="M50" r:id="rId87" display="https://www.vetus-shop.com/aluminium-hydraulic-tank-70-incl-ht1013-p-2024.html"/>
    <hyperlink ref="N51" r:id="rId88" display="https://info.sleipnergroup.com/hubfs/Side-Power_Hydraulic_AC_Thrusters_2020.pdf"/>
    <hyperlink ref="N52" r:id="rId89" display="https://gallery.harken.com/gallery/3d369089-1f35-489d-8b71-ab3020e962a1.pdf"/>
    <hyperlink ref="M53" r:id="rId90" display="https://racorshop.de/product/racor-75500maxm30-turbine-filter-marine/"/>
    <hyperlink ref="N53" r:id="rId91" display="https://www.parker.com/content/dam/Parker-com/Literature/Racor-Europe/FDRB544UK_BRO_Distribution_Solution_Brochure-_Racor_Europe.pdf"/>
    <hyperlink ref="M54" r:id="rId92" display="https://www.vetus-shop.com/vetus-raw-water-strainer-type-330-and21632mm-p-1026.html"/>
    <hyperlink ref="M55" r:id="rId93" display="https://www.mediawinkel.eu/nl/heavy-duty-waterfilter-32-mm.html"/>
    <hyperlink ref="M56" r:id="rId94" display="https://www.mackengineering.co.uk/rule-2000-gph-bilge-pump-24v.html"/>
    <hyperlink ref="N56" r:id="rId95" display="https://www.xylem.com/siteassets/brand/rule/resources/technical-brochure/standard-bilge-pumps-model-number-table.pdf"/>
    <hyperlink ref="M57" r:id="rId96" display="https://www.mackengineering.co.uk/bp9005-whale-gusher-urchin-hand-pump.html"/>
    <hyperlink ref="M58" r:id="rId97" display="https://www.mackengineering.co.uk/rule-2000-gph-bilge-pump-24v.html"/>
    <hyperlink ref="M59" r:id="rId98" display="https://www.mackengineering.co.uk/35770-0094-24v-flexmount-blower.html"/>
    <hyperlink ref="N59" r:id="rId99" display="https://www.xylem.com/siteassets/brand/jabsco/resources/manual/357x0-technical-data-sheet.pdf"/>
    <hyperlink ref="M60" r:id="rId100" display="https://www.mackengineering.co.uk/marco-up3-oil-pump-24v.html"/>
    <hyperlink ref="N60" r:id="rId101" display="https://items.marco.it/en/md_productpdf/index/generate/product/253/store/2/"/>
    <hyperlink ref="M61" r:id="rId102" display="https://www.vetus-shop.com/vetus-fuel-tank-quickfit-diesel-40-litre-8mm-p-1786.html"/>
    <hyperlink ref="M62" r:id="rId103" display="https://www.vetus-shop.com/vetus-fuel-tank-quickfit-diesel-40-litre-8mm-p-1786.html"/>
    <hyperlink ref="M63" r:id="rId104" display="https://www.cactusnav.com/jabsco-macerator-pump-p-37922.html"/>
    <hyperlink ref="M64" r:id="rId105" display="https://www.oltrevela.com/en/31-620-55-fireboy-ma-series-automatic-manual-fire-extinguisher-13-4-kg-for-engine-rooms-and-motor-compartments-up-to-51m-uscg-and-iso-rina-approved-fireboy-4"/>
    <hyperlink ref="N64" r:id="rId106" display="https://fireboy.com/ma2-fire-extinguisher/"/>
    <hyperlink ref="M65" r:id="rId107" display="https://www.standkachel.nu/webasto-air-and-water-heaters-and/webasto-waterkachels-thermotop-spheros-dbw-valeo/webasto-marine-waterheaters-for-thermo-pro-90-24-volt/webasto-thermo-chiller--pro-90-marine-24-volt-"/>
    <hyperlink ref="M66" r:id="rId108" display="https://www.butlertechnik.com/item/Webasto/Thermo-Pro-90-24v-Marine-Kit-With-Switch-91kW-4111185A/5G7"/>
    <hyperlink ref="N66" r:id="rId109" display="https://www.butlertechnik.com/downloads/cms/7432/webasto-thermo-pro-90-marine-installation-manual.pdf"/>
    <hyperlink ref="M67" r:id="rId110" display="https://www.abma-sneek.nl/yanmar/engines-gears-drives/powerboat-engines?prod_id=650436"/>
    <hyperlink ref="N67" r:id="rId111" display="https://www.yanmar.com/marine/product/engines/8lv320/"/>
    <hyperlink ref="M68" r:id="rId112" display="https://useddieselenginecenter.nl/yanmar-6lpam-stp2-6-lpam-stp-2-bobtail"/>
    <hyperlink ref="N68" r:id="rId113" display="https://www.yanmar.com/marine/product/engines/6lpa-stp2-6lpa-stc/"/>
    <hyperlink ref="N69" r:id="rId114" display="https://www.yanmar.com/marine/product/engines/6ly2m-wdt/"/>
    <hyperlink ref="M70" r:id="rId115" display="https://www.jpcdirect.com/product/fischer-panda-12000x-generator/"/>
    <hyperlink ref="N70" r:id="rId116" display="https://www.onefischerpanda.com/fileadmin/content/product-information/marine-generators-compact-power/12000x/Panda_12000x_PMS_-_EN.pdf"/>
    <hyperlink ref="M71" r:id="rId117" display="https://www.nautiradar.pt/en/products/fischer-panda/panda-12000x-230v-pms-12kva-fixed-engine-speed-marine-generator"/>
    <hyperlink ref="N71" r:id="rId118" display="https://www.onefischerpanda.com/fileadmin/content/product-information/marine-generators-compact-power/12000x/Panda_12000x_PMS_-_EN.pdf"/>
    <hyperlink ref="M72" r:id="rId119" display="https://www.nautiradar.pt/en/products/fischer-panda/panda-15000i-230v-pms-12kw-230v-variable-speed-marine-generator"/>
    <hyperlink ref="N72" r:id="rId120" display="https://www.fischerpanda.co.uk/res/Fischer%20Panda%20Marine%20Generators%202026%20-%20FPU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2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15" min="3" style="0" width="22"/>
    <col collapsed="false" customWidth="true" hidden="false" outlineLevel="0" max="16" min="16" style="0" width="100"/>
    <col collapsed="false" customWidth="true" hidden="false" outlineLevel="0" max="18" min="17" style="0" width="22"/>
    <col collapsed="false" customWidth="true" hidden="false" outlineLevel="0" max="19" min="19" style="0" width="80"/>
  </cols>
  <sheetData>
    <row r="1" customFormat="false" ht="45" hidden="false" customHeight="true" outlineLevel="0" collapsed="false">
      <c r="A1" s="1" t="s">
        <v>874</v>
      </c>
      <c r="B1" s="1" t="s">
        <v>875</v>
      </c>
      <c r="C1" s="1" t="s">
        <v>876</v>
      </c>
      <c r="D1" s="1" t="s">
        <v>877</v>
      </c>
      <c r="E1" s="1" t="s">
        <v>878</v>
      </c>
      <c r="F1" s="1" t="s">
        <v>299</v>
      </c>
      <c r="G1" s="1" t="s">
        <v>302</v>
      </c>
      <c r="H1" s="1" t="s">
        <v>879</v>
      </c>
      <c r="I1" s="1" t="s">
        <v>880</v>
      </c>
      <c r="J1" s="1" t="s">
        <v>881</v>
      </c>
      <c r="K1" s="1" t="s">
        <v>882</v>
      </c>
      <c r="L1" s="1" t="s">
        <v>883</v>
      </c>
      <c r="M1" s="1" t="s">
        <v>319</v>
      </c>
      <c r="N1" s="1" t="s">
        <v>316</v>
      </c>
      <c r="O1" s="1" t="s">
        <v>307</v>
      </c>
      <c r="P1" s="1" t="s">
        <v>884</v>
      </c>
      <c r="Q1" s="1" t="s">
        <v>885</v>
      </c>
      <c r="R1" s="1" t="s">
        <v>320</v>
      </c>
      <c r="S1" s="1" t="s">
        <v>886</v>
      </c>
    </row>
    <row r="2" customFormat="false" ht="64.5" hidden="false" customHeight="true" outlineLevel="0" collapsed="false">
      <c r="A2" s="2" t="s">
        <v>887</v>
      </c>
      <c r="B2" s="2" t="s">
        <v>888</v>
      </c>
      <c r="C2" s="2" t="s">
        <v>889</v>
      </c>
      <c r="D2" s="2" t="s">
        <v>890</v>
      </c>
      <c r="E2" s="2" t="s">
        <v>891</v>
      </c>
      <c r="F2" s="2" t="s">
        <v>892</v>
      </c>
      <c r="G2" s="2" t="s">
        <v>408</v>
      </c>
      <c r="H2" s="2" t="s">
        <v>893</v>
      </c>
      <c r="I2" s="2" t="s">
        <v>894</v>
      </c>
      <c r="J2" s="2" t="s">
        <v>893</v>
      </c>
      <c r="K2" s="2" t="s">
        <v>895</v>
      </c>
      <c r="L2" s="2"/>
      <c r="M2" s="2" t="s">
        <v>896</v>
      </c>
      <c r="N2" s="2" t="s">
        <v>334</v>
      </c>
      <c r="O2" s="11" t="s">
        <v>897</v>
      </c>
      <c r="P2" s="2" t="s">
        <v>898</v>
      </c>
      <c r="Q2" s="2" t="s">
        <v>899</v>
      </c>
      <c r="R2" s="2" t="s">
        <v>900</v>
      </c>
      <c r="S2" s="2" t="s">
        <v>901</v>
      </c>
    </row>
    <row r="3" customFormat="false" ht="64.5" hidden="false" customHeight="true" outlineLevel="0" collapsed="false">
      <c r="A3" s="5" t="s">
        <v>902</v>
      </c>
      <c r="B3" s="5" t="s">
        <v>903</v>
      </c>
      <c r="C3" s="5" t="s">
        <v>889</v>
      </c>
      <c r="D3" s="5" t="s">
        <v>904</v>
      </c>
      <c r="E3" s="5" t="s">
        <v>905</v>
      </c>
      <c r="F3" s="5" t="s">
        <v>906</v>
      </c>
      <c r="G3" s="5" t="s">
        <v>83</v>
      </c>
      <c r="H3" s="5" t="s">
        <v>907</v>
      </c>
      <c r="I3" s="5" t="s">
        <v>908</v>
      </c>
      <c r="J3" s="5" t="s">
        <v>907</v>
      </c>
      <c r="K3" s="5" t="s">
        <v>907</v>
      </c>
      <c r="L3" s="5"/>
      <c r="M3" s="5" t="s">
        <v>365</v>
      </c>
      <c r="N3" s="5" t="s">
        <v>334</v>
      </c>
      <c r="O3" s="14" t="s">
        <v>909</v>
      </c>
      <c r="P3" s="5" t="s">
        <v>910</v>
      </c>
      <c r="Q3" s="5" t="s">
        <v>911</v>
      </c>
      <c r="R3" s="5" t="s">
        <v>912</v>
      </c>
      <c r="S3" s="5" t="s">
        <v>901</v>
      </c>
    </row>
    <row r="4" customFormat="false" ht="64.5" hidden="false" customHeight="true" outlineLevel="0" collapsed="false">
      <c r="A4" s="2" t="s">
        <v>913</v>
      </c>
      <c r="B4" s="2" t="s">
        <v>914</v>
      </c>
      <c r="C4" s="2" t="s">
        <v>889</v>
      </c>
      <c r="D4" s="2" t="s">
        <v>694</v>
      </c>
      <c r="E4" s="2" t="s">
        <v>905</v>
      </c>
      <c r="F4" s="2" t="s">
        <v>915</v>
      </c>
      <c r="G4" s="2" t="s">
        <v>83</v>
      </c>
      <c r="H4" s="2" t="s">
        <v>916</v>
      </c>
      <c r="I4" s="2" t="s">
        <v>917</v>
      </c>
      <c r="J4" s="2" t="s">
        <v>916</v>
      </c>
      <c r="K4" s="2" t="s">
        <v>916</v>
      </c>
      <c r="L4" s="2"/>
      <c r="M4" s="2" t="s">
        <v>365</v>
      </c>
      <c r="N4" s="2" t="s">
        <v>334</v>
      </c>
      <c r="O4" s="11" t="s">
        <v>918</v>
      </c>
      <c r="P4" s="2" t="s">
        <v>919</v>
      </c>
      <c r="Q4" s="2" t="s">
        <v>911</v>
      </c>
      <c r="R4" s="2" t="s">
        <v>912</v>
      </c>
      <c r="S4" s="2" t="s">
        <v>901</v>
      </c>
    </row>
    <row r="5" customFormat="false" ht="64.5" hidden="false" customHeight="true" outlineLevel="0" collapsed="false">
      <c r="A5" s="5" t="s">
        <v>920</v>
      </c>
      <c r="B5" s="5" t="s">
        <v>921</v>
      </c>
      <c r="C5" s="5" t="s">
        <v>889</v>
      </c>
      <c r="D5" s="5" t="s">
        <v>922</v>
      </c>
      <c r="E5" s="5" t="s">
        <v>905</v>
      </c>
      <c r="F5" s="5" t="s">
        <v>923</v>
      </c>
      <c r="G5" s="5" t="s">
        <v>83</v>
      </c>
      <c r="H5" s="5" t="s">
        <v>924</v>
      </c>
      <c r="I5" s="5" t="s">
        <v>908</v>
      </c>
      <c r="J5" s="5" t="s">
        <v>924</v>
      </c>
      <c r="K5" s="5" t="s">
        <v>924</v>
      </c>
      <c r="L5" s="5"/>
      <c r="M5" s="5" t="s">
        <v>365</v>
      </c>
      <c r="N5" s="5" t="s">
        <v>334</v>
      </c>
      <c r="O5" s="14" t="s">
        <v>925</v>
      </c>
      <c r="P5" s="5" t="s">
        <v>926</v>
      </c>
      <c r="Q5" s="5" t="s">
        <v>911</v>
      </c>
      <c r="R5" s="5" t="s">
        <v>912</v>
      </c>
      <c r="S5" s="5" t="s">
        <v>901</v>
      </c>
    </row>
    <row r="6" customFormat="false" ht="64.5" hidden="false" customHeight="true" outlineLevel="0" collapsed="false">
      <c r="A6" s="2" t="s">
        <v>927</v>
      </c>
      <c r="B6" s="2" t="s">
        <v>928</v>
      </c>
      <c r="C6" s="2" t="s">
        <v>889</v>
      </c>
      <c r="D6" s="2" t="s">
        <v>929</v>
      </c>
      <c r="E6" s="2" t="s">
        <v>930</v>
      </c>
      <c r="F6" s="2" t="s">
        <v>931</v>
      </c>
      <c r="G6" s="2" t="s">
        <v>83</v>
      </c>
      <c r="H6" s="2" t="s">
        <v>932</v>
      </c>
      <c r="I6" s="2" t="s">
        <v>933</v>
      </c>
      <c r="J6" s="2"/>
      <c r="K6" s="2"/>
      <c r="L6" s="2" t="s">
        <v>932</v>
      </c>
      <c r="M6" s="2" t="s">
        <v>365</v>
      </c>
      <c r="N6" s="2" t="s">
        <v>334</v>
      </c>
      <c r="O6" s="11" t="s">
        <v>934</v>
      </c>
      <c r="P6" s="2" t="s">
        <v>935</v>
      </c>
      <c r="Q6" s="2" t="s">
        <v>936</v>
      </c>
      <c r="R6" s="2" t="s">
        <v>937</v>
      </c>
      <c r="S6" s="2" t="s">
        <v>901</v>
      </c>
    </row>
  </sheetData>
  <autoFilter ref="A1:S6"/>
  <hyperlinks>
    <hyperlink ref="O2" r:id="rId1" display="https://palmerpower.com/yanmar-kmh50a-lp-kmh50a-lp-2-13-2-43-for-6lp-stp2/"/>
    <hyperlink ref="O3" r:id="rId2" display="https://www.dutchengineparts.nl/damper-hsw630-119773-85520.html"/>
    <hyperlink ref="O4" r:id="rId3" display="https://www.dutchengineparts.nl/panel-instrument-b-119773-91132.html"/>
    <hyperlink ref="O5" r:id="rId4" display="https://www.dutchengineparts.nl/cooler-oil-177523-04820.html"/>
    <hyperlink ref="O6" r:id="rId5" display="https://yachtneeds.com/yanmar-6m-wiring-harness-6-metres-129574-7776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5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48"/>
    <col collapsed="false" customWidth="true" hidden="false" outlineLevel="0" max="9" min="4" style="0" width="22"/>
    <col collapsed="false" customWidth="true" hidden="false" outlineLevel="0" max="10" min="10" style="0" width="60"/>
    <col collapsed="false" customWidth="true" hidden="false" outlineLevel="0" max="12" min="11" style="0" width="22"/>
    <col collapsed="false" customWidth="true" hidden="false" outlineLevel="0" max="13" min="13" style="0" width="75"/>
    <col collapsed="false" customWidth="true" hidden="false" outlineLevel="0" max="14" min="14" style="0" width="70"/>
    <col collapsed="false" customWidth="true" hidden="false" outlineLevel="0" max="17" min="15" style="0" width="22"/>
  </cols>
  <sheetData>
    <row r="1" customFormat="false" ht="45" hidden="false" customHeight="true" outlineLevel="0" collapsed="false">
      <c r="A1" s="1" t="s">
        <v>938</v>
      </c>
      <c r="B1" s="1" t="s">
        <v>939</v>
      </c>
      <c r="C1" s="1" t="s">
        <v>940</v>
      </c>
      <c r="D1" s="1" t="s">
        <v>941</v>
      </c>
      <c r="E1" s="1" t="s">
        <v>301</v>
      </c>
      <c r="F1" s="1" t="s">
        <v>876</v>
      </c>
      <c r="G1" s="1" t="s">
        <v>942</v>
      </c>
      <c r="H1" s="1" t="s">
        <v>943</v>
      </c>
      <c r="I1" s="1" t="s">
        <v>944</v>
      </c>
      <c r="J1" s="1" t="s">
        <v>945</v>
      </c>
      <c r="K1" s="1" t="s">
        <v>946</v>
      </c>
      <c r="L1" s="1" t="s">
        <v>947</v>
      </c>
      <c r="M1" s="1" t="s">
        <v>948</v>
      </c>
      <c r="N1" s="1" t="s">
        <v>949</v>
      </c>
      <c r="O1" s="1" t="s">
        <v>885</v>
      </c>
      <c r="P1" s="1" t="s">
        <v>950</v>
      </c>
      <c r="Q1" s="1" t="s">
        <v>951</v>
      </c>
    </row>
    <row r="2" customFormat="false" ht="64.5" hidden="false" customHeight="true" outlineLevel="0" collapsed="false">
      <c r="A2" s="2" t="s">
        <v>952</v>
      </c>
      <c r="B2" s="2" t="s">
        <v>8</v>
      </c>
      <c r="C2" s="2" t="s">
        <v>953</v>
      </c>
      <c r="D2" s="2" t="s">
        <v>954</v>
      </c>
      <c r="E2" s="2" t="s">
        <v>129</v>
      </c>
      <c r="F2" s="2" t="s">
        <v>955</v>
      </c>
      <c r="G2" s="2" t="s">
        <v>956</v>
      </c>
      <c r="H2" s="2" t="s">
        <v>956</v>
      </c>
      <c r="I2" s="2" t="s">
        <v>957</v>
      </c>
      <c r="J2" s="2" t="s">
        <v>958</v>
      </c>
      <c r="K2" s="2" t="s">
        <v>959</v>
      </c>
      <c r="L2" s="2" t="s">
        <v>960</v>
      </c>
      <c r="M2" s="2" t="s">
        <v>961</v>
      </c>
      <c r="N2" s="2" t="s">
        <v>962</v>
      </c>
      <c r="O2" s="2" t="s">
        <v>79</v>
      </c>
      <c r="P2" s="2" t="s">
        <v>963</v>
      </c>
      <c r="Q2" s="2" t="s">
        <v>964</v>
      </c>
    </row>
    <row r="3" customFormat="false" ht="64.5" hidden="false" customHeight="true" outlineLevel="0" collapsed="false">
      <c r="A3" s="5" t="s">
        <v>965</v>
      </c>
      <c r="B3" s="5" t="s">
        <v>8</v>
      </c>
      <c r="C3" s="5" t="s">
        <v>966</v>
      </c>
      <c r="D3" s="5" t="s">
        <v>954</v>
      </c>
      <c r="E3" s="5" t="s">
        <v>129</v>
      </c>
      <c r="F3" s="5" t="s">
        <v>967</v>
      </c>
      <c r="G3" s="5" t="s">
        <v>956</v>
      </c>
      <c r="H3" s="5" t="s">
        <v>968</v>
      </c>
      <c r="I3" s="5" t="s">
        <v>969</v>
      </c>
      <c r="J3" s="5" t="s">
        <v>970</v>
      </c>
      <c r="K3" s="5" t="s">
        <v>971</v>
      </c>
      <c r="L3" s="5" t="s">
        <v>972</v>
      </c>
      <c r="M3" s="5" t="s">
        <v>973</v>
      </c>
      <c r="N3" s="5" t="s">
        <v>974</v>
      </c>
      <c r="O3" s="5" t="s">
        <v>79</v>
      </c>
      <c r="P3" s="5" t="s">
        <v>975</v>
      </c>
      <c r="Q3" s="5" t="s">
        <v>976</v>
      </c>
    </row>
    <row r="4" customFormat="false" ht="64.5" hidden="false" customHeight="true" outlineLevel="0" collapsed="false">
      <c r="A4" s="2" t="s">
        <v>977</v>
      </c>
      <c r="B4" s="2" t="s">
        <v>8</v>
      </c>
      <c r="C4" s="2" t="s">
        <v>978</v>
      </c>
      <c r="D4" s="2" t="s">
        <v>954</v>
      </c>
      <c r="E4" s="2" t="s">
        <v>129</v>
      </c>
      <c r="F4" s="2" t="s">
        <v>979</v>
      </c>
      <c r="G4" s="2" t="s">
        <v>79</v>
      </c>
      <c r="H4" s="2" t="s">
        <v>79</v>
      </c>
      <c r="I4" s="2" t="s">
        <v>980</v>
      </c>
      <c r="J4" s="2" t="s">
        <v>981</v>
      </c>
      <c r="K4" s="2" t="s">
        <v>982</v>
      </c>
      <c r="L4" s="2" t="s">
        <v>972</v>
      </c>
      <c r="M4" s="2" t="s">
        <v>983</v>
      </c>
      <c r="N4" s="2" t="s">
        <v>984</v>
      </c>
      <c r="O4" s="2" t="s">
        <v>79</v>
      </c>
      <c r="P4" s="2" t="s">
        <v>985</v>
      </c>
      <c r="Q4" s="2" t="s">
        <v>986</v>
      </c>
    </row>
    <row r="5" customFormat="false" ht="64.5" hidden="false" customHeight="true" outlineLevel="0" collapsed="false">
      <c r="A5" s="5" t="s">
        <v>987</v>
      </c>
      <c r="B5" s="5" t="s">
        <v>8</v>
      </c>
      <c r="C5" s="5" t="s">
        <v>988</v>
      </c>
      <c r="D5" s="5"/>
      <c r="E5" s="5" t="s">
        <v>989</v>
      </c>
      <c r="F5" s="5" t="s">
        <v>990</v>
      </c>
      <c r="G5" s="5" t="s">
        <v>79</v>
      </c>
      <c r="H5" s="5" t="s">
        <v>79</v>
      </c>
      <c r="I5" s="5" t="s">
        <v>991</v>
      </c>
      <c r="J5" s="5" t="s">
        <v>992</v>
      </c>
      <c r="K5" s="5"/>
      <c r="L5" s="5" t="s">
        <v>972</v>
      </c>
      <c r="M5" s="5" t="s">
        <v>993</v>
      </c>
      <c r="N5" s="5" t="s">
        <v>994</v>
      </c>
      <c r="O5" s="5" t="s">
        <v>79</v>
      </c>
      <c r="P5" s="5" t="s">
        <v>995</v>
      </c>
      <c r="Q5" s="5"/>
    </row>
    <row r="6" customFormat="false" ht="64.5" hidden="false" customHeight="true" outlineLevel="0" collapsed="false">
      <c r="A6" s="2" t="s">
        <v>996</v>
      </c>
      <c r="B6" s="2" t="s">
        <v>8</v>
      </c>
      <c r="C6" s="2" t="s">
        <v>997</v>
      </c>
      <c r="D6" s="2" t="s">
        <v>954</v>
      </c>
      <c r="E6" s="2" t="s">
        <v>129</v>
      </c>
      <c r="F6" s="2" t="s">
        <v>998</v>
      </c>
      <c r="G6" s="2" t="s">
        <v>968</v>
      </c>
      <c r="H6" s="2" t="s">
        <v>968</v>
      </c>
      <c r="I6" s="2" t="s">
        <v>999</v>
      </c>
      <c r="J6" s="2" t="s">
        <v>1000</v>
      </c>
      <c r="K6" s="2"/>
      <c r="L6" s="2" t="s">
        <v>1001</v>
      </c>
      <c r="M6" s="2" t="s">
        <v>1002</v>
      </c>
      <c r="N6" s="2" t="s">
        <v>1003</v>
      </c>
      <c r="O6" s="2" t="s">
        <v>79</v>
      </c>
      <c r="P6" s="2" t="s">
        <v>1004</v>
      </c>
      <c r="Q6" s="2" t="s">
        <v>1005</v>
      </c>
    </row>
    <row r="7" customFormat="false" ht="64.5" hidden="false" customHeight="true" outlineLevel="0" collapsed="false">
      <c r="A7" s="5" t="s">
        <v>1006</v>
      </c>
      <c r="B7" s="5" t="s">
        <v>8</v>
      </c>
      <c r="C7" s="5" t="s">
        <v>1007</v>
      </c>
      <c r="D7" s="5" t="s">
        <v>954</v>
      </c>
      <c r="E7" s="5" t="s">
        <v>129</v>
      </c>
      <c r="F7" s="5" t="s">
        <v>1008</v>
      </c>
      <c r="G7" s="5" t="s">
        <v>79</v>
      </c>
      <c r="H7" s="5" t="s">
        <v>79</v>
      </c>
      <c r="I7" s="5" t="s">
        <v>1009</v>
      </c>
      <c r="J7" s="5" t="s">
        <v>1010</v>
      </c>
      <c r="K7" s="5"/>
      <c r="L7" s="5" t="s">
        <v>1001</v>
      </c>
      <c r="M7" s="5" t="s">
        <v>1011</v>
      </c>
      <c r="N7" s="5" t="s">
        <v>1012</v>
      </c>
      <c r="O7" s="5" t="s">
        <v>79</v>
      </c>
      <c r="P7" s="5" t="s">
        <v>1013</v>
      </c>
      <c r="Q7" s="5"/>
    </row>
    <row r="8" customFormat="false" ht="64.5" hidden="false" customHeight="true" outlineLevel="0" collapsed="false">
      <c r="A8" s="2" t="s">
        <v>1014</v>
      </c>
      <c r="B8" s="2" t="s">
        <v>8</v>
      </c>
      <c r="C8" s="2" t="s">
        <v>1015</v>
      </c>
      <c r="D8" s="2" t="s">
        <v>954</v>
      </c>
      <c r="E8" s="2" t="s">
        <v>129</v>
      </c>
      <c r="F8" s="2" t="s">
        <v>1016</v>
      </c>
      <c r="G8" s="2" t="s">
        <v>968</v>
      </c>
      <c r="H8" s="2" t="s">
        <v>968</v>
      </c>
      <c r="I8" s="2" t="s">
        <v>1017</v>
      </c>
      <c r="J8" s="2" t="s">
        <v>1018</v>
      </c>
      <c r="K8" s="2"/>
      <c r="L8" s="2" t="s">
        <v>1001</v>
      </c>
      <c r="M8" s="2" t="s">
        <v>1019</v>
      </c>
      <c r="N8" s="2" t="s">
        <v>1012</v>
      </c>
      <c r="O8" s="2" t="s">
        <v>79</v>
      </c>
      <c r="P8" s="2" t="s">
        <v>1020</v>
      </c>
      <c r="Q8" s="2"/>
    </row>
    <row r="9" customFormat="false" ht="64.5" hidden="false" customHeight="true" outlineLevel="0" collapsed="false">
      <c r="A9" s="5" t="s">
        <v>1021</v>
      </c>
      <c r="B9" s="5" t="s">
        <v>8</v>
      </c>
      <c r="C9" s="5" t="s">
        <v>1022</v>
      </c>
      <c r="D9" s="5"/>
      <c r="E9" s="5" t="s">
        <v>989</v>
      </c>
      <c r="F9" s="5" t="s">
        <v>1023</v>
      </c>
      <c r="G9" s="5" t="s">
        <v>79</v>
      </c>
      <c r="H9" s="5" t="s">
        <v>79</v>
      </c>
      <c r="I9" s="5" t="s">
        <v>1024</v>
      </c>
      <c r="J9" s="5" t="s">
        <v>1025</v>
      </c>
      <c r="K9" s="5"/>
      <c r="L9" s="5" t="s">
        <v>1001</v>
      </c>
      <c r="M9" s="5" t="s">
        <v>1026</v>
      </c>
      <c r="N9" s="5" t="s">
        <v>1027</v>
      </c>
      <c r="O9" s="5" t="s">
        <v>79</v>
      </c>
      <c r="P9" s="5" t="s">
        <v>1028</v>
      </c>
      <c r="Q9" s="5"/>
    </row>
    <row r="10" customFormat="false" ht="64.5" hidden="false" customHeight="true" outlineLevel="0" collapsed="false">
      <c r="A10" s="2" t="s">
        <v>1029</v>
      </c>
      <c r="B10" s="2" t="s">
        <v>8</v>
      </c>
      <c r="C10" s="2" t="s">
        <v>1030</v>
      </c>
      <c r="D10" s="2" t="s">
        <v>954</v>
      </c>
      <c r="E10" s="2" t="s">
        <v>129</v>
      </c>
      <c r="F10" s="2" t="s">
        <v>1031</v>
      </c>
      <c r="G10" s="2" t="s">
        <v>968</v>
      </c>
      <c r="H10" s="2" t="s">
        <v>968</v>
      </c>
      <c r="I10" s="2" t="s">
        <v>1032</v>
      </c>
      <c r="J10" s="2" t="s">
        <v>1033</v>
      </c>
      <c r="K10" s="2"/>
      <c r="L10" s="2" t="s">
        <v>1001</v>
      </c>
      <c r="M10" s="2" t="s">
        <v>1034</v>
      </c>
      <c r="N10" s="2" t="s">
        <v>1035</v>
      </c>
      <c r="O10" s="2" t="s">
        <v>79</v>
      </c>
      <c r="P10" s="2" t="s">
        <v>1036</v>
      </c>
      <c r="Q10" s="2"/>
    </row>
    <row r="11" customFormat="false" ht="64.5" hidden="false" customHeight="true" outlineLevel="0" collapsed="false">
      <c r="A11" s="5" t="s">
        <v>1037</v>
      </c>
      <c r="B11" s="5" t="s">
        <v>8</v>
      </c>
      <c r="C11" s="5" t="s">
        <v>1038</v>
      </c>
      <c r="D11" s="5"/>
      <c r="E11" s="5" t="s">
        <v>1039</v>
      </c>
      <c r="F11" s="5" t="s">
        <v>1040</v>
      </c>
      <c r="G11" s="5" t="s">
        <v>1041</v>
      </c>
      <c r="H11" s="5" t="s">
        <v>1041</v>
      </c>
      <c r="I11" s="5" t="s">
        <v>1042</v>
      </c>
      <c r="J11" s="5" t="s">
        <v>1043</v>
      </c>
      <c r="K11" s="5"/>
      <c r="L11" s="5" t="s">
        <v>1001</v>
      </c>
      <c r="M11" s="5" t="s">
        <v>1044</v>
      </c>
      <c r="N11" s="5" t="s">
        <v>1045</v>
      </c>
      <c r="O11" s="5" t="s">
        <v>79</v>
      </c>
      <c r="P11" s="5" t="s">
        <v>1046</v>
      </c>
      <c r="Q11" s="5"/>
    </row>
    <row r="12" customFormat="false" ht="64.5" hidden="false" customHeight="true" outlineLevel="0" collapsed="false">
      <c r="A12" s="2" t="s">
        <v>1047</v>
      </c>
      <c r="B12" s="2" t="s">
        <v>8</v>
      </c>
      <c r="C12" s="2" t="s">
        <v>1048</v>
      </c>
      <c r="D12" s="2"/>
      <c r="E12" s="2" t="s">
        <v>129</v>
      </c>
      <c r="F12" s="2" t="s">
        <v>1049</v>
      </c>
      <c r="G12" s="2" t="s">
        <v>956</v>
      </c>
      <c r="H12" s="2" t="s">
        <v>79</v>
      </c>
      <c r="I12" s="2" t="s">
        <v>1050</v>
      </c>
      <c r="J12" s="2" t="s">
        <v>1051</v>
      </c>
      <c r="K12" s="2" t="s">
        <v>1052</v>
      </c>
      <c r="L12" s="2" t="s">
        <v>960</v>
      </c>
      <c r="M12" s="2" t="s">
        <v>1053</v>
      </c>
      <c r="N12" s="2" t="s">
        <v>1054</v>
      </c>
      <c r="O12" s="2" t="s">
        <v>79</v>
      </c>
      <c r="P12" s="2" t="s">
        <v>1055</v>
      </c>
      <c r="Q12" s="2"/>
    </row>
    <row r="13" customFormat="false" ht="64.5" hidden="false" customHeight="true" outlineLevel="0" collapsed="false">
      <c r="A13" s="5" t="s">
        <v>1056</v>
      </c>
      <c r="B13" s="5" t="s">
        <v>8</v>
      </c>
      <c r="C13" s="5" t="s">
        <v>1057</v>
      </c>
      <c r="D13" s="5"/>
      <c r="E13" s="5" t="s">
        <v>1058</v>
      </c>
      <c r="F13" s="5" t="s">
        <v>1059</v>
      </c>
      <c r="G13" s="5" t="s">
        <v>968</v>
      </c>
      <c r="H13" s="5" t="s">
        <v>968</v>
      </c>
      <c r="I13" s="5" t="s">
        <v>1060</v>
      </c>
      <c r="J13" s="5" t="s">
        <v>1061</v>
      </c>
      <c r="K13" s="5"/>
      <c r="L13" s="5" t="s">
        <v>1001</v>
      </c>
      <c r="M13" s="5" t="s">
        <v>1062</v>
      </c>
      <c r="N13" s="5" t="s">
        <v>1027</v>
      </c>
      <c r="O13" s="5" t="s">
        <v>79</v>
      </c>
      <c r="P13" s="5" t="s">
        <v>1063</v>
      </c>
      <c r="Q13" s="5"/>
    </row>
    <row r="14" customFormat="false" ht="64.5" hidden="false" customHeight="true" outlineLevel="0" collapsed="false">
      <c r="A14" s="2" t="s">
        <v>1064</v>
      </c>
      <c r="B14" s="2" t="s">
        <v>26</v>
      </c>
      <c r="C14" s="2" t="s">
        <v>1065</v>
      </c>
      <c r="D14" s="2"/>
      <c r="E14" s="2" t="s">
        <v>1066</v>
      </c>
      <c r="F14" s="2" t="s">
        <v>1067</v>
      </c>
      <c r="G14" s="2" t="s">
        <v>968</v>
      </c>
      <c r="H14" s="2" t="s">
        <v>968</v>
      </c>
      <c r="I14" s="2" t="s">
        <v>1068</v>
      </c>
      <c r="J14" s="2" t="s">
        <v>1069</v>
      </c>
      <c r="K14" s="2"/>
      <c r="L14" s="2" t="s">
        <v>1070</v>
      </c>
      <c r="M14" s="2" t="s">
        <v>1071</v>
      </c>
      <c r="N14" s="2" t="s">
        <v>1072</v>
      </c>
      <c r="O14" s="2" t="s">
        <v>79</v>
      </c>
      <c r="P14" s="2" t="s">
        <v>1073</v>
      </c>
      <c r="Q14" s="2"/>
    </row>
    <row r="15" customFormat="false" ht="64.5" hidden="false" customHeight="true" outlineLevel="0" collapsed="false">
      <c r="A15" s="5" t="s">
        <v>1074</v>
      </c>
      <c r="B15" s="5" t="s">
        <v>26</v>
      </c>
      <c r="C15" s="5" t="s">
        <v>1075</v>
      </c>
      <c r="D15" s="5"/>
      <c r="E15" s="5" t="s">
        <v>129</v>
      </c>
      <c r="F15" s="5" t="s">
        <v>1076</v>
      </c>
      <c r="G15" s="5" t="s">
        <v>79</v>
      </c>
      <c r="H15" s="5" t="s">
        <v>79</v>
      </c>
      <c r="I15" s="5" t="s">
        <v>1077</v>
      </c>
      <c r="J15" s="5" t="s">
        <v>1078</v>
      </c>
      <c r="K15" s="5"/>
      <c r="L15" s="5" t="s">
        <v>1079</v>
      </c>
      <c r="M15" s="5" t="s">
        <v>1080</v>
      </c>
      <c r="N15" s="5" t="s">
        <v>1081</v>
      </c>
      <c r="O15" s="5" t="s">
        <v>79</v>
      </c>
      <c r="P15" s="5" t="s">
        <v>1082</v>
      </c>
      <c r="Q15" s="5"/>
    </row>
    <row r="16" customFormat="false" ht="64.5" hidden="false" customHeight="true" outlineLevel="0" collapsed="false">
      <c r="A16" s="2" t="s">
        <v>1083</v>
      </c>
      <c r="B16" s="2" t="s">
        <v>26</v>
      </c>
      <c r="C16" s="2" t="s">
        <v>1084</v>
      </c>
      <c r="D16" s="2"/>
      <c r="E16" s="2" t="s">
        <v>989</v>
      </c>
      <c r="F16" s="2" t="s">
        <v>1085</v>
      </c>
      <c r="G16" s="2" t="s">
        <v>79</v>
      </c>
      <c r="H16" s="2" t="s">
        <v>79</v>
      </c>
      <c r="I16" s="2" t="s">
        <v>1086</v>
      </c>
      <c r="J16" s="2" t="s">
        <v>1087</v>
      </c>
      <c r="K16" s="2"/>
      <c r="L16" s="2" t="s">
        <v>1001</v>
      </c>
      <c r="M16" s="2" t="s">
        <v>1088</v>
      </c>
      <c r="N16" s="2" t="s">
        <v>1089</v>
      </c>
      <c r="O16" s="2" t="s">
        <v>79</v>
      </c>
      <c r="P16" s="2" t="s">
        <v>1090</v>
      </c>
      <c r="Q16" s="2"/>
    </row>
    <row r="17" customFormat="false" ht="64.5" hidden="false" customHeight="true" outlineLevel="0" collapsed="false">
      <c r="A17" s="5" t="s">
        <v>1091</v>
      </c>
      <c r="B17" s="5" t="s">
        <v>26</v>
      </c>
      <c r="C17" s="5" t="s">
        <v>1092</v>
      </c>
      <c r="D17" s="5"/>
      <c r="E17" s="5" t="s">
        <v>1066</v>
      </c>
      <c r="F17" s="5" t="s">
        <v>1093</v>
      </c>
      <c r="G17" s="5" t="s">
        <v>968</v>
      </c>
      <c r="H17" s="5" t="s">
        <v>968</v>
      </c>
      <c r="I17" s="5" t="s">
        <v>1094</v>
      </c>
      <c r="J17" s="5" t="s">
        <v>1095</v>
      </c>
      <c r="K17" s="5"/>
      <c r="L17" s="5" t="s">
        <v>1096</v>
      </c>
      <c r="M17" s="5" t="s">
        <v>1097</v>
      </c>
      <c r="N17" s="5" t="s">
        <v>1072</v>
      </c>
      <c r="O17" s="5" t="s">
        <v>79</v>
      </c>
      <c r="P17" s="5" t="s">
        <v>1098</v>
      </c>
      <c r="Q17" s="5"/>
    </row>
    <row r="18" customFormat="false" ht="64.5" hidden="false" customHeight="true" outlineLevel="0" collapsed="false">
      <c r="A18" s="2" t="s">
        <v>1099</v>
      </c>
      <c r="B18" s="2" t="s">
        <v>1100</v>
      </c>
      <c r="C18" s="2" t="s">
        <v>1101</v>
      </c>
      <c r="D18" s="2"/>
      <c r="E18" s="2" t="s">
        <v>989</v>
      </c>
      <c r="F18" s="2" t="s">
        <v>1102</v>
      </c>
      <c r="G18" s="2" t="s">
        <v>79</v>
      </c>
      <c r="H18" s="2" t="s">
        <v>79</v>
      </c>
      <c r="I18" s="2" t="s">
        <v>1103</v>
      </c>
      <c r="J18" s="2" t="s">
        <v>1104</v>
      </c>
      <c r="K18" s="2"/>
      <c r="L18" s="2" t="s">
        <v>1105</v>
      </c>
      <c r="M18" s="2" t="s">
        <v>1106</v>
      </c>
      <c r="N18" s="2" t="s">
        <v>1107</v>
      </c>
      <c r="O18" s="2" t="s">
        <v>79</v>
      </c>
      <c r="P18" s="2" t="s">
        <v>1108</v>
      </c>
      <c r="Q18" s="2"/>
    </row>
    <row r="19" customFormat="false" ht="64.5" hidden="false" customHeight="true" outlineLevel="0" collapsed="false">
      <c r="A19" s="5" t="s">
        <v>1109</v>
      </c>
      <c r="B19" s="5" t="s">
        <v>1100</v>
      </c>
      <c r="C19" s="5" t="s">
        <v>1110</v>
      </c>
      <c r="D19" s="5" t="s">
        <v>954</v>
      </c>
      <c r="E19" s="5" t="s">
        <v>1111</v>
      </c>
      <c r="F19" s="5" t="s">
        <v>1112</v>
      </c>
      <c r="G19" s="5" t="s">
        <v>79</v>
      </c>
      <c r="H19" s="5" t="s">
        <v>79</v>
      </c>
      <c r="I19" s="5" t="s">
        <v>1113</v>
      </c>
      <c r="J19" s="5" t="s">
        <v>1114</v>
      </c>
      <c r="K19" s="5" t="s">
        <v>1115</v>
      </c>
      <c r="L19" s="5" t="s">
        <v>972</v>
      </c>
      <c r="M19" s="5" t="s">
        <v>1116</v>
      </c>
      <c r="N19" s="5" t="s">
        <v>1117</v>
      </c>
      <c r="O19" s="5" t="s">
        <v>79</v>
      </c>
      <c r="P19" s="5" t="s">
        <v>1118</v>
      </c>
      <c r="Q19" s="5"/>
    </row>
    <row r="20" customFormat="false" ht="64.5" hidden="false" customHeight="true" outlineLevel="0" collapsed="false">
      <c r="A20" s="2" t="s">
        <v>1119</v>
      </c>
      <c r="B20" s="2" t="s">
        <v>1100</v>
      </c>
      <c r="C20" s="2" t="s">
        <v>1120</v>
      </c>
      <c r="D20" s="2" t="s">
        <v>954</v>
      </c>
      <c r="E20" s="2" t="s">
        <v>129</v>
      </c>
      <c r="F20" s="2" t="s">
        <v>1121</v>
      </c>
      <c r="G20" s="2" t="s">
        <v>79</v>
      </c>
      <c r="H20" s="2" t="s">
        <v>79</v>
      </c>
      <c r="I20" s="2" t="s">
        <v>1122</v>
      </c>
      <c r="J20" s="2" t="s">
        <v>1123</v>
      </c>
      <c r="K20" s="2"/>
      <c r="L20" s="2" t="s">
        <v>1105</v>
      </c>
      <c r="M20" s="2" t="s">
        <v>1124</v>
      </c>
      <c r="N20" s="2" t="s">
        <v>1081</v>
      </c>
      <c r="O20" s="2" t="s">
        <v>79</v>
      </c>
      <c r="P20" s="2" t="s">
        <v>1125</v>
      </c>
      <c r="Q20" s="2"/>
    </row>
    <row r="21" customFormat="false" ht="64.5" hidden="false" customHeight="true" outlineLevel="0" collapsed="false">
      <c r="A21" s="5" t="s">
        <v>1126</v>
      </c>
      <c r="B21" s="5" t="s">
        <v>26</v>
      </c>
      <c r="C21" s="5" t="s">
        <v>1127</v>
      </c>
      <c r="D21" s="5"/>
      <c r="E21" s="5" t="s">
        <v>1066</v>
      </c>
      <c r="F21" s="5" t="s">
        <v>1128</v>
      </c>
      <c r="G21" s="5" t="s">
        <v>968</v>
      </c>
      <c r="H21" s="5" t="s">
        <v>968</v>
      </c>
      <c r="I21" s="5" t="s">
        <v>1129</v>
      </c>
      <c r="J21" s="5" t="s">
        <v>1130</v>
      </c>
      <c r="K21" s="5"/>
      <c r="L21" s="5" t="s">
        <v>1096</v>
      </c>
      <c r="M21" s="5" t="s">
        <v>1131</v>
      </c>
      <c r="N21" s="5" t="s">
        <v>1072</v>
      </c>
      <c r="O21" s="5" t="s">
        <v>79</v>
      </c>
      <c r="P21" s="5" t="s">
        <v>1132</v>
      </c>
      <c r="Q21" s="5"/>
    </row>
    <row r="22" customFormat="false" ht="64.5" hidden="false" customHeight="true" outlineLevel="0" collapsed="false">
      <c r="A22" s="2" t="s">
        <v>1133</v>
      </c>
      <c r="B22" s="2" t="s">
        <v>26</v>
      </c>
      <c r="C22" s="2" t="s">
        <v>1134</v>
      </c>
      <c r="D22" s="2"/>
      <c r="E22" s="2" t="s">
        <v>1135</v>
      </c>
      <c r="F22" s="2" t="s">
        <v>1136</v>
      </c>
      <c r="G22" s="2" t="s">
        <v>79</v>
      </c>
      <c r="H22" s="2" t="s">
        <v>79</v>
      </c>
      <c r="I22" s="2" t="s">
        <v>1137</v>
      </c>
      <c r="J22" s="2" t="s">
        <v>1138</v>
      </c>
      <c r="K22" s="2"/>
      <c r="L22" s="2" t="s">
        <v>1096</v>
      </c>
      <c r="M22" s="2" t="s">
        <v>1139</v>
      </c>
      <c r="N22" s="2" t="s">
        <v>1089</v>
      </c>
      <c r="O22" s="2" t="s">
        <v>79</v>
      </c>
      <c r="P22" s="2" t="s">
        <v>1140</v>
      </c>
      <c r="Q22" s="2"/>
    </row>
    <row r="23" customFormat="false" ht="64.5" hidden="false" customHeight="true" outlineLevel="0" collapsed="false">
      <c r="A23" s="5" t="s">
        <v>1141</v>
      </c>
      <c r="B23" s="5" t="s">
        <v>1142</v>
      </c>
      <c r="C23" s="5" t="s">
        <v>1143</v>
      </c>
      <c r="D23" s="5"/>
      <c r="E23" s="5" t="s">
        <v>1144</v>
      </c>
      <c r="F23" s="5" t="s">
        <v>1145</v>
      </c>
      <c r="G23" s="5" t="s">
        <v>1041</v>
      </c>
      <c r="H23" s="5" t="s">
        <v>79</v>
      </c>
      <c r="I23" s="5" t="s">
        <v>1146</v>
      </c>
      <c r="J23" s="5" t="s">
        <v>1147</v>
      </c>
      <c r="K23" s="5"/>
      <c r="L23" s="5" t="s">
        <v>1148</v>
      </c>
      <c r="M23" s="5" t="s">
        <v>1149</v>
      </c>
      <c r="N23" s="5" t="s">
        <v>1150</v>
      </c>
      <c r="O23" s="5" t="s">
        <v>79</v>
      </c>
      <c r="P23" s="5" t="s">
        <v>1151</v>
      </c>
      <c r="Q23" s="5" t="s">
        <v>1152</v>
      </c>
    </row>
    <row r="24" customFormat="false" ht="64.5" hidden="false" customHeight="true" outlineLevel="0" collapsed="false">
      <c r="A24" s="2" t="s">
        <v>1153</v>
      </c>
      <c r="B24" s="2" t="s">
        <v>28</v>
      </c>
      <c r="C24" s="2" t="s">
        <v>1154</v>
      </c>
      <c r="D24" s="2"/>
      <c r="E24" s="2" t="s">
        <v>989</v>
      </c>
      <c r="F24" s="2" t="s">
        <v>1155</v>
      </c>
      <c r="G24" s="2" t="s">
        <v>79</v>
      </c>
      <c r="H24" s="2" t="s">
        <v>79</v>
      </c>
      <c r="I24" s="2" t="s">
        <v>1156</v>
      </c>
      <c r="J24" s="2" t="s">
        <v>1157</v>
      </c>
      <c r="K24" s="2"/>
      <c r="L24" s="2" t="s">
        <v>1001</v>
      </c>
      <c r="M24" s="2" t="s">
        <v>1158</v>
      </c>
      <c r="N24" s="2" t="s">
        <v>1159</v>
      </c>
      <c r="O24" s="2" t="s">
        <v>79</v>
      </c>
      <c r="P24" s="2" t="s">
        <v>1160</v>
      </c>
      <c r="Q24" s="2"/>
    </row>
    <row r="25" customFormat="false" ht="64.5" hidden="false" customHeight="true" outlineLevel="0" collapsed="false">
      <c r="A25" s="5" t="s">
        <v>1161</v>
      </c>
      <c r="B25" s="5" t="s">
        <v>26</v>
      </c>
      <c r="C25" s="5" t="s">
        <v>1162</v>
      </c>
      <c r="D25" s="5"/>
      <c r="E25" s="5" t="s">
        <v>1163</v>
      </c>
      <c r="F25" s="5" t="s">
        <v>1164</v>
      </c>
      <c r="G25" s="5" t="s">
        <v>79</v>
      </c>
      <c r="H25" s="5" t="s">
        <v>79</v>
      </c>
      <c r="I25" s="5" t="s">
        <v>1165</v>
      </c>
      <c r="J25" s="5" t="s">
        <v>1166</v>
      </c>
      <c r="K25" s="5" t="s">
        <v>1052</v>
      </c>
      <c r="L25" s="5" t="s">
        <v>960</v>
      </c>
      <c r="M25" s="5" t="s">
        <v>1167</v>
      </c>
      <c r="N25" s="5" t="s">
        <v>1054</v>
      </c>
      <c r="O25" s="5" t="s">
        <v>79</v>
      </c>
      <c r="P25" s="5" t="s">
        <v>1168</v>
      </c>
      <c r="Q25" s="5"/>
    </row>
    <row r="26" customFormat="false" ht="64.5" hidden="false" customHeight="true" outlineLevel="0" collapsed="false">
      <c r="A26" s="2" t="s">
        <v>1169</v>
      </c>
      <c r="B26" s="2" t="s">
        <v>8</v>
      </c>
      <c r="C26" s="2" t="s">
        <v>1170</v>
      </c>
      <c r="D26" s="2"/>
      <c r="E26" s="2" t="s">
        <v>1171</v>
      </c>
      <c r="F26" s="2" t="s">
        <v>1172</v>
      </c>
      <c r="G26" s="2" t="s">
        <v>79</v>
      </c>
      <c r="H26" s="2" t="s">
        <v>79</v>
      </c>
      <c r="I26" s="2" t="s">
        <v>1173</v>
      </c>
      <c r="J26" s="2" t="s">
        <v>1174</v>
      </c>
      <c r="K26" s="2"/>
      <c r="L26" s="2" t="s">
        <v>1175</v>
      </c>
      <c r="M26" s="2" t="s">
        <v>1176</v>
      </c>
      <c r="N26" s="2" t="s">
        <v>1177</v>
      </c>
      <c r="O26" s="2" t="s">
        <v>79</v>
      </c>
      <c r="P26" s="2" t="s">
        <v>1178</v>
      </c>
      <c r="Q26" s="2" t="s">
        <v>1179</v>
      </c>
    </row>
    <row r="27" customFormat="false" ht="64.5" hidden="false" customHeight="true" outlineLevel="0" collapsed="false">
      <c r="A27" s="5" t="s">
        <v>1180</v>
      </c>
      <c r="B27" s="5" t="s">
        <v>8</v>
      </c>
      <c r="C27" s="5" t="s">
        <v>1181</v>
      </c>
      <c r="D27" s="5"/>
      <c r="E27" s="5" t="s">
        <v>1058</v>
      </c>
      <c r="F27" s="5" t="s">
        <v>1182</v>
      </c>
      <c r="G27" s="5" t="s">
        <v>968</v>
      </c>
      <c r="H27" s="5" t="s">
        <v>968</v>
      </c>
      <c r="I27" s="5" t="s">
        <v>1183</v>
      </c>
      <c r="J27" s="5" t="s">
        <v>1184</v>
      </c>
      <c r="K27" s="5"/>
      <c r="L27" s="5" t="s">
        <v>1001</v>
      </c>
      <c r="M27" s="5" t="s">
        <v>1185</v>
      </c>
      <c r="N27" s="5" t="s">
        <v>1186</v>
      </c>
      <c r="O27" s="5" t="s">
        <v>79</v>
      </c>
      <c r="P27" s="5" t="s">
        <v>1187</v>
      </c>
      <c r="Q27" s="5"/>
    </row>
    <row r="28" customFormat="false" ht="64.5" hidden="false" customHeight="true" outlineLevel="0" collapsed="false">
      <c r="A28" s="2" t="s">
        <v>1188</v>
      </c>
      <c r="B28" s="2" t="s">
        <v>8</v>
      </c>
      <c r="C28" s="2" t="s">
        <v>1189</v>
      </c>
      <c r="D28" s="2"/>
      <c r="E28" s="2" t="s">
        <v>1190</v>
      </c>
      <c r="F28" s="2" t="s">
        <v>1191</v>
      </c>
      <c r="G28" s="2" t="s">
        <v>79</v>
      </c>
      <c r="H28" s="2" t="s">
        <v>79</v>
      </c>
      <c r="I28" s="2" t="s">
        <v>1192</v>
      </c>
      <c r="J28" s="2" t="s">
        <v>1193</v>
      </c>
      <c r="K28" s="2"/>
      <c r="L28" s="2" t="s">
        <v>1194</v>
      </c>
      <c r="M28" s="2" t="s">
        <v>1195</v>
      </c>
      <c r="N28" s="2" t="s">
        <v>1196</v>
      </c>
      <c r="O28" s="2" t="s">
        <v>79</v>
      </c>
      <c r="P28" s="2" t="s">
        <v>1197</v>
      </c>
      <c r="Q28" s="2"/>
    </row>
    <row r="29" customFormat="false" ht="64.5" hidden="false" customHeight="true" outlineLevel="0" collapsed="false">
      <c r="A29" s="5" t="s">
        <v>1198</v>
      </c>
      <c r="B29" s="5" t="s">
        <v>8</v>
      </c>
      <c r="C29" s="5" t="s">
        <v>1199</v>
      </c>
      <c r="D29" s="5"/>
      <c r="E29" s="5" t="s">
        <v>1200</v>
      </c>
      <c r="F29" s="5" t="s">
        <v>1201</v>
      </c>
      <c r="G29" s="5" t="s">
        <v>79</v>
      </c>
      <c r="H29" s="5" t="s">
        <v>79</v>
      </c>
      <c r="I29" s="5" t="s">
        <v>1202</v>
      </c>
      <c r="J29" s="5" t="s">
        <v>1203</v>
      </c>
      <c r="K29" s="5"/>
      <c r="L29" s="5" t="s">
        <v>1204</v>
      </c>
      <c r="M29" s="5" t="s">
        <v>1205</v>
      </c>
      <c r="N29" s="5" t="s">
        <v>1054</v>
      </c>
      <c r="O29" s="5" t="s">
        <v>79</v>
      </c>
      <c r="P29" s="5" t="s">
        <v>1206</v>
      </c>
      <c r="Q29" s="5"/>
    </row>
    <row r="30" customFormat="false" ht="64.5" hidden="false" customHeight="true" outlineLevel="0" collapsed="false">
      <c r="A30" s="2" t="s">
        <v>1207</v>
      </c>
      <c r="B30" s="2" t="s">
        <v>1208</v>
      </c>
      <c r="C30" s="2" t="s">
        <v>1209</v>
      </c>
      <c r="D30" s="2"/>
      <c r="E30" s="2" t="s">
        <v>1210</v>
      </c>
      <c r="F30" s="2" t="s">
        <v>1211</v>
      </c>
      <c r="G30" s="2" t="s">
        <v>1212</v>
      </c>
      <c r="H30" s="2" t="s">
        <v>1212</v>
      </c>
      <c r="I30" s="2" t="s">
        <v>1213</v>
      </c>
      <c r="J30" s="2" t="s">
        <v>1214</v>
      </c>
      <c r="K30" s="2" t="s">
        <v>1215</v>
      </c>
      <c r="L30" s="2" t="s">
        <v>1216</v>
      </c>
      <c r="M30" s="2" t="s">
        <v>1217</v>
      </c>
      <c r="N30" s="2" t="s">
        <v>1218</v>
      </c>
      <c r="O30" s="2" t="s">
        <v>79</v>
      </c>
      <c r="P30" s="2" t="s">
        <v>1219</v>
      </c>
      <c r="Q30" s="2" t="s">
        <v>1220</v>
      </c>
    </row>
    <row r="31" customFormat="false" ht="64.5" hidden="false" customHeight="true" outlineLevel="0" collapsed="false">
      <c r="A31" s="5" t="s">
        <v>1221</v>
      </c>
      <c r="B31" s="5" t="s">
        <v>1222</v>
      </c>
      <c r="C31" s="5" t="s">
        <v>1223</v>
      </c>
      <c r="D31" s="5"/>
      <c r="E31" s="5" t="s">
        <v>1224</v>
      </c>
      <c r="F31" s="5" t="s">
        <v>1225</v>
      </c>
      <c r="G31" s="5" t="s">
        <v>79</v>
      </c>
      <c r="H31" s="5" t="s">
        <v>79</v>
      </c>
      <c r="I31" s="5" t="s">
        <v>1226</v>
      </c>
      <c r="J31" s="5" t="s">
        <v>1227</v>
      </c>
      <c r="K31" s="5" t="s">
        <v>1228</v>
      </c>
      <c r="L31" s="14" t="s">
        <v>1229</v>
      </c>
      <c r="M31" s="5" t="s">
        <v>1230</v>
      </c>
      <c r="N31" s="5" t="s">
        <v>1231</v>
      </c>
      <c r="O31" s="5" t="s">
        <v>79</v>
      </c>
      <c r="P31" s="5" t="s">
        <v>1232</v>
      </c>
      <c r="Q31" s="5" t="s">
        <v>1233</v>
      </c>
    </row>
    <row r="32" customFormat="false" ht="64.5" hidden="false" customHeight="true" outlineLevel="0" collapsed="false">
      <c r="A32" s="2" t="s">
        <v>1234</v>
      </c>
      <c r="B32" s="2" t="s">
        <v>1222</v>
      </c>
      <c r="C32" s="2" t="s">
        <v>1235</v>
      </c>
      <c r="D32" s="2"/>
      <c r="E32" s="2" t="s">
        <v>1224</v>
      </c>
      <c r="F32" s="2" t="s">
        <v>1225</v>
      </c>
      <c r="G32" s="2" t="s">
        <v>79</v>
      </c>
      <c r="H32" s="2" t="s">
        <v>79</v>
      </c>
      <c r="I32" s="2" t="s">
        <v>1236</v>
      </c>
      <c r="J32" s="2" t="s">
        <v>1237</v>
      </c>
      <c r="K32" s="2" t="s">
        <v>1238</v>
      </c>
      <c r="L32" s="2" t="s">
        <v>1216</v>
      </c>
      <c r="M32" s="2" t="s">
        <v>1239</v>
      </c>
      <c r="N32" s="2" t="s">
        <v>1240</v>
      </c>
      <c r="O32" s="2" t="s">
        <v>79</v>
      </c>
      <c r="P32" s="2" t="s">
        <v>1241</v>
      </c>
      <c r="Q32" s="2" t="s">
        <v>1242</v>
      </c>
    </row>
    <row r="33" customFormat="false" ht="64.5" hidden="false" customHeight="true" outlineLevel="0" collapsed="false">
      <c r="A33" s="5" t="s">
        <v>1243</v>
      </c>
      <c r="B33" s="5" t="s">
        <v>1222</v>
      </c>
      <c r="C33" s="5" t="s">
        <v>1244</v>
      </c>
      <c r="D33" s="5"/>
      <c r="E33" s="5" t="s">
        <v>1224</v>
      </c>
      <c r="F33" s="5" t="s">
        <v>1225</v>
      </c>
      <c r="G33" s="5" t="s">
        <v>968</v>
      </c>
      <c r="H33" s="5" t="s">
        <v>968</v>
      </c>
      <c r="I33" s="5" t="s">
        <v>1245</v>
      </c>
      <c r="J33" s="5" t="s">
        <v>1246</v>
      </c>
      <c r="K33" s="5" t="s">
        <v>1238</v>
      </c>
      <c r="L33" s="5" t="s">
        <v>1216</v>
      </c>
      <c r="M33" s="5" t="s">
        <v>1247</v>
      </c>
      <c r="N33" s="5" t="s">
        <v>1248</v>
      </c>
      <c r="O33" s="5" t="s">
        <v>79</v>
      </c>
      <c r="P33" s="5" t="s">
        <v>1249</v>
      </c>
      <c r="Q33" s="5" t="s">
        <v>1250</v>
      </c>
    </row>
    <row r="34" customFormat="false" ht="64.5" hidden="false" customHeight="true" outlineLevel="0" collapsed="false">
      <c r="A34" s="2" t="s">
        <v>1251</v>
      </c>
      <c r="B34" s="2" t="s">
        <v>1222</v>
      </c>
      <c r="C34" s="2" t="s">
        <v>1252</v>
      </c>
      <c r="D34" s="2"/>
      <c r="E34" s="2" t="s">
        <v>1224</v>
      </c>
      <c r="F34" s="2" t="s">
        <v>1225</v>
      </c>
      <c r="G34" s="2" t="s">
        <v>968</v>
      </c>
      <c r="H34" s="2" t="s">
        <v>968</v>
      </c>
      <c r="I34" s="2" t="s">
        <v>1253</v>
      </c>
      <c r="J34" s="2" t="s">
        <v>1254</v>
      </c>
      <c r="K34" s="2" t="s">
        <v>1238</v>
      </c>
      <c r="L34" s="2" t="s">
        <v>1216</v>
      </c>
      <c r="M34" s="2" t="s">
        <v>1255</v>
      </c>
      <c r="N34" s="2" t="s">
        <v>1256</v>
      </c>
      <c r="O34" s="2" t="s">
        <v>79</v>
      </c>
      <c r="P34" s="2" t="s">
        <v>1257</v>
      </c>
      <c r="Q34" s="2"/>
    </row>
    <row r="35" customFormat="false" ht="64.5" hidden="false" customHeight="true" outlineLevel="0" collapsed="false">
      <c r="A35" s="5" t="s">
        <v>1258</v>
      </c>
      <c r="B35" s="5" t="s">
        <v>1222</v>
      </c>
      <c r="C35" s="5" t="s">
        <v>1259</v>
      </c>
      <c r="D35" s="5"/>
      <c r="E35" s="5" t="s">
        <v>1224</v>
      </c>
      <c r="F35" s="5" t="s">
        <v>1225</v>
      </c>
      <c r="G35" s="5" t="s">
        <v>968</v>
      </c>
      <c r="H35" s="5" t="s">
        <v>968</v>
      </c>
      <c r="I35" s="5" t="s">
        <v>1260</v>
      </c>
      <c r="J35" s="5" t="s">
        <v>1261</v>
      </c>
      <c r="K35" s="5" t="s">
        <v>1238</v>
      </c>
      <c r="L35" s="14" t="s">
        <v>1229</v>
      </c>
      <c r="M35" s="5" t="s">
        <v>1262</v>
      </c>
      <c r="N35" s="5" t="s">
        <v>1263</v>
      </c>
      <c r="O35" s="5" t="s">
        <v>79</v>
      </c>
      <c r="P35" s="5" t="s">
        <v>1264</v>
      </c>
      <c r="Q35" s="5" t="s">
        <v>1265</v>
      </c>
    </row>
    <row r="36" customFormat="false" ht="64.5" hidden="false" customHeight="true" outlineLevel="0" collapsed="false">
      <c r="A36" s="2" t="s">
        <v>1266</v>
      </c>
      <c r="B36" s="2" t="s">
        <v>1267</v>
      </c>
      <c r="C36" s="2" t="s">
        <v>1268</v>
      </c>
      <c r="D36" s="2"/>
      <c r="E36" s="2" t="s">
        <v>1224</v>
      </c>
      <c r="F36" s="2" t="s">
        <v>1225</v>
      </c>
      <c r="G36" s="2" t="s">
        <v>79</v>
      </c>
      <c r="H36" s="2" t="s">
        <v>79</v>
      </c>
      <c r="I36" s="2" t="s">
        <v>1269</v>
      </c>
      <c r="J36" s="2" t="s">
        <v>1270</v>
      </c>
      <c r="K36" s="2" t="s">
        <v>1271</v>
      </c>
      <c r="L36" s="2" t="s">
        <v>1272</v>
      </c>
      <c r="M36" s="2" t="s">
        <v>1273</v>
      </c>
      <c r="N36" s="2" t="s">
        <v>1274</v>
      </c>
      <c r="O36" s="2" t="s">
        <v>79</v>
      </c>
      <c r="P36" s="2" t="s">
        <v>1275</v>
      </c>
      <c r="Q36" s="2" t="s">
        <v>1276</v>
      </c>
    </row>
    <row r="37" customFormat="false" ht="64.5" hidden="false" customHeight="true" outlineLevel="0" collapsed="false">
      <c r="A37" s="5" t="s">
        <v>1277</v>
      </c>
      <c r="B37" s="5" t="s">
        <v>1267</v>
      </c>
      <c r="C37" s="5" t="s">
        <v>1278</v>
      </c>
      <c r="D37" s="5"/>
      <c r="E37" s="5" t="s">
        <v>1224</v>
      </c>
      <c r="F37" s="5" t="s">
        <v>1225</v>
      </c>
      <c r="G37" s="5" t="s">
        <v>968</v>
      </c>
      <c r="H37" s="5" t="s">
        <v>968</v>
      </c>
      <c r="I37" s="5" t="s">
        <v>1279</v>
      </c>
      <c r="J37" s="5" t="s">
        <v>1280</v>
      </c>
      <c r="K37" s="5" t="s">
        <v>1281</v>
      </c>
      <c r="L37" s="5" t="s">
        <v>1216</v>
      </c>
      <c r="M37" s="5" t="s">
        <v>1282</v>
      </c>
      <c r="N37" s="5" t="s">
        <v>1283</v>
      </c>
      <c r="O37" s="5" t="s">
        <v>79</v>
      </c>
      <c r="P37" s="5" t="s">
        <v>1284</v>
      </c>
      <c r="Q37" s="5" t="s">
        <v>1285</v>
      </c>
    </row>
    <row r="38" customFormat="false" ht="64.5" hidden="false" customHeight="true" outlineLevel="0" collapsed="false">
      <c r="A38" s="2" t="s">
        <v>1286</v>
      </c>
      <c r="B38" s="2" t="s">
        <v>1287</v>
      </c>
      <c r="C38" s="2" t="s">
        <v>1288</v>
      </c>
      <c r="D38" s="2"/>
      <c r="E38" s="2" t="s">
        <v>1224</v>
      </c>
      <c r="F38" s="2" t="s">
        <v>1225</v>
      </c>
      <c r="G38" s="2" t="s">
        <v>956</v>
      </c>
      <c r="H38" s="2" t="s">
        <v>968</v>
      </c>
      <c r="I38" s="2" t="s">
        <v>1289</v>
      </c>
      <c r="J38" s="2" t="s">
        <v>1290</v>
      </c>
      <c r="K38" s="2" t="s">
        <v>1291</v>
      </c>
      <c r="L38" s="2" t="s">
        <v>1292</v>
      </c>
      <c r="M38" s="2" t="s">
        <v>1293</v>
      </c>
      <c r="N38" s="2" t="s">
        <v>1294</v>
      </c>
      <c r="O38" s="2" t="s">
        <v>79</v>
      </c>
      <c r="P38" s="2" t="s">
        <v>1295</v>
      </c>
      <c r="Q38" s="2" t="s">
        <v>1296</v>
      </c>
    </row>
    <row r="39" customFormat="false" ht="64.5" hidden="false" customHeight="true" outlineLevel="0" collapsed="false">
      <c r="A39" s="5" t="s">
        <v>1297</v>
      </c>
      <c r="B39" s="5" t="s">
        <v>1287</v>
      </c>
      <c r="C39" s="5" t="s">
        <v>1298</v>
      </c>
      <c r="D39" s="5"/>
      <c r="E39" s="5" t="s">
        <v>1224</v>
      </c>
      <c r="F39" s="5" t="s">
        <v>1225</v>
      </c>
      <c r="G39" s="5" t="s">
        <v>79</v>
      </c>
      <c r="H39" s="5" t="s">
        <v>968</v>
      </c>
      <c r="I39" s="5" t="s">
        <v>1299</v>
      </c>
      <c r="J39" s="5" t="s">
        <v>1300</v>
      </c>
      <c r="K39" s="5" t="s">
        <v>1301</v>
      </c>
      <c r="L39" s="5" t="s">
        <v>1302</v>
      </c>
      <c r="M39" s="5" t="s">
        <v>1303</v>
      </c>
      <c r="N39" s="5" t="s">
        <v>1304</v>
      </c>
      <c r="O39" s="5" t="s">
        <v>79</v>
      </c>
      <c r="P39" s="5" t="s">
        <v>1305</v>
      </c>
      <c r="Q39" s="5" t="s">
        <v>1306</v>
      </c>
    </row>
    <row r="40" customFormat="false" ht="64.5" hidden="false" customHeight="true" outlineLevel="0" collapsed="false">
      <c r="A40" s="2" t="s">
        <v>1307</v>
      </c>
      <c r="B40" s="2" t="s">
        <v>1308</v>
      </c>
      <c r="C40" s="2" t="s">
        <v>1309</v>
      </c>
      <c r="D40" s="2"/>
      <c r="E40" s="2" t="s">
        <v>1224</v>
      </c>
      <c r="F40" s="2" t="s">
        <v>1225</v>
      </c>
      <c r="G40" s="2" t="s">
        <v>968</v>
      </c>
      <c r="H40" s="2" t="s">
        <v>968</v>
      </c>
      <c r="I40" s="2" t="s">
        <v>1310</v>
      </c>
      <c r="J40" s="2" t="s">
        <v>1311</v>
      </c>
      <c r="K40" s="2" t="s">
        <v>1312</v>
      </c>
      <c r="L40" s="2" t="s">
        <v>1216</v>
      </c>
      <c r="M40" s="2" t="s">
        <v>1313</v>
      </c>
      <c r="N40" s="2" t="s">
        <v>1314</v>
      </c>
      <c r="O40" s="2" t="s">
        <v>79</v>
      </c>
      <c r="P40" s="2" t="s">
        <v>1315</v>
      </c>
      <c r="Q40" s="2" t="s">
        <v>1316</v>
      </c>
    </row>
    <row r="41" customFormat="false" ht="64.5" hidden="false" customHeight="true" outlineLevel="0" collapsed="false">
      <c r="A41" s="5" t="s">
        <v>1317</v>
      </c>
      <c r="B41" s="5" t="s">
        <v>1308</v>
      </c>
      <c r="C41" s="5" t="s">
        <v>1318</v>
      </c>
      <c r="D41" s="5"/>
      <c r="E41" s="5" t="s">
        <v>1224</v>
      </c>
      <c r="F41" s="5" t="s">
        <v>1225</v>
      </c>
      <c r="G41" s="5" t="s">
        <v>1041</v>
      </c>
      <c r="H41" s="5" t="s">
        <v>79</v>
      </c>
      <c r="I41" s="5" t="s">
        <v>1319</v>
      </c>
      <c r="J41" s="5" t="s">
        <v>1320</v>
      </c>
      <c r="K41" s="5" t="s">
        <v>1228</v>
      </c>
      <c r="L41" s="14" t="s">
        <v>823</v>
      </c>
      <c r="M41" s="5" t="s">
        <v>1321</v>
      </c>
      <c r="N41" s="5" t="s">
        <v>1322</v>
      </c>
      <c r="O41" s="5" t="s">
        <v>79</v>
      </c>
      <c r="P41" s="5" t="s">
        <v>1323</v>
      </c>
      <c r="Q41" s="5" t="s">
        <v>1324</v>
      </c>
    </row>
    <row r="42" customFormat="false" ht="64.5" hidden="false" customHeight="true" outlineLevel="0" collapsed="false">
      <c r="A42" s="2" t="s">
        <v>1325</v>
      </c>
      <c r="B42" s="2" t="s">
        <v>1308</v>
      </c>
      <c r="C42" s="2" t="s">
        <v>1326</v>
      </c>
      <c r="D42" s="2"/>
      <c r="E42" s="2" t="s">
        <v>1224</v>
      </c>
      <c r="F42" s="2" t="s">
        <v>1225</v>
      </c>
      <c r="G42" s="2" t="s">
        <v>968</v>
      </c>
      <c r="H42" s="2" t="s">
        <v>968</v>
      </c>
      <c r="I42" s="2" t="s">
        <v>1327</v>
      </c>
      <c r="J42" s="2" t="s">
        <v>1328</v>
      </c>
      <c r="K42" s="2" t="s">
        <v>1312</v>
      </c>
      <c r="L42" s="2" t="s">
        <v>1216</v>
      </c>
      <c r="M42" s="2" t="s">
        <v>1329</v>
      </c>
      <c r="N42" s="2" t="s">
        <v>1330</v>
      </c>
      <c r="O42" s="2" t="s">
        <v>79</v>
      </c>
      <c r="P42" s="2" t="s">
        <v>1331</v>
      </c>
      <c r="Q42" s="2" t="s">
        <v>1332</v>
      </c>
    </row>
    <row r="43" customFormat="false" ht="64.5" hidden="false" customHeight="true" outlineLevel="0" collapsed="false">
      <c r="A43" s="5" t="s">
        <v>1333</v>
      </c>
      <c r="B43" s="5" t="s">
        <v>1308</v>
      </c>
      <c r="C43" s="5" t="s">
        <v>1334</v>
      </c>
      <c r="D43" s="5"/>
      <c r="E43" s="5" t="s">
        <v>1224</v>
      </c>
      <c r="F43" s="5" t="s">
        <v>1225</v>
      </c>
      <c r="G43" s="5" t="s">
        <v>79</v>
      </c>
      <c r="H43" s="5" t="s">
        <v>79</v>
      </c>
      <c r="I43" s="5" t="s">
        <v>1335</v>
      </c>
      <c r="J43" s="5" t="s">
        <v>1336</v>
      </c>
      <c r="K43" s="5" t="s">
        <v>1228</v>
      </c>
      <c r="L43" s="14" t="s">
        <v>1229</v>
      </c>
      <c r="M43" s="5" t="s">
        <v>1337</v>
      </c>
      <c r="N43" s="5" t="s">
        <v>1338</v>
      </c>
      <c r="O43" s="5" t="s">
        <v>79</v>
      </c>
      <c r="P43" s="5" t="s">
        <v>1339</v>
      </c>
      <c r="Q43" s="5" t="s">
        <v>1340</v>
      </c>
    </row>
    <row r="44" customFormat="false" ht="64.5" hidden="false" customHeight="true" outlineLevel="0" collapsed="false">
      <c r="A44" s="2" t="s">
        <v>1341</v>
      </c>
      <c r="B44" s="2" t="s">
        <v>1308</v>
      </c>
      <c r="C44" s="2" t="s">
        <v>1342</v>
      </c>
      <c r="D44" s="2"/>
      <c r="E44" s="2" t="s">
        <v>1224</v>
      </c>
      <c r="F44" s="2" t="s">
        <v>1225</v>
      </c>
      <c r="G44" s="2" t="s">
        <v>79</v>
      </c>
      <c r="H44" s="2" t="s">
        <v>79</v>
      </c>
      <c r="I44" s="2" t="s">
        <v>1343</v>
      </c>
      <c r="J44" s="2" t="s">
        <v>1344</v>
      </c>
      <c r="K44" s="2" t="s">
        <v>1312</v>
      </c>
      <c r="L44" s="2" t="s">
        <v>1216</v>
      </c>
      <c r="M44" s="2" t="s">
        <v>1345</v>
      </c>
      <c r="N44" s="2" t="s">
        <v>1346</v>
      </c>
      <c r="O44" s="2" t="s">
        <v>79</v>
      </c>
      <c r="P44" s="2" t="s">
        <v>1347</v>
      </c>
      <c r="Q44" s="2" t="s">
        <v>1348</v>
      </c>
    </row>
    <row r="45" customFormat="false" ht="64.5" hidden="false" customHeight="true" outlineLevel="0" collapsed="false">
      <c r="A45" s="5" t="s">
        <v>1349</v>
      </c>
      <c r="B45" s="5" t="s">
        <v>1308</v>
      </c>
      <c r="C45" s="5" t="s">
        <v>1350</v>
      </c>
      <c r="D45" s="5"/>
      <c r="E45" s="5" t="s">
        <v>1224</v>
      </c>
      <c r="F45" s="5" t="s">
        <v>1225</v>
      </c>
      <c r="G45" s="5" t="s">
        <v>968</v>
      </c>
      <c r="H45" s="5" t="s">
        <v>968</v>
      </c>
      <c r="I45" s="5" t="s">
        <v>1351</v>
      </c>
      <c r="J45" s="5" t="s">
        <v>1352</v>
      </c>
      <c r="K45" s="5" t="s">
        <v>1312</v>
      </c>
      <c r="L45" s="5" t="s">
        <v>1216</v>
      </c>
      <c r="M45" s="5" t="s">
        <v>1353</v>
      </c>
      <c r="N45" s="5" t="s">
        <v>1354</v>
      </c>
      <c r="O45" s="5" t="s">
        <v>79</v>
      </c>
      <c r="P45" s="5" t="s">
        <v>1355</v>
      </c>
      <c r="Q45" s="5" t="s">
        <v>1356</v>
      </c>
    </row>
    <row r="46" customFormat="false" ht="64.5" hidden="false" customHeight="true" outlineLevel="0" collapsed="false">
      <c r="A46" s="2" t="s">
        <v>1357</v>
      </c>
      <c r="B46" s="2" t="s">
        <v>1308</v>
      </c>
      <c r="C46" s="2" t="s">
        <v>1358</v>
      </c>
      <c r="D46" s="2"/>
      <c r="E46" s="2" t="s">
        <v>1224</v>
      </c>
      <c r="F46" s="2" t="s">
        <v>1225</v>
      </c>
      <c r="G46" s="2" t="s">
        <v>79</v>
      </c>
      <c r="H46" s="2" t="s">
        <v>79</v>
      </c>
      <c r="I46" s="2" t="s">
        <v>1359</v>
      </c>
      <c r="J46" s="2" t="s">
        <v>1360</v>
      </c>
      <c r="K46" s="2" t="s">
        <v>1312</v>
      </c>
      <c r="L46" s="2" t="s">
        <v>1216</v>
      </c>
      <c r="M46" s="2" t="s">
        <v>1361</v>
      </c>
      <c r="N46" s="2" t="s">
        <v>1362</v>
      </c>
      <c r="O46" s="2" t="s">
        <v>79</v>
      </c>
      <c r="P46" s="2" t="s">
        <v>1363</v>
      </c>
      <c r="Q46" s="2" t="s">
        <v>1364</v>
      </c>
    </row>
    <row r="47" customFormat="false" ht="64.5" hidden="false" customHeight="true" outlineLevel="0" collapsed="false">
      <c r="A47" s="5" t="s">
        <v>1365</v>
      </c>
      <c r="B47" s="5" t="s">
        <v>1366</v>
      </c>
      <c r="C47" s="5" t="s">
        <v>1367</v>
      </c>
      <c r="D47" s="5"/>
      <c r="E47" s="5" t="s">
        <v>1224</v>
      </c>
      <c r="F47" s="5" t="s">
        <v>1225</v>
      </c>
      <c r="G47" s="5" t="s">
        <v>79</v>
      </c>
      <c r="H47" s="5" t="s">
        <v>79</v>
      </c>
      <c r="I47" s="5" t="s">
        <v>1368</v>
      </c>
      <c r="J47" s="5" t="s">
        <v>1369</v>
      </c>
      <c r="K47" s="5" t="s">
        <v>1370</v>
      </c>
      <c r="L47" s="5" t="s">
        <v>1216</v>
      </c>
      <c r="M47" s="5" t="s">
        <v>1371</v>
      </c>
      <c r="N47" s="5" t="s">
        <v>1372</v>
      </c>
      <c r="O47" s="5" t="s">
        <v>79</v>
      </c>
      <c r="P47" s="5" t="s">
        <v>1373</v>
      </c>
      <c r="Q47" s="5" t="s">
        <v>1374</v>
      </c>
    </row>
    <row r="48" customFormat="false" ht="64.5" hidden="false" customHeight="true" outlineLevel="0" collapsed="false">
      <c r="A48" s="2" t="s">
        <v>1375</v>
      </c>
      <c r="B48" s="2" t="s">
        <v>1376</v>
      </c>
      <c r="C48" s="2" t="s">
        <v>1377</v>
      </c>
      <c r="D48" s="2" t="s">
        <v>1378</v>
      </c>
      <c r="E48" s="2" t="s">
        <v>1379</v>
      </c>
      <c r="F48" s="2" t="s">
        <v>1380</v>
      </c>
      <c r="G48" s="2" t="s">
        <v>968</v>
      </c>
      <c r="H48" s="2" t="s">
        <v>968</v>
      </c>
      <c r="I48" s="2" t="s">
        <v>1381</v>
      </c>
      <c r="J48" s="2" t="s">
        <v>1382</v>
      </c>
      <c r="K48" s="2" t="s">
        <v>1383</v>
      </c>
      <c r="L48" s="2" t="s">
        <v>860</v>
      </c>
      <c r="M48" s="2" t="s">
        <v>1384</v>
      </c>
      <c r="N48" s="2" t="s">
        <v>1385</v>
      </c>
      <c r="O48" s="2" t="s">
        <v>79</v>
      </c>
      <c r="P48" s="2" t="s">
        <v>1386</v>
      </c>
      <c r="Q48" s="2" t="s">
        <v>1387</v>
      </c>
    </row>
    <row r="49" customFormat="false" ht="64.5" hidden="false" customHeight="true" outlineLevel="0" collapsed="false">
      <c r="A49" s="5" t="s">
        <v>1388</v>
      </c>
      <c r="B49" s="5" t="s">
        <v>1376</v>
      </c>
      <c r="C49" s="5" t="s">
        <v>1389</v>
      </c>
      <c r="D49" s="5"/>
      <c r="E49" s="5" t="s">
        <v>1390</v>
      </c>
      <c r="F49" s="5" t="s">
        <v>1391</v>
      </c>
      <c r="G49" s="5" t="s">
        <v>968</v>
      </c>
      <c r="H49" s="5" t="s">
        <v>968</v>
      </c>
      <c r="I49" s="5" t="s">
        <v>1392</v>
      </c>
      <c r="J49" s="5" t="s">
        <v>1393</v>
      </c>
      <c r="K49" s="5" t="s">
        <v>1394</v>
      </c>
      <c r="L49" s="5" t="s">
        <v>1395</v>
      </c>
      <c r="M49" s="5" t="s">
        <v>1396</v>
      </c>
      <c r="N49" s="5" t="s">
        <v>1397</v>
      </c>
      <c r="O49" s="5" t="s">
        <v>79</v>
      </c>
      <c r="P49" s="5" t="s">
        <v>1398</v>
      </c>
      <c r="Q49" s="5" t="s">
        <v>1399</v>
      </c>
    </row>
    <row r="50" customFormat="false" ht="64.5" hidden="false" customHeight="true" outlineLevel="0" collapsed="false">
      <c r="A50" s="2" t="s">
        <v>1400</v>
      </c>
      <c r="B50" s="2" t="s">
        <v>1376</v>
      </c>
      <c r="C50" s="2" t="s">
        <v>1401</v>
      </c>
      <c r="D50" s="2"/>
      <c r="E50" s="2" t="s">
        <v>1402</v>
      </c>
      <c r="F50" s="2" t="s">
        <v>1403</v>
      </c>
      <c r="G50" s="2" t="s">
        <v>968</v>
      </c>
      <c r="H50" s="2" t="s">
        <v>968</v>
      </c>
      <c r="I50" s="2" t="s">
        <v>1404</v>
      </c>
      <c r="J50" s="2" t="s">
        <v>1405</v>
      </c>
      <c r="K50" s="2" t="s">
        <v>1406</v>
      </c>
      <c r="L50" s="2" t="s">
        <v>1395</v>
      </c>
      <c r="M50" s="2" t="s">
        <v>1407</v>
      </c>
      <c r="N50" s="2" t="s">
        <v>1408</v>
      </c>
      <c r="O50" s="2" t="s">
        <v>79</v>
      </c>
      <c r="P50" s="2" t="s">
        <v>1409</v>
      </c>
      <c r="Q50" s="2" t="s">
        <v>1410</v>
      </c>
    </row>
  </sheetData>
  <autoFilter ref="A1:Q50"/>
  <hyperlinks>
    <hyperlink ref="L31" r:id="rId1" display="https://www.yanmar.com/marine/wp-content/uploads/2020/03/DS_8LV320-350-370_A4_2021_1018_HR.pdf?download=1 | https://www.yanmar.com/marine/wp-content/uploads/2020/05/Yanmar-Datasheet_6LPA-STP2.pdf?download=1"/>
    <hyperlink ref="L35" r:id="rId2" display="https://www.yanmar.com/marine/wp-content/uploads/2020/03/DS_8LV320-350-370_A4_2021_1018_HR.pdf?download=1 | https://www.yanmar.com/marine/wp-content/uploads/2020/05/Yanmar-Datasheet_6LPA-STP2.pdf?download=1"/>
    <hyperlink ref="L41" r:id="rId3" display="https://www.yanmar.com/marine/product/engines/8lv320/"/>
    <hyperlink ref="L43" r:id="rId4" display="https://www.yanmar.com/marine/wp-content/uploads/2020/03/DS_8LV320-350-370_A4_2021_1018_HR.pdf?download=1 | https://www.yanmar.com/marine/wp-content/uploads/2020/05/Yanmar-Datasheet_6LPA-STP2.pdf?download=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50"/>
  </cols>
  <sheetData>
    <row r="1" customFormat="false" ht="45" hidden="false" customHeight="true" outlineLevel="0" collapsed="false">
      <c r="A1" s="1" t="s">
        <v>1411</v>
      </c>
      <c r="B1" s="1" t="s">
        <v>1412</v>
      </c>
    </row>
    <row r="2" customFormat="false" ht="64.5" hidden="false" customHeight="true" outlineLevel="0" collapsed="false">
      <c r="A2" s="2" t="s">
        <v>6</v>
      </c>
      <c r="B2" s="2" t="s">
        <v>37</v>
      </c>
    </row>
    <row r="3" customFormat="false" ht="64.5" hidden="false" customHeight="true" outlineLevel="0" collapsed="false">
      <c r="A3" s="5" t="s">
        <v>38</v>
      </c>
      <c r="B3" s="5" t="s">
        <v>39</v>
      </c>
    </row>
    <row r="4" customFormat="false" ht="64.5" hidden="false" customHeight="true" outlineLevel="0" collapsed="false">
      <c r="A4" s="2" t="s">
        <v>40</v>
      </c>
      <c r="B4" s="2" t="s">
        <v>41</v>
      </c>
    </row>
    <row r="5" customFormat="false" ht="64.5" hidden="false" customHeight="true" outlineLevel="0" collapsed="false">
      <c r="A5" s="5" t="s">
        <v>42</v>
      </c>
      <c r="B5" s="5" t="s">
        <v>43</v>
      </c>
    </row>
    <row r="6" customFormat="false" ht="64.5" hidden="false" customHeight="true" outlineLevel="0" collapsed="false">
      <c r="A6" s="2" t="s">
        <v>44</v>
      </c>
      <c r="B6" s="2" t="s">
        <v>45</v>
      </c>
    </row>
    <row r="7" customFormat="false" ht="64.5" hidden="false" customHeight="true" outlineLevel="0" collapsed="false">
      <c r="A7" s="5" t="s">
        <v>46</v>
      </c>
      <c r="B7" s="5" t="s">
        <v>47</v>
      </c>
    </row>
    <row r="8" customFormat="false" ht="64.5" hidden="false" customHeight="true" outlineLevel="0" collapsed="false">
      <c r="A8" s="2" t="s">
        <v>48</v>
      </c>
      <c r="B8" s="2" t="s">
        <v>49</v>
      </c>
    </row>
    <row r="9" customFormat="false" ht="64.5" hidden="false" customHeight="true" outlineLevel="0" collapsed="false">
      <c r="A9" s="5" t="s">
        <v>50</v>
      </c>
      <c r="B9" s="5" t="s">
        <v>51</v>
      </c>
    </row>
    <row r="10" customFormat="false" ht="64.5" hidden="false" customHeight="true" outlineLevel="0" collapsed="false">
      <c r="A10" s="2" t="s">
        <v>1413</v>
      </c>
      <c r="B10" s="11" t="s">
        <v>1414</v>
      </c>
    </row>
    <row r="11" customFormat="false" ht="64.5" hidden="false" customHeight="true" outlineLevel="0" collapsed="false">
      <c r="A11" s="5" t="s">
        <v>1415</v>
      </c>
      <c r="B11" s="5" t="s">
        <v>1416</v>
      </c>
    </row>
    <row r="12" customFormat="false" ht="64.5" hidden="false" customHeight="true" outlineLevel="0" collapsed="false">
      <c r="A12" s="2" t="s">
        <v>1417</v>
      </c>
      <c r="B12" s="2" t="s">
        <v>1418</v>
      </c>
    </row>
    <row r="13" customFormat="false" ht="64.5" hidden="false" customHeight="true" outlineLevel="0" collapsed="false">
      <c r="A13" s="5" t="s">
        <v>1419</v>
      </c>
      <c r="B13" s="5" t="s">
        <v>1420</v>
      </c>
    </row>
    <row r="14" customFormat="false" ht="64.5" hidden="false" customHeight="true" outlineLevel="0" collapsed="false">
      <c r="A14" s="2" t="s">
        <v>1421</v>
      </c>
      <c r="B14" s="2" t="s">
        <v>1422</v>
      </c>
    </row>
  </sheetData>
  <autoFilter ref="A1:B14"/>
  <hyperlinks>
    <hyperlink ref="B10" r:id="rId1" display="https://www.podatki.gov.pl/podatki-firmowe/vat/stawki-i-limit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2026-09-11T12:30:21Z</dcterms:created>
  <dc:creator>openpyxl</dc:creator>
  <dc:description/>
  <dc:language>en-US</dc:language>
  <cp:lastModifiedBy/>
  <dcterms:modified xsi:type="dcterms:W3CDTF">2026-09-11T12:30:22Z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