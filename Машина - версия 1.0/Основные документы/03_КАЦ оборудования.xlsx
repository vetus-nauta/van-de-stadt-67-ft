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Старт" sheetId="1" state="visible" r:id="rId3"/>
    <sheet name="01_Пакеты" sheetId="2" state="visible" r:id="rId4"/>
    <sheet name="02_Цены" sheetId="3" state="visible" r:id="rId5"/>
    <sheet name="03_Состав" sheetId="4" state="visible" r:id="rId6"/>
    <sheet name="04_Комплектность" sheetId="5" state="visible" r:id="rId7"/>
    <sheet name="05_КАЦ" sheetId="6" state="visible" r:id="rId8"/>
    <sheet name="06_НДС" sheetId="7" state="visible" r:id="rId9"/>
    <sheet name="07_Открытые вопросы" sheetId="8" state="visible" r:id="rId10"/>
  </sheets>
  <definedNames>
    <definedName function="false" hidden="false" localSheetId="0" name="_xlnm.Print_Titles" vbProcedure="false">00_Старт!$1:$1</definedName>
    <definedName function="false" hidden="true" localSheetId="0" name="_xlnm._FilterDatabase" vbProcedure="false">00_Старт!$A$1:$B$15</definedName>
    <definedName function="false" hidden="false" localSheetId="1" name="_xlnm.Print_Titles" vbProcedure="false">01_Пакеты!$1:$1</definedName>
    <definedName function="false" hidden="true" localSheetId="1" name="_xlnm._FilterDatabase" vbProcedure="false">01_Пакеты!$A$1:$H$13</definedName>
    <definedName function="false" hidden="false" localSheetId="2" name="_xlnm.Print_Titles" vbProcedure="false">02_Цены!$1:$1</definedName>
    <definedName function="false" hidden="true" localSheetId="2" name="_xlnm._FilterDatabase" vbProcedure="false">02_Цены!$A$1:$X$72</definedName>
    <definedName function="false" hidden="false" localSheetId="3" name="_xlnm.Print_Titles" vbProcedure="false">03_Состав!$1:$1</definedName>
    <definedName function="false" hidden="true" localSheetId="3" name="_xlnm._FilterDatabase" vbProcedure="false">03_Состав!$A$1:$L$80</definedName>
    <definedName function="false" hidden="false" localSheetId="4" name="_xlnm.Print_Titles" vbProcedure="false">04_Комплектность!$1:$1</definedName>
    <definedName function="false" hidden="true" localSheetId="4" name="_xlnm._FilterDatabase" vbProcedure="false">04_Комплектность!$A$1:$G$178</definedName>
    <definedName function="false" hidden="false" localSheetId="5" name="_xlnm.Print_Titles" vbProcedure="false">05_КАЦ!$1:$1</definedName>
    <definedName function="false" hidden="true" localSheetId="5" name="_xlnm._FilterDatabase" vbProcedure="false">05_КАЦ!$A$1:$Y$37</definedName>
    <definedName function="false" hidden="false" localSheetId="6" name="_xlnm.Print_Titles" vbProcedure="false">06_НДС!$1:$1</definedName>
    <definedName function="false" hidden="true" localSheetId="6" name="_xlnm._FilterDatabase" vbProcedure="false">06_НДС!$A$1:$S$37</definedName>
    <definedName function="false" hidden="false" localSheetId="7" name="_xlnm.Print_Titles" vbProcedure="false">'07_Открытые вопросы'!$1:$1</definedName>
    <definedName function="false" hidden="true" localSheetId="7" name="_xlnm._FilterDatabase" vbProcedure="false">'07_Открытые вопросы'!$A$1:$D$13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<sst xmlns="http://schemas.openxmlformats.org/spreadsheetml/2006/main" count="3054" uniqueCount="1128">
  <si>
    <t xml:space="preserve">Тема</t>
  </si>
  <si>
    <t xml:space="preserve">Правило</t>
  </si>
  <si>
    <t xml:space="preserve">Статус</t>
  </si>
  <si>
    <t xml:space="preserve">M03 / 11.09.2026 — рабочая КАЦ с открытыми исходными данными. 36 слотов A/B/C для 12 функциональных пакетов; это не 36 полученных КП и не три утверждённых комплекта яхты.</t>
  </si>
  <si>
    <t xml:space="preserve">Yanmar и Fischer Panda</t>
  </si>
  <si>
    <t xml:space="preserve">Yanmar добавлен отдельными новыми источниками. Fischer Panda сохранён, добавлены предложения/исполнения. Наличие марки не означает выбор или совместимость с сетью/пуском.</t>
  </si>
  <si>
    <t xml:space="preserve">Сравниваем результат</t>
  </si>
  <si>
    <t xml:space="preserve">Разные устройства и внутренний BOM допустимы при нужном результате. Основные заданные количества сохраняются. A/B/C — гипотезы исполнения, не ранг цены или качества.</t>
  </si>
  <si>
    <t xml:space="preserve">Порядок работы</t>
  </si>
  <si>
    <t xml:space="preserve">Согласовать результат и BOM → дополнить источники цен/КП → закрыть комплектность со ссылками → проверить технику/коммерческие условия → доставка и налоги → решение. Слоты PK09–PK11 пока используют общие ориентиры, не три независимые поставки.</t>
  </si>
  <si>
    <t xml:space="preserve">Листы</t>
  </si>
  <si>
    <t xml:space="preserve">01: функциональное задание; 02: цены и прямые URL; 03: построчный состав вариантов; 04: полнота; 05: КАЦ; 06: налоговые операции; 07: открытые вопросы.</t>
  </si>
  <si>
    <t xml:space="preserve">Известная часть</t>
  </si>
  <si>
    <t xml:space="preserve">На листе 05 сумма известных товаров дана отдельно. Полный NET появится только после закрытия состава, цен, исключений источников и двух допусков. Пустая ячейка не означает ноль. Общего итога МО нет.</t>
  </si>
  <si>
    <t xml:space="preserve">Количество</t>
  </si>
  <si>
    <t xml:space="preserve">1 двигатель; 2 генератора; 2 основных инвертора; 6+2+1 физических АКБ; 1 водяная установка каждого питания; 1 опреснитель; 2 чиллера. ME06 — 1 функция резерва, не обязательный третий инвертор. Количество бойлеров и обвязки открыто.</t>
  </si>
  <si>
    <t xml:space="preserve">Цена</t>
  </si>
  <si>
    <t xml:space="preserve">NET в исходной валюте → единичный EUR с округлением HALF_UP до цента → количество. GBP / 0.85915, ECB 10.09.2026. Курс для сравнения, не автоматический курс налоговой декларации.</t>
  </si>
  <si>
    <t xml:space="preserve">Доплаты</t>
  </si>
  <si>
    <t xml:space="preserve">В 05_КАЦ шесть полей доплат: доставка, страхование, пошлина, оформление, монтаж/ПНР и прочее. Ввести обоснованный ноль, если затрата отсутствует или уже включена. Не учитывать повторно включённую услугу.</t>
  </si>
  <si>
    <t xml:space="preserve">НДС</t>
  </si>
  <si>
    <t xml:space="preserve">Покупатель, VAT-UE и использование яхты ещё неизвестны. На 06_НДС нет ставки 23% по умолчанию и автоматического вычета. Операции разделять по счетам/таможенным документам; не применять одну ставку ко всему варианту без основания.</t>
  </si>
  <si>
    <t xml:space="preserve">НДС и деньги</t>
  </si>
  <si>
    <t xml:space="preserve">Невозмещаемый VAT входит в стоимость, вычет показывается отдельно. Денежный платёж и ожидаемый возврат вводятся отдельно: при WNT зачёт может быть без оплаты VAT. График финансирования ещё не рассчитан.</t>
  </si>
  <si>
    <t xml:space="preserve">Статусы закрытия</t>
  </si>
  <si>
    <t xml:space="preserve">PASS/CONFIRMED_FULL/CLOSED/CONFIRMED_ALL_DOCUMENTS требуют реального подтверждения, не проставляются по наличию числа. Внешние корпусные и общесудовые работы раскрывать отдельными связями.</t>
  </si>
  <si>
    <t xml:space="preserve">Редактирование</t>
  </si>
  <si>
    <t xml:space="preserve">Синие поля — ввод, серые — формулы. Регистр цен содержит источники, а не выбранную закупку. После выпуска работать в следующей версии/копии; расширяя листы, продлить формулы и диапазоны. Формулы в этом выпуске рассчитаны LibreOffice.</t>
  </si>
  <si>
    <t xml:space="preserve">Сохранность</t>
  </si>
  <si>
    <t xml:space="preserve">Исходные U01/M01/M02 и чертежи сохранены. Полные сторонние PDF локально .local/M03, ссылки и SHA в сопровождении. Поставщикам ничего не отправлено.</t>
  </si>
  <si>
    <t xml:space="preserve">Пакет</t>
  </si>
  <si>
    <t xml:space="preserve">Результат / система</t>
  </si>
  <si>
    <t xml:space="preserve">Группы M01</t>
  </si>
  <si>
    <t xml:space="preserve">Требуемый выход</t>
  </si>
  <si>
    <t xml:space="preserve">Фиксированные количества</t>
  </si>
  <si>
    <t xml:space="preserve">Полная граница поставки</t>
  </si>
  <si>
    <t xml:space="preserve">Критерий приёмки</t>
  </si>
  <si>
    <t xml:space="preserve">Открытые параметры</t>
  </si>
  <si>
    <t xml:space="preserve">PK01</t>
  </si>
  <si>
    <t xml:space="preserve">Ход яхты</t>
  </si>
  <si>
    <t xml:space="preserve">ME-01|ME-02|ME-03</t>
  </si>
  <si>
    <t xml:space="preserve">Нужные скорость, тяга, длительная работа, манёвр и привод гидравлики</t>
  </si>
  <si>
    <t xml:space="preserve">1 двигатель; 1 редуктор предлагается</t>
  </si>
  <si>
    <t xml:space="preserve">Двигатель и согласованный редуктор, заводские опоры, управление и жгуты; муфта, упорный узел, вал, дейдвуд, подшипники, уплотнение и согласованный движитель; монтаж, центровка, настройка и собственные испытания | Включения двигателя раскрыть по позициям | Внешнее топливо, охлаждение, выхлоп и вентиляция — PK09; гидронасос и его силовой привод — PK12; механическая совместимость PTO — интерфейс PK01/PK12</t>
  </si>
  <si>
    <t xml:space="preserve">Расход на крейсерском ходу, установленная длина и масса, шум, обслуживание. Номинал 300 л.с. не доказывает одинаковый результат.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</si>
  <si>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300 л.с. — исходный ориентир. Скорость, сопротивление, рабочий режим и PTO не рассчитаны. Измеренная компоновка, монтажные и сервисные зоны, полный состав поставки и интерфейсы ещё требуют подтверждения.</t>
  </si>
  <si>
    <t xml:space="preserve">PK02</t>
  </si>
  <si>
    <t xml:space="preserve">Генерация</t>
  </si>
  <si>
    <t xml:space="preserve">ME-04</t>
  </si>
  <si>
    <t xml:space="preserve">Питание нагрузок и заряд; согласованный уровень сервиса при отказе одного генератора</t>
  </si>
  <si>
    <t xml:space="preserve">2 генератора</t>
  </si>
  <si>
    <t xml:space="preserve">Два генераторных агрегата с согласованными капсулами, опорами, собственным управлением и заводским оснащением; монтаж, местная настройка и испытания каждого | Внешние независимые топливные, водяные и выхлопные ветви — PK09; силовое переключение, распределение и кабели — PK03; пусковые АКБ и резервные связи — PK04 | Параллельную работу не считать включённой по умолчанию</t>
  </si>
  <si>
    <t xml:space="preserve">Полезные кВт в условиях МО, пуск нагрузок, шум на одинаковой нагрузке, расход топлива, доступ для сервиса.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</si>
  <si>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Около 11.5–12 кВА — исходный ориентир. Постоянные и пиковые нагрузки, режим отказа открыты. Измеренная компоновка, монтажные и сервисные зоны, полный состав поставки и интерфейсы ещё требуют подтверждения.</t>
  </si>
  <si>
    <t xml:space="preserve">PK03</t>
  </si>
  <si>
    <t xml:space="preserve">Электропитание</t>
  </si>
  <si>
    <t xml:space="preserve">ME-05|ME-06|ME-09|ME-10</t>
  </si>
  <si>
    <t xml:space="preserve">24 В DC / 220 В AC; питание согласованных потребителей, переключение источников и сохранение воды при отказе общего инвертора</t>
  </si>
  <si>
    <t xml:space="preserve">2 основных инвертора; 1 независимая функция питания насоса</t>
  </si>
  <si>
    <t xml:space="preserve">Два основных инвертора/зарядных устройства, береговой ввод и развязка, AC/DC распределение, защиты и общесудовые питающие кабели до границ потребителей; контроль источников, заряд и отключение второстепенных нагрузок, критическое питание | ME-06: одна независимая функция питания AC водяной ветви при отказе гостиничного инвертора; отдельный третий инвертор не назначен | Монтаж, маркировка и электрические проверки | Пусковые силовые пути, изоляция АКБ и BMS — PK04</t>
  </si>
  <si>
    <t xml:space="preserve">Непрерывная мощность при температуре МО, пуск потребителей, время заряда, потери, масса, габариты и резерв.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</si>
  <si>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3 кВА — поисковый класс, не утверждённая мощность. Баланс и береговой ввод открыты. Измеренная компоновка, монтажные и сервисные зоны, полный состав поставки и интерфейсы ещё требуют подтверждения.</t>
  </si>
  <si>
    <t xml:space="preserve">PK04</t>
  </si>
  <si>
    <t xml:space="preserve">АКБ и резервный пуск</t>
  </si>
  <si>
    <t xml:space="preserve">ME-07|ME-08|ME-27|ME-28</t>
  </si>
  <si>
    <t xml:space="preserve">Автономность сервисных нагрузок и запуск с поста управления при отказе пусковой АКБ</t>
  </si>
  <si>
    <t xml:space="preserve">6 сервисных + 2 генераторных + 1 главного двигателя</t>
  </si>
  <si>
    <t xml:space="preserve">Девять физических АКБ по назначению; крепления и защитные объёмы, BMS по химии, батарейная и стартерная коммутация, силовые кабели до согласованных точек подключения PK03/стартеров, дистанционные контакторы, межблокировки и подтверждение состояния | Изоляция неисправной АКБ перед резервным пуском; местная блокировка обслуживания, питание управления и проверка всех разрешённых путей запуска | Зарядные устройства — PK03; независимость и настройки зарядки совместно PK03/PK04</t>
  </si>
  <si>
    <t xml:space="preserve">Доступная энергия при принятом разряде, пусковая способность резервных источников, ресурс и обслуживание. Одинаковые А·ч не достаточны.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</si>
  <si>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Уточнение 115 ампер/А·ч и напряжения каждой АКБ ожидается. Пусковые токи, химия и допустимый разряд открыты. Измеренная компоновка, монтажные и сервисные зоны, полный состав поставки и интерфейсы ещё требуют подтверждения.</t>
  </si>
  <si>
    <t xml:space="preserve">PK05</t>
  </si>
  <si>
    <t xml:space="preserve">Пресная вода</t>
  </si>
  <si>
    <t xml:space="preserve">ME-11|ME-12|ME-17</t>
  </si>
  <si>
    <t xml:space="preserve">Нужные напор и расход при согласованном числе открытых точек; работа резервной ветви</t>
  </si>
  <si>
    <t xml:space="preserve">1 установка 24 В + 1 установка AC</t>
  </si>
  <si>
    <t xml:space="preserve">Одна установка 24 В и одна AC; независимые пути с выбором и изоляцией, гидроаккумуляторы, фильтры, обратные клапаны, коллекторы, магистрали до водоразбора и контроль давления | Общие узлы ME-17, включая термостатическое смешение и рециркуляцию ГВС при принятии, принадлежат PK05 | Подача на RO промывку и бойлер — интерфейсы PK06/PK07 | Комплектные фильтры RO — PK06; баки — PK11 | Опрессовка, промывка и проверка обоих режимов</t>
  </si>
  <si>
    <t xml:space="preserve">Напор в точке потребления, пульсации, шум, циклы включения, ресурс. Максимальный расход без напора не считать рабочим.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</si>
  <si>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Рабочая точка и одновременность водоразбора открыты. 15 л/мин при 2 бар — только поисковый пример. Измеренная компоновка, монтажные и сервисные зоны, полный состав поставки и интерфейсы ещё требуют подтверждения.</t>
  </si>
  <si>
    <t xml:space="preserve">PK06</t>
  </si>
  <si>
    <t xml:space="preserve">Опреснение</t>
  </si>
  <si>
    <t xml:space="preserve">ME-13</t>
  </si>
  <si>
    <t xml:space="preserve">150 л/ч воды нужного качества в заданных условиях; промывка и отвод некачественной воды</t>
  </si>
  <si>
    <t xml:space="preserve">1 опреснитель</t>
  </si>
  <si>
    <t xml:space="preserve">Один RO с подающим и высоким давлением по исполнению, мембранами, штатными фильтрами, контролем солёности и автоматическим отводом некондиционного продукта, промывкой и управлением | Внутренняя обвязка, крепления, монтаж и наладка; трассы забортной подачи и концентрата этой установки принадлежат PK06, не PK09 | Подача пресной воды на промывку — PK05; приёмный танк — PK11 | Проверить качество, производительность и все автоматические режимы</t>
  </si>
  <si>
    <t xml:space="preserve">Энергия на литр, включённая автоматика, шум, размещение модулей, путь извлечения мембран и обслуживание.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</si>
  <si>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Температура, солёность и окончательная комплектация открыты. Измеренная компоновка, монтажные и сервисные зоны, полный состав поставки и интерфейсы ещё требуют подтверждения.</t>
  </si>
  <si>
    <t xml:space="preserve">PK07</t>
  </si>
  <si>
    <t xml:space="preserve">Горячая вода</t>
  </si>
  <si>
    <t xml:space="preserve">ME-14</t>
  </si>
  <si>
    <t xml:space="preserve">Нужный запас воды заданной температуры и восстановление после душей</t>
  </si>
  <si>
    <t xml:space="preserve">Количество бойлеров не принято</t>
  </si>
  <si>
    <t xml:space="preserve">Бойлеры с электрическим и двигательным нагревом, штатной защитной арматурой, изоляцией, креплениями и сливом; теплоноситель от согласованного присоединения двигателя до бойлера и обратно | Монтаж, проверка нагрева и восстановления запаса | Число и объём не назначены | Термостатическое смешение и общая рециркуляция — PK05, не повторная покупка PK07; питание — PK03</t>
  </si>
  <si>
    <t xml:space="preserve">Полезный запас с подмешиванием, время нагрева, теплопотери, масса, форма и извлечение нагревателя.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</si>
  <si>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40 л / 1200 Вт — рыночный пример, не заданная потребность. Измеренная компоновка, монтажные и сервисные зоны, полный состав поставки и интерфейсы ещё требуют подтверждения.</t>
  </si>
  <si>
    <t xml:space="preserve">PK08</t>
  </si>
  <si>
    <t xml:space="preserve">Климат</t>
  </si>
  <si>
    <t xml:space="preserve">ME-15|ME-16|ME-26</t>
  </si>
  <si>
    <t xml:space="preserve">Комфортные температура и влажность по помещениям; допустимые шум и режим при отказе одного модуля</t>
  </si>
  <si>
    <t xml:space="preserve">2 чиллера; дополнительное отопление — опция</t>
  </si>
  <si>
    <t xml:space="preserve">Два независимо изолируемых чиллерных модуля; шкафы и панели управления, согласованные фанкойлы по помещениям, гидравлические контуры холода и забортного охлаждения, насосы, фильтры, расширение, клапаны, трубная изоляция, воздухораспределение и дренаж конденсата; монтаж, балансировка и наладка | Все собственные HVAC водяные ветви — PK08, не PK09 | Дополнительное отопление ME-26 — отдельная опция с контуром и управлением, без автоматического назначения котла | Фанкойлы — явное расширение до результата, их количество открыто</t>
  </si>
  <si>
    <t xml:space="preserve">Холодопроизводительность в одинаковых условиях, потребление, шум, насосы, управление, обвязка и сервисные зоны.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</si>
  <si>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16 000 BTU/h на модуль — пример рынка. Тепловой расчёт и уровень сервиса при отказе открыты. Измеренная компоновка, монтажные и сервисные зоны, полный состав поставки и интерфейсы ещё требуют подтверждения.</t>
  </si>
  <si>
    <t xml:space="preserve">PK09</t>
  </si>
  <si>
    <t xml:space="preserve">Обеспечение МО</t>
  </si>
  <si>
    <t xml:space="preserve">ME-18|ME-19|ME-22|ME-23</t>
  </si>
  <si>
    <t xml:space="preserve">Надёжные подача топлива, выхлоп, охлаждение, вентиляция и обслуживание</t>
  </si>
  <si>
    <t xml:space="preserve">Число элементов определяется выбранными системами</t>
  </si>
  <si>
    <t xml:space="preserve">Общие и раздельные внешние топливные ветви двигателя/генераторов: фильтрация, подача, обратки, арматура и сервис; их забортное охлаждение, антисифонные меры, выхлоп и выходы; приток и вытяжка МО с каналами, заслонками и остановом по пожару | Маслосмена, поддоны, местные сервисные узлы и освещение с интерфейсом PK03 | Монтаж, изоляция, маркировка и испытания | Топливные танки и уровнемеры — PK11; заводские внутренние элементы агрегатов — PK01/PK02; отдельные RO/HVAC/гидравлические охладители и ветви — PK06/PK08/PK12</t>
  </si>
  <si>
    <t xml:space="preserve">Полная установленная система с защитами. Компактность должна сохранять доступ и допустимую температуру.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</si>
  <si>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Диаметры, тепловыделение, напор, длины и комплектность открыты. Измеренная компоновка, монтажные и сервисные зоны, полный состав поставки и интерфейсы ещё требуют подтверждения.</t>
  </si>
  <si>
    <t xml:space="preserve">PK10</t>
  </si>
  <si>
    <t xml:space="preserve">Аварийные системы</t>
  </si>
  <si>
    <t xml:space="preserve">ME-20|ME-21</t>
  </si>
  <si>
    <t xml:space="preserve">Осушение расчётного поступления воды, обнаружение и тушение пожара</t>
  </si>
  <si>
    <t xml:space="preserve">Число компонентов определяется расчётом</t>
  </si>
  <si>
    <t xml:space="preserve">Зональное и аварийное осушение с насосами, ручными средствами, трубами, арматурой, датчиками и независимой тревогой; пожарное обнаружение, стационарное тушение, ручной пуск и контроль готовности | Матрица остановов двигателя/генераторов и вентиляции, собственные исполнительные приводы пожарной отсечки топлива — PK10, корпуса топливной арматуры — PK09 | Монтаж и проверка сценариев, без необоснованного расходования заряда | Числа, защищаемый объём и тип агента открыты</t>
  </si>
  <si>
    <t xml:space="preserve">Фактическая производительность, защищённость, доступ и независимость. Цена одного насоса/баллона не равна цене системы.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</si>
  <si>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Отсеки, защищаемый объём и аварийные режимы открыты. Измеренная компоновка, монтажные и сервисные зоны, полный состав поставки и интерфейсы ещё требуют подтверждения.</t>
  </si>
  <si>
    <t xml:space="preserve">PK11</t>
  </si>
  <si>
    <t xml:space="preserve">Танки и стоки</t>
  </si>
  <si>
    <t xml:space="preserve">ME-24|ME-25</t>
  </si>
  <si>
    <t xml:space="preserve">Требуемые запасы, управляемое хранение и откачка стоков</t>
  </si>
  <si>
    <t xml:space="preserve">Количество и объёмы открыты</t>
  </si>
  <si>
    <t xml:space="preserve">Полезные запасы и стоки: реестр фактических танков, встроенные либо съёмные ёмкости, люки, вентиляция, залив/слив, уровнемеры и управление; санитарная техническая подача, изоляция источников смыва, насосы стоков, откачка и контроль доступа к сбросу | Изготовление встроенного танка и его испытание раскрыть отдельно от испытания всей системы | В рамках учёта M03 — PK11, с интерфейсом корпусному W10.90, без двойной цены | Санприборы, не входящие в перечень МО, — внешний пакет W50.58 | Трубопроводы от танковых сервисных границ — PK05/PK09 по назначению</t>
  </si>
  <si>
    <t xml:space="preserve">Полезный объём, гигиена, обслуживание, герметичность и масса. Заводской бак не равен изготовлению встроенного танка.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</si>
  <si>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Конструкция встроенных танков, уровни и маршруты доступа открыты. Измеренная компоновка, монтажные и сервисные зоны, полный состав поставки и интерфейсы ещё требуют подтверждения.</t>
  </si>
  <si>
    <t xml:space="preserve">PK12</t>
  </si>
  <si>
    <t xml:space="preserve">Гидравлика</t>
  </si>
  <si>
    <t xml:space="preserve">ME-29</t>
  </si>
  <si>
    <t xml:space="preserve">Нужная тяга подруливающих и работа всех лебёдок, включая согласованные режимы при остановленном дизеле</t>
  </si>
  <si>
    <t xml:space="preserve">Гидропривод обязателен; число потребителей не принято</t>
  </si>
  <si>
    <t xml:space="preserve">Полная гидросистема до нужных функций всех подруливающих и всех лебёдок: насосы и выбранный привод, PTO/адаптация либо электрический или отдельный привод, бак, фильтры, охлаждение, распределители, регулирование и защита давления, трассы, местные клапаны, управление и исполнительные гидромоторы/механизмы | Выдать ведомость всех внешних потребителей и включений их пакетов: одинаковый предмет не суммировать дважды | Монтаж, промывка, чистота масла, наладка приоритетов и испытания режимов, в том числе согласованного режима без главного дизеля | Рулевое не включать в общий контур автоматически</t>
  </si>
  <si>
    <t xml:space="preserve">Полная стоимость до исполнительных функций, тепло, ток, шум, ресурс, PTO/резерв и объём сервисных зон. Единый согласованный режим и протокол проверки результата для слотов A/B/C; собственные монтажные испытания пакета отдельно от общесудовой приёмки.</t>
  </si>
  <si>
    <t xml:space="preserve">Тяга, момент, скорость, одновременность и источники мощности открыты. Измеренная компоновка, монтажные и сервисные зоны, полный состав поставки и интерфейсы ещё требуют подтверждения.</t>
  </si>
  <si>
    <t xml:space="preserve">Источник_ID</t>
  </si>
  <si>
    <t xml:space="preserve">M01</t>
  </si>
  <si>
    <t xml:space="preserve">Производитель</t>
  </si>
  <si>
    <t xml:space="preserve">Исполнение</t>
  </si>
  <si>
    <t xml:space="preserve">Кол-во ориентир</t>
  </si>
  <si>
    <t xml:space="preserve">Ед.</t>
  </si>
  <si>
    <t xml:space="preserve">Валюта</t>
  </si>
  <si>
    <t xml:space="preserve">Исходная цена</t>
  </si>
  <si>
    <t xml:space="preserve">Налоговая основа</t>
  </si>
  <si>
    <t xml:space="preserve">Ставка источника %</t>
  </si>
  <si>
    <t xml:space="preserve">NET / ед. валюта</t>
  </si>
  <si>
    <t xml:space="preserve">NET / ед. EUR</t>
  </si>
  <si>
    <t xml:space="preserve">Класс цены</t>
  </si>
  <si>
    <t xml:space="preserve">Тип доказательства</t>
  </si>
  <si>
    <t xml:space="preserve">Дата цены</t>
  </si>
  <si>
    <t xml:space="preserve">Дата просмотра</t>
  </si>
  <si>
    <t xml:space="preserve">Прямая цена</t>
  </si>
  <si>
    <t xml:space="preserve">Спецификация</t>
  </si>
  <si>
    <t xml:space="preserve">Габарит изделия мм</t>
  </si>
  <si>
    <t xml:space="preserve">Масса кг</t>
  </si>
  <si>
    <t xml:space="preserve">Технический статус</t>
  </si>
  <si>
    <t xml:space="preserve">Включения и ограничения</t>
  </si>
  <si>
    <t xml:space="preserve">Наличие</t>
  </si>
  <si>
    <t xml:space="preserve">Происхождение записи</t>
  </si>
  <si>
    <t xml:space="preserve">PROP-E01</t>
  </si>
  <si>
    <t xml:space="preserve">Volvo Penta</t>
  </si>
  <si>
    <t xml:space="preserve">D4-300 I + HS68A</t>
  </si>
  <si>
    <t xml:space="preserve">package</t>
  </si>
  <si>
    <t xml:space="preserve">EUR</t>
  </si>
  <si>
    <t xml:space="preserve">explicit HT; historical March 2023</t>
  </si>
  <si>
    <t xml:space="preserve">HISTORICAL_NOT_CURRENT</t>
  </si>
  <si>
    <t xml:space="preserve">PUBLIC_PRICE_NOT_KP</t>
  </si>
  <si>
    <t xml:space="preserve">2023-03</t>
  </si>
  <si>
    <t xml:space="preserve">2026-09-11</t>
  </si>
  <si>
    <t xml:space="preserve">https://www.dbmoteurs.fr/sites/default/files/Volvo-Penta-tarifs-prix-achat-moteurs-2023-DB-Moteurs-motorisation-marine-bateau-plaisance.pdf</t>
  </si>
  <si>
    <t xml:space="preserve">https://www.dbmoteurs.fr/sites/default/files/Moteur-Volvo-Penta-D4-270-300-320-fiche-commerciale-2021-47711815-en.pdf</t>
  </si>
  <si>
    <t xml:space="preserve">HISTORICAL_NET_REFERENCE|RFQ_REQUIRED|DUTY_OPEN</t>
  </si>
  <si>
    <t xml:space="preserve">300 metric hp crank / 289 prop shaft at3500rpm; R5; 24V option official but quoted configuration unspecified; HS68A ratio selection open; dimensions for HS85A must not be substituted; ME-03 partial only factory mounts where included: shaft/coupling/thrust unit quantities and price OPEN</t>
  </si>
  <si>
    <t xml:space="preserve">2026 availability unknown</t>
  </si>
  <si>
    <t xml:space="preserve">deliverables/M02/v001/01_support/all-candidates.csv</t>
  </si>
  <si>
    <t xml:space="preserve">PROP-E02</t>
  </si>
  <si>
    <t xml:space="preserve">D4-300 I + HS85A</t>
  </si>
  <si>
    <t xml:space="preserve">1234 × 848 × 794</t>
  </si>
  <si>
    <t xml:space="preserve">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</t>
  </si>
  <si>
    <t xml:space="preserve">PROP-E03</t>
  </si>
  <si>
    <t xml:space="preserve">D6-300 I + HS85A</t>
  </si>
  <si>
    <t xml:space="preserve">https://www.dbmoteurs.fr/sites/default/files/Moteur-Volvo-Penta-D6-300-340-380-fiche-commerciale-brochure-2021-47711891-fr-dbmoteurs.pdf</t>
  </si>
  <si>
    <t xml:space="preserve">1470 × 848 × 794</t>
  </si>
  <si>
    <t xml:space="preserve">300 metric hp crank /289 prop shaft;3300rpm. 24V option price open; L=433+1037 W=441+407 H=274+520 drawing dimensions not installation/service envelope; lifting eye extends above dimension; ME-03 partial only factory mounts where included: shaft/coupling/thrust unit quantities and price OPEN</t>
  </si>
  <si>
    <t xml:space="preserve">PROP-E04</t>
  </si>
  <si>
    <t xml:space="preserve">FPT Industrial</t>
  </si>
  <si>
    <t xml:space="preserve">C90 410 rating D 300hp + gearbox RFQ</t>
  </si>
  <si>
    <t xml:space="preserve">RFQ_REQUIRED</t>
  </si>
  <si>
    <t xml:space="preserve">NO_VERIFIED_NET</t>
  </si>
  <si>
    <t xml:space="preserve">UNKNOWN</t>
  </si>
  <si>
    <t xml:space="preserve">https://www.etruck.fi/shop-1</t>
  </si>
  <si>
    <t xml:space="preserve">https://www.fptindustrial.com/-/media/FPT/Brochures/Engines/MARINE/COMMERCIAL/Marine_Commercial_FR_2026.pdf?rev=-1</t>
  </si>
  <si>
    <t xml:space="preserve">1289 × 861 × 973</t>
  </si>
  <si>
    <t xml:space="preserve">RFQ_REQUIRED|INCOMPLETE_PACKAGE|DUTY_COMPARISON_OPEN</t>
  </si>
  <si>
    <t xml:space="preserve">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</t>
  </si>
  <si>
    <t xml:space="preserve">No exact300hp package price found</t>
  </si>
  <si>
    <t xml:space="preserve">PROP-G01</t>
  </si>
  <si>
    <t xml:space="preserve">ME-04|ME-19</t>
  </si>
  <si>
    <t xml:space="preserve">Fischer Panda</t>
  </si>
  <si>
    <t xml:space="preserve">Panda12000x PMS</t>
  </si>
  <si>
    <t xml:space="preserve">GBP</t>
  </si>
  <si>
    <t xml:space="preserve">explicit inc vat/ex vat pair</t>
  </si>
  <si>
    <t xml:space="preserve">OBSERVED_NET_CONDITIONAL_SCOPE</t>
  </si>
  <si>
    <t xml:space="preserve">https://www.jpcdirect.com/product/fischer-panda-12000x-generator/</t>
  </si>
  <si>
    <t xml:space="preserve">https://www.onefischerpanda.com/marine/marine-generators/xseries-generators/panda-12000x-pms/</t>
  </si>
  <si>
    <t xml:space="preserve">705 × 450 × 590</t>
  </si>
  <si>
    <t xml:space="preserve">CONDITIONAL_START_VOLTAGE|AC_COMPATIBILITY_OPEN|RATING_OPEN|UK_REFERENCE</t>
  </si>
  <si>
    <t xml:space="preserve">12kVA10.2kW nominal; Manel continuous10.8kVA9.2kW;50Hz230V +/-3V;12V starter;capsule included spec; verify exactJPCSKU/manufacturer0024660 and installation accessories; UK import/logistics not included; ME-19 partial factory cooling only: external seawater/exhaust runs and installation OPEN; JPC revision conflict H565 / additional700x470x580 and192kg vs OEM705x450x590/195kg: exactSKU CAD RFQ; OEM values retained</t>
  </si>
  <si>
    <t xml:space="preserve">Available on back-order; qty2 and lead time RFQ</t>
  </si>
  <si>
    <t xml:space="preserve">PROP-G02</t>
  </si>
  <si>
    <t xml:space="preserve">Kohler / Rehlko</t>
  </si>
  <si>
    <t xml:space="preserve">12EFKOZD</t>
  </si>
  <si>
    <t xml:space="preserve">https://www.jpcdirect.com/product/kohler-12-kilowatt-generator/</t>
  </si>
  <si>
    <t xml:space="preserve">https://techcomm.rehlko.com/techcomm/pdf/g2186.pdf</t>
  </si>
  <si>
    <t xml:space="preserve">1064 × 652.5 × 711</t>
  </si>
  <si>
    <t xml:space="preserve">CONDITIONAL_CONFIGURATION|AC_COMPATIBILITY_OPEN|RATING_OPEN|UK_REFERENCE</t>
  </si>
  <si>
    <t xml:space="preserve">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</t>
  </si>
  <si>
    <t xml:space="preserve">Available on back-order</t>
  </si>
  <si>
    <t xml:space="preserve">PROP-G03</t>
  </si>
  <si>
    <t xml:space="preserve">Volpi Tecno Energia</t>
  </si>
  <si>
    <t xml:space="preserve">Paguro12000V AP12023050M0</t>
  </si>
  <si>
    <t xml:space="preserve">direct page12446.50 +IVA; gross14935.80 labelled SK20% locale</t>
  </si>
  <si>
    <t xml:space="preserve">https://www.manelservice.com/it/gruppi-elettrogeni-marini/3925-vte-paguro-12000-v-ap12023050m0.html</t>
  </si>
  <si>
    <t xml:space="preserve">https://www.volpitecno.com/portfolio/paguro-12000-v-10-kw-2000-%C3%B7-3000-g-1/</t>
  </si>
  <si>
    <t xml:space="preserve">770 × 460 × 620</t>
  </si>
  <si>
    <t xml:space="preserve">CONDITIONAL_START_VOLTAGE|AC_COMPATIBILITY_OPEN|REVISION_OPEN</t>
  </si>
  <si>
    <t xml:space="preserve">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</t>
  </si>
  <si>
    <t xml:space="preserve">Manel Disponibile; qty2 and delivery date RFQ</t>
  </si>
  <si>
    <t xml:space="preserve">PROP-G04</t>
  </si>
  <si>
    <t xml:space="preserve">12EFKOZD24-SS</t>
  </si>
  <si>
    <t xml:space="preserve">USD</t>
  </si>
  <si>
    <t xml:space="preserve">not stated</t>
  </si>
  <si>
    <t xml:space="preserve">https://mmarineonline.com/products/kohler-marine-diesel-generator-24v-12efkozd-ss-50hz-with-sound-shield</t>
  </si>
  <si>
    <t xml:space="preserve">NO_NET|US_REFERENCE_ONLY|AC_COMPATIBILITY_OPEN|RATING_OPEN</t>
  </si>
  <si>
    <t xml:space="preserve">Alternative offer for G02 not fourthgenerator;24V plus shield explicitlySKU; tax/import/Poland availability unknown; price originalUSD noFX; ME-19 partial factory cooling only: external seawater/exhaust runs and installation OPEN</t>
  </si>
  <si>
    <t xml:space="preserve">Contradictory availability template; RFQ</t>
  </si>
  <si>
    <t xml:space="preserve">EL-INV-A</t>
  </si>
  <si>
    <t xml:space="preserve">ME-05</t>
  </si>
  <si>
    <t xml:space="preserve">Victron</t>
  </si>
  <si>
    <t xml:space="preserve">MultiPlus-II 24/3000/70-32 PMP242305010</t>
  </si>
  <si>
    <t xml:space="preserve">pcs</t>
  </si>
  <si>
    <t xml:space="preserve">GROSS_RATE_CONFIRMED</t>
  </si>
  <si>
    <t xml:space="preserve">https://www.svb.de/de/victron-wechselrichter-ladegeraet-multiplus-ii-24-v-3000-va-70-a.html</t>
  </si>
  <si>
    <t xml:space="preserve">https://www.victronenergy.com/media/pg/MultiPlus-II_230V/en/technical-specifications-mp-ii-230v.html</t>
  </si>
  <si>
    <t xml:space="preserve">141 × 268 × 499</t>
  </si>
  <si>
    <t xml:space="preserve">CONDITIONAL_3KVA_REFERENCE</t>
  </si>
  <si>
    <t xml:space="preserve">24 V input; factory 230 V. 3000 VA not 3000 W: 2400 W at25C/2200 W at40C; charger70 A. 2 devices architecture target, capacity unapproved.</t>
  </si>
  <si>
    <t xml:space="preserve">1 listed in stock; second unconfirmed</t>
  </si>
  <si>
    <t xml:space="preserve">EL-INV-B</t>
  </si>
  <si>
    <t xml:space="preserve">MultiPlus-II GX 24/3000/70-32 PMP242306000</t>
  </si>
  <si>
    <t xml:space="preserve">https://www.svb.de/de/victron-wechselrichter-ladegeraet-multiplus-ii-gx-24-v-3000-va-70-a.html</t>
  </si>
  <si>
    <t xml:space="preserve">https://www.victronenergy.com/media/pg/MultiPlus-II_GX/en/technical-specifications-mp-ii-gx-230v.html</t>
  </si>
  <si>
    <t xml:space="preserve">147 × 275 × 506</t>
  </si>
  <si>
    <t xml:space="preserve">24 V; factory230 V;2400 W at25C/2200 W at40C;70 A. GX monitoring differs; two GX units not required by yacht specification. Current manual geometry differs from catalogue: confirm revision.</t>
  </si>
  <si>
    <t xml:space="preserve">expected1-2weeks</t>
  </si>
  <si>
    <t xml:space="preserve">EL-INV-C</t>
  </si>
  <si>
    <t xml:space="preserve">Mastervolt</t>
  </si>
  <si>
    <t xml:space="preserve">CombiMaster 24/3000-60 230V 35023000</t>
  </si>
  <si>
    <t xml:space="preserve">https://www.svb.de/de/mastervolt-wechselrichter-ladegeraet-combimaster-24-v-3000-va-60-a.html?question_sort=oldest</t>
  </si>
  <si>
    <t xml:space="preserve">https://www.mastervolt.com/products/combimaster/combimaster-24-3000-60-230-v/</t>
  </si>
  <si>
    <t xml:space="preserve">155 × 284 × 448</t>
  </si>
  <si>
    <t xml:space="preserve">CONDITIONAL_3KVA_NOT_EQUAL_W</t>
  </si>
  <si>
    <t xml:space="preserve">24 V; factory230 V;3000 VA/2600 W at40C;60 A charger;25 A transfer versus32 A Victron. Parallel operation not qualified.</t>
  </si>
  <si>
    <t xml:space="preserve">EL-ISO-A</t>
  </si>
  <si>
    <t xml:space="preserve">ME-09</t>
  </si>
  <si>
    <t xml:space="preserve">3600 ITR040362042</t>
  </si>
  <si>
    <t xml:space="preserve">NET_EXPLICIT</t>
  </si>
  <si>
    <t xml:space="preserve">https://www.svb24.com/en/p/victron-isolation-transformer-3600-w-115-230-v.html</t>
  </si>
  <si>
    <t xml:space="preserve">https://www.victronenergy.com/upload/documents/Datasheet-Isolation-Transformers-EN.pdf</t>
  </si>
  <si>
    <t xml:space="preserve">221 × 258 × 362</t>
  </si>
  <si>
    <t xml:space="preserve">CONDITIONAL_UNIT_BENCHMARK_DIMENSIONS_DEALER</t>
  </si>
  <si>
    <t xml:space="preserve">3.6 class; quantity and shore capacity unknown. Dimensions/mass from opened dealer data pending native drawing confirmation; no substitute of32A at115V for32A at230V.</t>
  </si>
  <si>
    <t xml:space="preserve">EL-ISO-B</t>
  </si>
  <si>
    <t xml:space="preserve">Mass GI3.5 88000355</t>
  </si>
  <si>
    <t xml:space="preserve">https://www.svb24.com/en/mastervolt-mass-gi-3-5-isolation-transformer-16-a-3-5-kw.html</t>
  </si>
  <si>
    <t xml:space="preserve">https://www.mastervolt.com/products/mass-gi/mass-gi-35-kva-16a-lightweight/</t>
  </si>
  <si>
    <t xml:space="preserve">144 × 261 × 340</t>
  </si>
  <si>
    <t xml:space="preserve">CONDITIONAL_UNIT_BENCHMARK</t>
  </si>
  <si>
    <t xml:space="preserve">3500 VA at230 V;16 A;HF technology;source IP23 supersedes dealer IP21. Not complete shore protection.</t>
  </si>
  <si>
    <t xml:space="preserve">1 listed in stock</t>
  </si>
  <si>
    <t xml:space="preserve">EL-ISO-C</t>
  </si>
  <si>
    <t xml:space="preserve">WhisperPower</t>
  </si>
  <si>
    <t xml:space="preserve">GI3600 60110102</t>
  </si>
  <si>
    <t xml:space="preserve">GROSS_RATE_UNCONFIRMED</t>
  </si>
  <si>
    <t xml:space="preserve">https://www.hansenautic.de/36377/wp-gi-compact-galvanic-isolation-transformator-230v-16a-120v-32a/</t>
  </si>
  <si>
    <t xml:space="preserve">https://www.whisperpower.com/gi-3600-compact-galvanic-isolation-transformer</t>
  </si>
  <si>
    <t xml:space="preserve">208 × 290 × 380</t>
  </si>
  <si>
    <t xml:space="preserve">CONDITIONAL_NET_PENDING_TAX</t>
  </si>
  <si>
    <t xml:space="preserve">3.6 kVA;230/110 V;16/32 A. Open page confirms VAT included but not rate: NET deliberately blank.</t>
  </si>
  <si>
    <t xml:space="preserve">availability on request</t>
  </si>
  <si>
    <t xml:space="preserve">EL-BAT-A</t>
  </si>
  <si>
    <t xml:space="preserve">ME-08</t>
  </si>
  <si>
    <t xml:space="preserve">Exide</t>
  </si>
  <si>
    <t xml:space="preserve">ER550 12V115Ah</t>
  </si>
  <si>
    <t xml:space="preserve">https://online-batterien.de/a/exide-er550-dual-versorgungsbatterie-starterbatterie-12v-115ah-550wh/400440</t>
  </si>
  <si>
    <t xml:space="preserve">https://www.exidegroup.com/en/document/ml-brochure-2022</t>
  </si>
  <si>
    <t xml:space="preserve">349 × 175 × 235</t>
  </si>
  <si>
    <t xml:space="preserve">CONDITIONAL_115AH12V_NOT_OWNER_APPROVED</t>
  </si>
  <si>
    <t xml:space="preserve">Flooded. Owner only said115 amperes; Ah and unit voltage unconfirmed. 6 physical units; no bank wiring/capacity inferred. Deposit extra. Dealer350mm/29kg differs from brochure.</t>
  </si>
  <si>
    <t xml:space="preserve">not in stock</t>
  </si>
  <si>
    <t xml:space="preserve">EL-BAT-B</t>
  </si>
  <si>
    <t xml:space="preserve">Aquamot</t>
  </si>
  <si>
    <t xml:space="preserve">ALS12115 12V115Ah</t>
  </si>
  <si>
    <t xml:space="preserve">https://www.nothnagel-marine.de/product_info.php?info=p3857_aquamot---power-battery--dc-battery-als12115-12v-115ah-agm-deep-cycle-battery.html&amp;language=en</t>
  </si>
  <si>
    <t xml:space="preserve">https://aquamot.at/wp-content/uploads/2018/02/Die-Batterie-Aquamot.pdf</t>
  </si>
  <si>
    <t xml:space="preserve">331 × 176 × 220</t>
  </si>
  <si>
    <t xml:space="preserve">AGM dealer description; legacy manufacturer sheet includes GEL construction wording, chemistry/revision confirmation needed. Body height214mm total220mm; dealer header6.4kg rejected in favour33.7kg technical sheet.</t>
  </si>
  <si>
    <t xml:space="preserve">3-7days; abroad may vary</t>
  </si>
  <si>
    <t xml:space="preserve">EL-BAT-C</t>
  </si>
  <si>
    <t xml:space="preserve">AGM Telecom115Ah M8 BAT412105164</t>
  </si>
  <si>
    <t xml:space="preserve">https://ab-marineservice.com/product/12v-115ah-agm-telecom-batt-m8/</t>
  </si>
  <si>
    <t xml:space="preserve">https://www.victronenergy.com/upload/documents/Datasheet-Telecom-batteries-EN.pdf</t>
  </si>
  <si>
    <t xml:space="preserve">395 × 110 × 293</t>
  </si>
  <si>
    <t xml:space="preserve">12 V AGM front terminal;6 units only if owner confirms115Ah12V. No12V housebus inferred. Open page21% supersedes search19%.</t>
  </si>
  <si>
    <t xml:space="preserve">backorder3-5workingdays</t>
  </si>
  <si>
    <t xml:space="preserve">EL-DIST-A</t>
  </si>
  <si>
    <t xml:space="preserve">ME-10</t>
  </si>
  <si>
    <t xml:space="preserve">Lynx Distributor M8 LYN060102000</t>
  </si>
  <si>
    <t xml:space="preserve">https://www.dynastart.nl/lyn060102000-lynx-distributor-m8</t>
  </si>
  <si>
    <t xml:space="preserve">https://www.victronenergy.com/media/pg/Lynx_Distributor/en/technical-specifications-lynx-distributor.html</t>
  </si>
  <si>
    <t xml:space="preserve">170 × 80 × 290</t>
  </si>
  <si>
    <t xml:space="preserve">Supports24 V;1000 A product rating not yacht demand; four fuse ways, fuses/monitor supply and full installation separate. Source axis hxlxw=290x170x80; check drawing for orientation.</t>
  </si>
  <si>
    <t xml:space="preserve">in stock</t>
  </si>
  <si>
    <t xml:space="preserve">EL-DIST-B</t>
  </si>
  <si>
    <t xml:space="preserve">Philippi</t>
  </si>
  <si>
    <t xml:space="preserve">STV207 020002071</t>
  </si>
  <si>
    <t xml:space="preserve">https://www.svb24.com/en/philippi-stv207-power-distribution-panel-configurable.html</t>
  </si>
  <si>
    <t xml:space="preserve">https://www.philippi-online.de/en/collections/serie_200-marine/products/stv-207</t>
  </si>
  <si>
    <t xml:space="preserve">70 × 105 × 210</t>
  </si>
  <si>
    <t xml:space="preserve">24 V compatible seven-circuit unit benchmark;10 A standard breakers not approved circuit ratings. DC accessory socket not permission for12V loads on24V. Mass not published. Not complete yacht switchboard.</t>
  </si>
  <si>
    <t xml:space="preserve">2 listed in stock</t>
  </si>
  <si>
    <t xml:space="preserve">EL-DIST-C</t>
  </si>
  <si>
    <t xml:space="preserve">LAE113 010001130</t>
  </si>
  <si>
    <t xml:space="preserve">https://www.svb24.com/en/philippi-lae-113-shore-connection-unit.html</t>
  </si>
  <si>
    <t xml:space="preserve">https://www.philippi-online.de/en/products/lae-113</t>
  </si>
  <si>
    <t xml:space="preserve">100 × 260 × 185</t>
  </si>
  <si>
    <t xml:space="preserve">Factory230 V50Hz panel benchmark for220VAC target;16A/30mA RCBO and3two-pole10A circuits per official description. Not full multi-source AC switchboard; mass unknown.</t>
  </si>
  <si>
    <t xml:space="preserve">EL-REM-A</t>
  </si>
  <si>
    <t xml:space="preserve">ME-28</t>
  </si>
  <si>
    <t xml:space="preserve">Blue Sea</t>
  </si>
  <si>
    <t xml:space="preserve">ML-RBS7702 24V</t>
  </si>
  <si>
    <t xml:space="preserve">https://www.svb24.com/en/blue-sea-hd-remote-battery-switch-24v.html</t>
  </si>
  <si>
    <t xml:space="preserve">https://www.bluesea.com/products/7702/ML-RBS_Remote_Battery_Switch_with_Manual_Control_-_24V_DC_500A</t>
  </si>
  <si>
    <t xml:space="preserve">Manual override;24V coil;500A continuous product rating. Quantity, control failover, crank duty and24V live switching not qualified; dimensions drawing pending.</t>
  </si>
  <si>
    <t xml:space="preserve">9 listed in stock</t>
  </si>
  <si>
    <t xml:space="preserve">EL-REM-B</t>
  </si>
  <si>
    <t xml:space="preserve">7703 24V</t>
  </si>
  <si>
    <t xml:space="preserve">https://www.svb24.com/en/blue-sea-universal-solenoid-switch-24-v.html</t>
  </si>
  <si>
    <t xml:space="preserve">https://d2pyqm2yd3fw2i.cloudfront.net/files/resources/instructions/990180170-006.pdf</t>
  </si>
  <si>
    <t xml:space="preserve">Solenoid unit benchmark without manual override of7702; not automatic equivalent. Physical dimensions/mass unverified. No assertion reserve-start scheme works.</t>
  </si>
  <si>
    <t xml:space="preserve">EL-OPEN-PUMP</t>
  </si>
  <si>
    <t xml:space="preserve">ME-06</t>
  </si>
  <si>
    <t xml:space="preserve">UNSIZED</t>
  </si>
  <si>
    <t xml:space="preserve">function</t>
  </si>
  <si>
    <t xml:space="preserve">OPEN_LOAD_AND_STARTUP</t>
  </si>
  <si>
    <t xml:space="preserve">1 independent function, not necessarily extra inverter. Select after pump running power/start waveform/duty; avoid double counting ME05.</t>
  </si>
  <si>
    <t xml:space="preserve">NOT_CONFIRMED</t>
  </si>
  <si>
    <t xml:space="preserve">EL-OPEN-MAIN</t>
  </si>
  <si>
    <t xml:space="preserve">ME-07</t>
  </si>
  <si>
    <t xml:space="preserve">OPEN_START_VOLTAGE_CCA</t>
  </si>
  <si>
    <t xml:space="preserve">1 physical owner battery, capacity/voltage/chemistry unknown. Not automatically ER550 or service115Ah.</t>
  </si>
  <si>
    <t xml:space="preserve">EL-OPEN-GEN</t>
  </si>
  <si>
    <t xml:space="preserve">ME-27</t>
  </si>
  <si>
    <t xml:space="preserve">2 physical owner batteries for2generators; capacity/voltage/CCA unknown; keep9total with6service+1main. No fictitious unit price.</t>
  </si>
  <si>
    <t xml:space="preserve">WC-RO-01</t>
  </si>
  <si>
    <t xml:space="preserve">Aquatec</t>
  </si>
  <si>
    <t xml:space="preserve">AC150 230V single phase</t>
  </si>
  <si>
    <t xml:space="preserve">шт</t>
  </si>
  <si>
    <t xml:space="preserve">EXPLICIT_NET_AND_19_PERCENT_GROSS</t>
  </si>
  <si>
    <t xml:space="preserve">https://www.aquatec-watermaker.de/wassermacher-produkt-ac150-ac240.html</t>
  </si>
  <si>
    <t xml:space="preserve">FUNCTION_PARITY_OPEN;220V_COMPATIBILITY_OPEN</t>
  </si>
  <si>
    <t xml:space="preserve">150 L/h nominal ±10% at25C/35000ppm; modular conventional HP pump; base price only: automatic flush/salinity/reject parity must be itemised; generator minimum4kW manufacturer target, not electrical demand or selection</t>
  </si>
  <si>
    <t xml:space="preserve">WC-RO-02</t>
  </si>
  <si>
    <t xml:space="preserve">Schenker</t>
  </si>
  <si>
    <t xml:space="preserve">ZEN150 24V/230V Touch plus salinity/reject</t>
  </si>
  <si>
    <t xml:space="preserve">FROM_GROSS_EXPLICIT_20_PERCENT</t>
  </si>
  <si>
    <t xml:space="preserve">FROM_INCOMPLETE_CONFIGURATION</t>
  </si>
  <si>
    <t xml:space="preserve">https://mar-nautic.com/schenker-watermaker-zen-150</t>
  </si>
  <si>
    <t xml:space="preserve">https://schenkerwatermakers.com/wp-content/uploads/2025/03/ZEN150_datasheet_v4.pdf</t>
  </si>
  <si>
    <t xml:space="preserve">FROM_PRICE_NOT_CONFIGURED;RFQ_REQUIRED</t>
  </si>
  <si>
    <t xml:space="preserve">Observed FROM base price; net is FROM benchmark only, NOT complete Touch/salinity/reject price. Nominal150L/h. Manufacturer230V±15% includes220V. Basic has no salinity; Touch optional; 24V variant permitted. Modular unit dimensions not total installed envelope.</t>
  </si>
  <si>
    <t xml:space="preserve">Out of stock; order lead time on request</t>
  </si>
  <si>
    <t xml:space="preserve">WC-RO-03</t>
  </si>
  <si>
    <t xml:space="preserve">Osmosea</t>
  </si>
  <si>
    <t xml:space="preserve">NEW12 150C 24V</t>
  </si>
  <si>
    <t xml:space="preserve">https://www.manelservice.com/en/marine-desalination-systems/17102-osmosea-new12-150c-nautical-watermaker-150-lth.html</t>
  </si>
  <si>
    <t xml:space="preserve">https://osmosea.it/en/new-12/</t>
  </si>
  <si>
    <t xml:space="preserve">RFQ_REQUIRED;COMPACT_CANDIDATE</t>
  </si>
  <si>
    <t xml:space="preserve">Official150L/h/600W; flush/salinometer/unsafe-water discard included. Official63kg conflicts dealer65kg; dimensions dealer796x317x408 not official therefore blank. Dealer install/service kits included vs manufacturer optional: reconcile</t>
  </si>
  <si>
    <t xml:space="preserve">WC-DC-01</t>
  </si>
  <si>
    <t xml:space="preserve">ME-11</t>
  </si>
  <si>
    <t xml:space="preserve">CEM</t>
  </si>
  <si>
    <t xml:space="preserve">OSC-16.062.24 / OEM identity reconcile</t>
  </si>
  <si>
    <t xml:space="preserve">EXPLICIT_HT</t>
  </si>
  <si>
    <t xml:space="preserve">https://www.comptoirnautique.com/groupe-d-eau-a-pressostat/53022-cem-elettromeccanica-autoclave-cem-vase-expansion-inox-20l-24v-50-l-min.html</t>
  </si>
  <si>
    <t xml:space="preserve">https://cempumps.com/wp-content/uploads/2024/10/Autoclavi_20L-20X.pdf</t>
  </si>
  <si>
    <t xml:space="preserve">WORKING_POINT_AND_OEM_ID_OPEN</t>
  </si>
  <si>
    <t xml:space="preserve">24V20L accumulator; dealer50L/min max; source model mapping not proven. Common proposed test15L/min at2bar NOT verified. Do not add included tank again.</t>
  </si>
  <si>
    <t xml:space="preserve">Preorder; replenishment23/09/2026</t>
  </si>
  <si>
    <t xml:space="preserve">WC-DC-02</t>
  </si>
  <si>
    <t xml:space="preserve">Gianneschi</t>
  </si>
  <si>
    <t xml:space="preserve">EcoInox1 GE011 24V20L</t>
  </si>
  <si>
    <t xml:space="preserve">https://www.comptoirnautique.com/groupe-d-eau-hydrophore/22947-gianneschi-groupe-d-eau-ecoinox-1-avec-reservoir-20l-24v-45lmin-7024.html</t>
  </si>
  <si>
    <t xml:space="preserve">https://www.gianneschipumps.com/GIANNESCHI_Brochure-web.pdf</t>
  </si>
  <si>
    <t xml:space="preserve">WORKING_POINT_OPEN</t>
  </si>
  <si>
    <t xml:space="preserve">45L/min max; common proposed15L/min at2bar needs curve. Includes20L tank/gauge/pressure switch; current OEM revision confirmation.</t>
  </si>
  <si>
    <t xml:space="preserve">In stock48/72h</t>
  </si>
  <si>
    <t xml:space="preserve">WC-DC-03</t>
  </si>
  <si>
    <t xml:space="preserve">ENAG</t>
  </si>
  <si>
    <t xml:space="preserve">GH24-0.37-24L-OT RB18-ED</t>
  </si>
  <si>
    <t xml:space="preserve">https://www.enag.fr/english/wp-content/uploads/sites/5/2022/11/FC-GH-EN-C.pdf</t>
  </si>
  <si>
    <t xml:space="preserve">RFQ_REQUIRED;WORKING_POINT_OPEN</t>
  </si>
  <si>
    <t xml:space="preserve">Official24V/0.37kW; 1m3/h at30m published point; pressure switch1.5/2.5bar.24L tank differs20L competitors: standardise accumulator scope before comparison. Dimensions drawing orientation not mapped into LWH.</t>
  </si>
  <si>
    <t xml:space="preserve">WC-AC-01</t>
  </si>
  <si>
    <t xml:space="preserve">ME-12</t>
  </si>
  <si>
    <t xml:space="preserve">J-INOX/20X 230M</t>
  </si>
  <si>
    <t xml:space="preserve">RFQ_REQUIRED;220V_COMPATIBILITY_OPEN;WORKING_POINT_OPEN</t>
  </si>
  <si>
    <t xml:space="preserve">Official230V singlephase variant exists. Proposedcommon15L/min at2bar not accepted from maxflow.20L stainless tank included. No price borrowed from24V sibling.</t>
  </si>
  <si>
    <t xml:space="preserve">WC-AC-02</t>
  </si>
  <si>
    <t xml:space="preserve">EcoInox2 GE017 230V20L</t>
  </si>
  <si>
    <t xml:space="preserve">https://www.tyboat.com/achat/P-57388-gianneschi-groupe-d-eau-ecoinox2-3-5-bars-0-45-kw-55-litres-minute-reservoir-20-litres-230-volts.html</t>
  </si>
  <si>
    <t xml:space="preserve">220V_COMPATIBILITY_OPEN;WORKING_POINT_OPEN</t>
  </si>
  <si>
    <t xml:space="preserve">Open page1052.50HT supersedes search992.50. Dealer max55L/min conflicts Kent45: curves required.0.45kW/20L; common15L/min at2bar not verified.</t>
  </si>
  <si>
    <t xml:space="preserve">Stock1–6businessdays</t>
  </si>
  <si>
    <t xml:space="preserve">WC-AC-03</t>
  </si>
  <si>
    <t xml:space="preserve">GH230mono-0.37-24L-JET M-ED</t>
  </si>
  <si>
    <t xml:space="preserve">Explicit230V singlephase; official1m3/h at40m, pressure switch1.5/2.5bar.24L accumulator vs20L needs standardisation; no equivalence claim.</t>
  </si>
  <si>
    <t xml:space="preserve">WC-CH-01</t>
  </si>
  <si>
    <t xml:space="preserve">ME-15</t>
  </si>
  <si>
    <t xml:space="preserve">Thermowell</t>
  </si>
  <si>
    <t xml:space="preserve">UC16H</t>
  </si>
  <si>
    <t xml:space="preserve">GROSS_EXPLICIT_ALV25.5</t>
  </si>
  <si>
    <t xml:space="preserve">https://www.esconet.fi/shop/uc16h-thermowell-uc16h-ilmastointilaite-chiller-230v-16000btu-27518</t>
  </si>
  <si>
    <t xml:space="preserve">https://www.thermowellmarine.com/wp-content/uploads/2023/04/THERMOWELL-2023_rev1_apr_web.pdf</t>
  </si>
  <si>
    <t xml:space="preserve">350 × 340 × 380</t>
  </si>
  <si>
    <t xml:space="preserve">REFERENCE_SIZE_ONLY;VOLTAGE_REVISION_CHECK;SUPPLY_SCOPE_CONFLICT_RFQ</t>
  </si>
  <si>
    <t xml:space="preserve">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</t>
  </si>
  <si>
    <t xml:space="preserve">Esco stock0; supplier availability unknown</t>
  </si>
  <si>
    <t xml:space="preserve">WC-CH-02</t>
  </si>
  <si>
    <t xml:space="preserve">Climma</t>
  </si>
  <si>
    <t xml:space="preserve">CWS Aquacontrol161RC 230/1/50</t>
  </si>
  <si>
    <t xml:space="preserve">EXPLICIT_TAX_EXCLUDED</t>
  </si>
  <si>
    <t xml:space="preserve">https://mdislandsupply.com/en/climma/879-cws-aquacontrol-161-rc-230150-climma.html</t>
  </si>
  <si>
    <t xml:space="preserve">https://www.veco.net/en/prodotti/climma-cws-aquacontrol-chillers/</t>
  </si>
  <si>
    <t xml:space="preserve">REFERENCE_SIZE_ONLY;220V_COMPATIBILITY_OPEN</t>
  </si>
  <si>
    <t xml:space="preserve">16000BTU/h each; reversecycle. Price recovered live requests HTTP200 after web429; local source text retained. OEM dimensions require authenticated download; old dealerPDF not promoted.</t>
  </si>
  <si>
    <t xml:space="preserve">Last items;1–2businessdays claim</t>
  </si>
  <si>
    <t xml:space="preserve">WC-CH-03</t>
  </si>
  <si>
    <t xml:space="preserve">Webasto</t>
  </si>
  <si>
    <t xml:space="preserve">BlueCool C16M</t>
  </si>
  <si>
    <t xml:space="preserve">https://www.nauticsale.com/en/airconditioning/bluecool-chiller-systems/bluecool-c-series-chillers/</t>
  </si>
  <si>
    <t xml:space="preserve">https://www.webasto.com/en-us/cooling/marine-chiller-air-conditioning-units/bluecool-c-series.html</t>
  </si>
  <si>
    <t xml:space="preserve">385 × 290 × 350</t>
  </si>
  <si>
    <t xml:space="preserve">RFQ_REQUIRED;REFERENCE_SIZE_ONLY;220V_COMPATIBILITY_OPEN</t>
  </si>
  <si>
    <t xml:space="preserve">16000BTU/h each; officialcurrentdimensions. Older F-suffix dealerweight differs: revision match required.3pricepaths found no verified EU net exactSKU; no US price conversion.</t>
  </si>
  <si>
    <t xml:space="preserve">WC-HW-01</t>
  </si>
  <si>
    <t xml:space="preserve">Quick</t>
  </si>
  <si>
    <t xml:space="preserve">B3 40L1200W FLB34012S000A00</t>
  </si>
  <si>
    <t xml:space="preserve">https://www.tyboat.com/achat/P-8889-quick-chauffe-eau-cylindrique-b3-40-litres-220-volts-1200-watts.html</t>
  </si>
  <si>
    <t xml:space="preserve">https://www.quickitaly.com/it/prodotti/scalda-acqua/scalda-acqua/nautic-boiler-b3/</t>
  </si>
  <si>
    <t xml:space="preserve">UNIT_BENCHMARK_ONLY;QTY_OPEN</t>
  </si>
  <si>
    <t xml:space="preserve">40L1200W220V plus engine heat exchanger common illustrative class; not owner size. Supplier dimensions/mass in research only pending official drawing. Thermostatic mixing equalise separately.</t>
  </si>
  <si>
    <t xml:space="preserve">WC-HW-02</t>
  </si>
  <si>
    <t xml:space="preserve">BX 40L1200W FLBX4012S000A00</t>
  </si>
  <si>
    <t xml:space="preserve">https://www.tyboat.com/achat/P-8880-quick-chauffe-eau-cylindrique-bx-40-litres-220-volts-1200-watts.html</t>
  </si>
  <si>
    <t xml:space="preserve">https://www.quickitaly.com/it/prodotti/scalda-acqua/scalda-acqua/nautic-boiler-bx/</t>
  </si>
  <si>
    <t xml:space="preserve">WC-HW-03</t>
  </si>
  <si>
    <t xml:space="preserve">BXS 40L1200W FLBXS4012S00A00</t>
  </si>
  <si>
    <t xml:space="preserve">https://www.tyboat.com/achat/P-18237-quick-chauffe-eau-cube-inox-bxs-40-litres-220-volts-1200-watts.html</t>
  </si>
  <si>
    <t xml:space="preserve">https://www.quickitaly.com/it/prodotti/scalda-acqua/scalda-acqua/nautic-boiler-bxs/</t>
  </si>
  <si>
    <t xml:space="preserve">WC-AUX-01</t>
  </si>
  <si>
    <t xml:space="preserve">ME-16</t>
  </si>
  <si>
    <t xml:space="preserve">Frigomar</t>
  </si>
  <si>
    <t xml:space="preserve">NH150PS SWM0150230</t>
  </si>
  <si>
    <t xml:space="preserve">https://www.comptoirnautique.com/climatisation-bateau/91819-frigomar-pompes-a-entrainement-magnetique.html</t>
  </si>
  <si>
    <t xml:space="preserve">https://www.frigomar.com/en/product-line/</t>
  </si>
  <si>
    <t xml:space="preserve">UNIT_BENCHMARK_ONLY;CURVE_AND_220V_OPEN</t>
  </si>
  <si>
    <t xml:space="preserve">230V50/60Hz magneticdrive; count and pump duty notfixed. No proof this model meets both seawater and chilledwater circuits; official detailed curve required.</t>
  </si>
  <si>
    <t xml:space="preserve">Preorder; replenishment19/09/2026</t>
  </si>
  <si>
    <t xml:space="preserve">WC-AUX-02</t>
  </si>
  <si>
    <t xml:space="preserve">ME-17</t>
  </si>
  <si>
    <t xml:space="preserve">QB002 mixing kit</t>
  </si>
  <si>
    <t xml:space="preserve">https://www.kent-marine.com/fr/produit/35262/chauffe-eau-cylindrique-40l-220v-1200w.html</t>
  </si>
  <si>
    <t xml:space="preserve">https://www.quickitaly.com/it/prodotti/scalda-acqua/</t>
  </si>
  <si>
    <t xml:space="preserve">PUBLIC_LIST_UNIT_BENCHMARK</t>
  </si>
  <si>
    <t xml:space="preserve">Observed linked accessory publicHT price; count unknown; confirm inclusion in selected calorifier supply.</t>
  </si>
  <si>
    <t xml:space="preserve">Not confirmed</t>
  </si>
  <si>
    <t xml:space="preserve">WC-AUX-03</t>
  </si>
  <si>
    <t xml:space="preserve">Jabsco</t>
  </si>
  <si>
    <t xml:space="preserve">Pumpgard36400-0002 / substitution46400-0000</t>
  </si>
  <si>
    <t xml:space="preserve">TAX_NOT_PROVEN</t>
  </si>
  <si>
    <t xml:space="preserve">https://www.marine-impact.com/groupe-d-eau/313-filtre-en-ligne-pumpgard-o13-mm-jabsco.html</t>
  </si>
  <si>
    <t xml:space="preserve">https://www.xylem.com/siteassets/brand/jabsco/resources/manual/36800-technical-data-sheet.pdf</t>
  </si>
  <si>
    <t xml:space="preserve">UNIT_BENCHMARK_GROSS_UNKNOWN;NET_WITHHELD</t>
  </si>
  <si>
    <t xml:space="preserve">Observedprice; no explicit taxbasis verified so net blank.13mm40mesh strainer not sanitary treatment and not dimensioned for proposedpressurestation.</t>
  </si>
  <si>
    <t xml:space="preserve">Web listing</t>
  </si>
  <si>
    <t xml:space="preserve">A01</t>
  </si>
  <si>
    <t xml:space="preserve">Vetus</t>
  </si>
  <si>
    <t xml:space="preserve">HT1010</t>
  </si>
  <si>
    <t xml:space="preserve">https://www.vetus-shop.com/aluminium-hydraulic-tank-70-incl-ht1013-p-2024.html</t>
  </si>
  <si>
    <t xml:space="preserve">https://webshop.vetus.com/nl/products/power-hydraulics/hydraulische-tanks</t>
  </si>
  <si>
    <t xml:space="preserve">PARTIAL_HYDRAULIC_NOT_COMPLETE</t>
  </si>
  <si>
    <t xml:space="preserve">70л; HT1013 включён. Цена бака с частью управления, не станции. 615×475×360мм у продавца — только голый бак без клапанов, не монтажный габарит.</t>
  </si>
  <si>
    <t xml:space="preserve">Out of Stock</t>
  </si>
  <si>
    <t xml:space="preserve">A02</t>
  </si>
  <si>
    <t xml:space="preserve">HT1016SD2</t>
  </si>
  <si>
    <t xml:space="preserve">https://www.vetus-shop.com/vetus-power-hydraulics-c-21_210.html</t>
  </si>
  <si>
    <t xml:space="preserve">45см³/оборот; ориентация/SAE/привод и требуемый расход не выбраны. Не три уровня насосов разного размера.</t>
  </si>
  <si>
    <t xml:space="preserve">Не подтверждено</t>
  </si>
  <si>
    <t xml:space="preserve">A03</t>
  </si>
  <si>
    <t xml:space="preserve">HT301132</t>
  </si>
  <si>
    <t xml:space="preserve">Шланг32мм; теплоотдача/забортный контур требуют проверки; не доказана необходимость именно этого размера.</t>
  </si>
  <si>
    <t xml:space="preserve">A04</t>
  </si>
  <si>
    <t xml:space="preserve">HT102312</t>
  </si>
  <si>
    <t xml:space="preserve">Один тип клапана; не весь блок гидролебёдок, количество потребителей открыто.</t>
  </si>
  <si>
    <t xml:space="preserve">A05</t>
  </si>
  <si>
    <t xml:space="preserve">HT1011</t>
  </si>
  <si>
    <t xml:space="preserve">Одноступенчатый load sensing; пригодность к общей системе открыта.</t>
  </si>
  <si>
    <t xml:space="preserve">A06</t>
  </si>
  <si>
    <t xml:space="preserve">HT1013</t>
  </si>
  <si>
    <t xml:space="preserve">INCLUDED_COMPONENT_DO_NOT_ADD</t>
  </si>
  <si>
    <t xml:space="preserve">Уже входит в HT1010; отдельная цена только для дополнительного потребителя, не прибавлять повторно.</t>
  </si>
  <si>
    <t xml:space="preserve">A07</t>
  </si>
  <si>
    <t xml:space="preserve">Sleipner</t>
  </si>
  <si>
    <t xml:space="preserve">Load-sensing system / bulkhead tank 40L</t>
  </si>
  <si>
    <t xml:space="preserve">https://info.sleipnergroup.com/hubfs/Side-Power_Hydraulic_AC_Thrusters_2020.pdf</t>
  </si>
  <si>
    <t xml:space="preserve">870 × 330 × 705</t>
  </si>
  <si>
    <t xml:space="preserve">RFQ_REQUIRED_TECH_OPEN</t>
  </si>
  <si>
    <t xml:space="preserve">Справочный габарит настенного танк-модуля из каталога2020; с блоком одного подруливающего, без всей установки. Ещё100мм для замены фильтра. Нужны текущийCAD и расчёт всех потребителей.</t>
  </si>
  <si>
    <t xml:space="preserve">A08</t>
  </si>
  <si>
    <t xml:space="preserve">Harken</t>
  </si>
  <si>
    <t xml:space="preserve">Hydro 2</t>
  </si>
  <si>
    <t xml:space="preserve">https://gallery.harken.com/gallery/3d369089-1f35-489d-8b71-ab3020e962a1.pdf</t>
  </si>
  <si>
    <t xml:space="preserve">491 × 341 × 567.7</t>
  </si>
  <si>
    <t xml:space="preserve">RFQ_REQUIRED_THRUSTER_CAPABILITY_OPEN</t>
  </si>
  <si>
    <t xml:space="preserve">30л,2мотора24V4kW; стандартная помпа15л/мин140бар. Не доказана пригодность для подруливающих; не назначать резервное питание от6АКБ дорасчёта тока.</t>
  </si>
  <si>
    <t xml:space="preserve">A09</t>
  </si>
  <si>
    <t xml:space="preserve">ME-18</t>
  </si>
  <si>
    <t xml:space="preserve">Parker Racor</t>
  </si>
  <si>
    <t xml:space="preserve">75500MAXM30</t>
  </si>
  <si>
    <t xml:space="preserve">GROSS_RATE_VERIFIED</t>
  </si>
  <si>
    <t xml:space="preserve">VARIABLE_PRICE_RECONFIRM</t>
  </si>
  <si>
    <t xml:space="preserve">https://racorshop.de/product/racor-75500maxm30-turbine-filter-marine/</t>
  </si>
  <si>
    <t xml:space="preserve">https://www.parker.com/content/dam/Parker-com/Literature/Racor-Europe/FDRB544UK_BRO_Distribution_Solution_Brochure-_Racor_Europe.pdf</t>
  </si>
  <si>
    <t xml:space="preserve">PRICE_VARIATION_RECONFIRM_TECH_OPEN</t>
  </si>
  <si>
    <t xml:space="preserve">Root open2612.00gross/19%=2194.96NET; повторное открытие независимым агентом2199.90gross/19%=1848.66NET. Принято последнее наблюдение, расхождение сохранено; подтвердить цену до сравнения. Дуплексный узел, микроны/расход одной ветви под двигатель.</t>
  </si>
  <si>
    <t xml:space="preserve">1 in stock</t>
  </si>
  <si>
    <t xml:space="preserve">A10</t>
  </si>
  <si>
    <t xml:space="preserve">ME-19</t>
  </si>
  <si>
    <t xml:space="preserve">FTR330/32</t>
  </si>
  <si>
    <t xml:space="preserve">https://www.vetus-shop.com/vetus-raw-water-strainer-type-330-and21632mm-p-1026.html</t>
  </si>
  <si>
    <t xml:space="preserve">UNIT_BENCHMARK_TECH_OPEN</t>
  </si>
  <si>
    <t xml:space="preserve">Типоразмер32мм только ориентир; диаметр и положение относительно ватерлинии по выбранному агрегату.</t>
  </si>
  <si>
    <t xml:space="preserve">10+ in stock</t>
  </si>
  <si>
    <t xml:space="preserve">A11</t>
  </si>
  <si>
    <t xml:space="preserve">FTR33032M</t>
  </si>
  <si>
    <t xml:space="preserve">https://www.mediawinkel.eu/nl/heavy-duty-waterfilter-32-mm.html</t>
  </si>
  <si>
    <t xml:space="preserve">NET явно exclusiefBTW; усиленная версия с металлической крышкой. Сравнение с FTR330/32 требует одинаковых давления/установочного положения.</t>
  </si>
  <si>
    <t xml:space="preserve">A12</t>
  </si>
  <si>
    <t xml:space="preserve">ME-20</t>
  </si>
  <si>
    <t xml:space="preserve">Rule</t>
  </si>
  <si>
    <t xml:space="preserve">2000 GPH / model12 /24V</t>
  </si>
  <si>
    <t xml:space="preserve">https://www.mackengineering.co.uk/rule-2000-gph-bilge-pump-24v.html</t>
  </si>
  <si>
    <t xml:space="preserve">https://www.xylem.com/siteassets/brand/rule/resources/technical-brochure/standard-bilge-pumps-model-number-table.pdf</t>
  </si>
  <si>
    <t xml:space="preserve">108 × 108 × 152</t>
  </si>
  <si>
    <t xml:space="preserve">Габариты из официальной таблицы, у дилера155×105 отличаются; сверить ревизию. Не вся система осушения; поплавок/сигнализация отдельно.</t>
  </si>
  <si>
    <t xml:space="preserve">A13</t>
  </si>
  <si>
    <t xml:space="preserve">Whale</t>
  </si>
  <si>
    <t xml:space="preserve">Gusher Urchin BP9005</t>
  </si>
  <si>
    <t xml:space="preserve">https://www.mackengineering.co.uk/bp9005-whale-gusher-urchin-hand-pump.html</t>
  </si>
  <si>
    <t xml:space="preserve">Ориентир цены ручного насоса; не назначенный главный аварийный насос67ft, расход/напор/доступ проверить.</t>
  </si>
  <si>
    <t xml:space="preserve">A14</t>
  </si>
  <si>
    <t xml:space="preserve">32ALA /24V</t>
  </si>
  <si>
    <t xml:space="preserve">Цена связанного товара открытой карточки; состав сигнализации и число отсеков открыты.</t>
  </si>
  <si>
    <t xml:space="preserve">A15</t>
  </si>
  <si>
    <t xml:space="preserve">ME-22</t>
  </si>
  <si>
    <t xml:space="preserve">35770-0094 /24V</t>
  </si>
  <si>
    <t xml:space="preserve">SEARCH_ONLY_NET_CLAIM</t>
  </si>
  <si>
    <t xml:space="preserve">https://www.mackengineering.co.uk/35770-0094-24v-flexmount-blower.html</t>
  </si>
  <si>
    <t xml:space="preserve">https://www.xylem.com/siteassets/brand/jabsco/resources/manual/357x0-technical-data-sheet.pdf</t>
  </si>
  <si>
    <t xml:space="preserve">PRICE_NOT_ADMITTED_AVAILABILITY_HOLD</t>
  </si>
  <si>
    <t xml:space="preserve">Поиск224.42exVAT, открытиеchallenge. Раздел дилера предупреждаетhold EU compliance. NET поле пусто; не считать доступным. Официально7м³/мин свободныйрасход, требуемыйнапорнепроверен.</t>
  </si>
  <si>
    <t xml:space="preserve">CHECK_AVAILABILITY / category EU hold</t>
  </si>
  <si>
    <t xml:space="preserve">A16</t>
  </si>
  <si>
    <t xml:space="preserve">ME-23</t>
  </si>
  <si>
    <t xml:space="preserve">Marco</t>
  </si>
  <si>
    <t xml:space="preserve">UP3/OIL 16402013 /24V</t>
  </si>
  <si>
    <t xml:space="preserve">https://www.mackengineering.co.uk/marco-up3-oil-pump-24v.html</t>
  </si>
  <si>
    <t xml:space="preserve">https://items.marco.it/en/md_productpdf/index/generate/product/253/store/2/</t>
  </si>
  <si>
    <t xml:space="preserve">Только насос; коллектор3агрегатов,шланги,поддоны,свет и автоматика не включены.</t>
  </si>
  <si>
    <t xml:space="preserve">A17</t>
  </si>
  <si>
    <t xml:space="preserve">ME-24</t>
  </si>
  <si>
    <t xml:space="preserve">SENSOR320</t>
  </si>
  <si>
    <t xml:space="preserve">https://www.vetus-shop.com/vetus-fuel-tank-quickfit-diesel-40-litre-8mm-p-1786.html</t>
  </si>
  <si>
    <t xml:space="preserve">Длина320мм исследовательская; не утверждена глубина/число танков. Цена связанного товара, отдельный индикатор не включён.</t>
  </si>
  <si>
    <t xml:space="preserve">A18</t>
  </si>
  <si>
    <t xml:space="preserve">SENSORA</t>
  </si>
  <si>
    <t xml:space="preserve">Ультразвуковой аналоговый датчик; работа в конкретном танке и интерфейс подлежат проверке. Не цена танка.</t>
  </si>
  <si>
    <t xml:space="preserve">A19</t>
  </si>
  <si>
    <t xml:space="preserve">ME-25</t>
  </si>
  <si>
    <t xml:space="preserve">18590-2094 /24V</t>
  </si>
  <si>
    <t xml:space="preserve">https://www.cactusnav.com/jabsco-macerator-pump-p-37922.html</t>
  </si>
  <si>
    <t xml:space="preserve">24V; только насос сточного танка. Пересечение с комплектом туалета проверять; число танков не назначено.</t>
  </si>
  <si>
    <t xml:space="preserve">In Stock Plymouth</t>
  </si>
  <si>
    <t xml:space="preserve">A20</t>
  </si>
  <si>
    <t xml:space="preserve">ME-21</t>
  </si>
  <si>
    <t xml:space="preserve">Fireboy</t>
  </si>
  <si>
    <t xml:space="preserve">MA series 31.620.55</t>
  </si>
  <si>
    <t xml:space="preserve">https://www.oltrevela.com/en/31-620-55-fireboy-ma-series-automatic-manual-fire-extinguisher-13-4-kg-for-engine-rooms-and-motor-compartments-up-to-51m-uscg-and-iso-rina-approved-fireboy-4</t>
  </si>
  <si>
    <t xml:space="preserve">https://fireboy.com/ma2-fire-extinguisher/</t>
  </si>
  <si>
    <t xml:space="preserve">PRICE_NOT_ADMITTED_VOLUME_AND_VARIANT_OPEN</t>
  </si>
  <si>
    <t xml:space="preserve">Поиск1950NET, открытиеошибка. Заголовок51м³, таблица15.6м³ противоречат; модель/заряд не выбраны. Нельзя уменьшать заряд ради габарита. Отключение двигателей/вентиляции и ручнойпуск по отдельномуBOM.</t>
  </si>
  <si>
    <t xml:space="preserve">A21</t>
  </si>
  <si>
    <t xml:space="preserve">ME-26</t>
  </si>
  <si>
    <t xml:space="preserve">Thermo Pro90 Marine 24V /9029943C</t>
  </si>
  <si>
    <t xml:space="preserve">NET_LABEL_CONFLICT</t>
  </si>
  <si>
    <t xml:space="preserve">https://www.standkachel.nu/webasto-air-and-water-heaters-and/webasto-waterkachels-thermotop-spheros-dbw-valeo/webasto-marine-waterheaters-for-thermo-pro-90-24-volt/webasto-thermo-chiller--pro-90-marine-24-volt-</t>
  </si>
  <si>
    <t xml:space="preserve">OPTIONAL_PRICE_NOT_ADMITTED_TAX_CONFLICT</t>
  </si>
  <si>
    <t xml:space="preserve">Открытая карточка маркирует2007.16NET, показывает2161.71sale/2543.18list: арифметика налоговойпары неясна. Неиспользоватьвранжировании; отоплениеещёопция, нечиллеркондиционирования.</t>
  </si>
  <si>
    <t xml:space="preserve">A22</t>
  </si>
  <si>
    <t xml:space="preserve">Thermo Pro90 Marine 24V /4111185A</t>
  </si>
  <si>
    <t xml:space="preserve">https://www.butlertechnik.com/item/Webasto/Thermo-Pro-90-24v-Marine-Kit-With-Switch-91kW-4111185A/5G7</t>
  </si>
  <si>
    <t xml:space="preserve">https://www.butlertechnik.com/downloads/cms/7432/webasto-thermo-pro-90-marine-installation-manual.pdf</t>
  </si>
  <si>
    <t xml:space="preserve">OPTIONAL_UNIT_BENCHMARK_TECH_OPEN</t>
  </si>
  <si>
    <t xml:space="preserve">9.1kW только исследовательский класс; монтажный комплект с выключателем, остальные контуры и теплоотдающие устройства не включены. Не выбранное отопление и не чиллер.</t>
  </si>
  <si>
    <t xml:space="preserve">Item out of stock</t>
  </si>
  <si>
    <t xml:space="preserve">YAN-E01</t>
  </si>
  <si>
    <t xml:space="preserve">ME-01|ME-02</t>
  </si>
  <si>
    <t xml:space="preserve">Yanmar</t>
  </si>
  <si>
    <t xml:space="preserve">8LV320E-KMH50A + VC20</t>
  </si>
  <si>
    <t xml:space="preserve">incl BTW; rate not stated</t>
  </si>
  <si>
    <t xml:space="preserve">https://www.abma-sneek.nl/yanmar/engines-gears-drives/powerboat-engines?prod_id=650436</t>
  </si>
  <si>
    <t xml:space="preserve">https://www.yanmar.com/marine/product/engines/8lv320/</t>
  </si>
  <si>
    <t xml:space="preserve">1340 × 880 × 766</t>
  </si>
  <si>
    <t xml:space="preserve">CONDITIONAL_DUTY_PTO_START_VOLTAGE; NET_RFQ_REQUIRED</t>
  </si>
  <si>
    <t xml:space="preserve">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</t>
  </si>
  <si>
    <t xml:space="preserve">Dealer says in stock; exact stock and price validity RFQ</t>
  </si>
  <si>
    <t xml:space="preserve">deliverables/M03/v001/01_support/yanmar/candidates.csv</t>
  </si>
  <si>
    <t xml:space="preserve">YAN-E02</t>
  </si>
  <si>
    <t xml:space="preserve">ME-01</t>
  </si>
  <si>
    <t xml:space="preserve">6LPAM-STP2 bobtail (dealer); 6LPA-STP2 manufacturer</t>
  </si>
  <si>
    <t xml:space="preserve">engine</t>
  </si>
  <si>
    <t xml:space="preserve">excl BTW; NET explicitly listed</t>
  </si>
  <si>
    <t xml:space="preserve">https://useddieselenginecenter.nl/yanmar-6lpam-stp2-6-lpam-stp-2-bobtail</t>
  </si>
  <si>
    <t xml:space="preserve">https://www.yanmar.com/marine/product/engines/6lpa-stp2-6lpa-stc/</t>
  </si>
  <si>
    <t xml:space="preserve">CONDITIONAL_EU_NEWBUILD_CERT_DUTY_PTO_START_VOLTAGE; GEARBOX_NOT_PRICED</t>
  </si>
  <si>
    <t xml:space="preserve">New per dealer; 315 mhp / 232 kW at 3800 rpm at 25C fuel; 299 mhp / 220 kW at 40C per 2017 spec; priced engine only excluding gear/panel/harness; proposed 1 KMH50A RFQ; engine-only dry mass; package envelope 1220x666x739 drawing vs1190 length table conflict; package dry mass459 kg; 12V starter; RCD1 only evidenced</t>
  </si>
  <si>
    <t xml:space="preserve">Stock field0 conflicts with availability from stock; RFQ</t>
  </si>
  <si>
    <t xml:space="preserve">YAN-E03</t>
  </si>
  <si>
    <t xml:space="preserve">6LY2M-WDT + YX-50S (proposed)</t>
  </si>
  <si>
    <t xml:space="preserve">https://www.yanmar.com/marine/product/engines/6ly2m-wdt/</t>
  </si>
  <si>
    <t xml:space="preserve">1412 × 835 × 880</t>
  </si>
  <si>
    <t xml:space="preserve">RFQ_REQUIRED; CONDITIONAL_EU_NEWBUILD_CERT_DUTY_PTO</t>
  </si>
  <si>
    <t xml:space="preserve">Current official card330 mhp /243 kW at3200 rpm; 1 engine +1 proposedYX-50S; package dry mass535+108kg; envelope with gear/high-riser elbow; optional24V electrical system official but exact starter/configuration RFQ; IMO Tier2 shown not EU RCD approval; PTO capacity unverified</t>
  </si>
  <si>
    <t xml:space="preserve">Official current catalogue; European delivery and new-build certification RFQ</t>
  </si>
  <si>
    <t xml:space="preserve">PAN-G01</t>
  </si>
  <si>
    <t xml:space="preserve">12000x PMS JPC FP12000X</t>
  </si>
  <si>
    <t xml:space="preserve">EXPLICIT_GROSS_NET_PAIR</t>
  </si>
  <si>
    <t xml:space="preserve">https://www.onefischerpanda.com/fileadmin/content/product-information/marine-generators-compact-power/12000x/Panda_12000x_PMS_-_EN.pdf</t>
  </si>
  <si>
    <t xml:space="preserve">MARKET_REFERENCE|START24V_OPEN|HOT_OUTPUT_OPEN|UK_IMPORT_OPEN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</si>
  <si>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JPC H565/192kg metadata conflicts withOEM. Fuel pump/looms/control panel/capsule advertised;exact control revision and install kit RFQ.</t>
  </si>
  <si>
    <t xml:space="preserve">Available on back-order;qty2/dateRFQ</t>
  </si>
  <si>
    <t xml:space="preserve">deliverables/M03/v001/01_support/panda/candidates.csv</t>
  </si>
  <si>
    <t xml:space="preserve">PAN-G02</t>
  </si>
  <si>
    <t xml:space="preserve">12000x-230V PMS NautiRadar0028284</t>
  </si>
  <si>
    <t xml:space="preserve">https://www.nautiradar.pt/en/products/fischer-panda/panda-12000x-230v-pms-12kva-fixed-engine-speed-marine-generator</t>
  </si>
  <si>
    <t xml:space="preserve">MARKET_REFERENCE|START24V_OPEN|HOT_OUTPUT_OPEN|SKU_REVISION_OPEN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</si>
  <si>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</t>
  </si>
  <si>
    <t xml:space="preserve">Stock and lead time not stated;qty2/dateRFQ</t>
  </si>
  <si>
    <t xml:space="preserve">PAN-G03</t>
  </si>
  <si>
    <t xml:space="preserve">15000i-230V PMS NautiRadar0000182</t>
  </si>
  <si>
    <t xml:space="preserve">https://www.nautiradar.pt/en/products/fischer-panda/panda-15000i-230v-pms-12kw-230v-variable-speed-marine-generator</t>
  </si>
  <si>
    <t xml:space="preserve">https://www.fischerpanda.co.uk/res/Fischer%20Panda%20Marine%20Generators%202026%20-%20FPUK</t>
  </si>
  <si>
    <t xml:space="preserve">650 × 465 × 589</t>
  </si>
  <si>
    <t xml:space="preserve">MARKET_REFERENCE|START24V_OPEN|HOT_OUTPUT_OPEN|INVERTER_SCOPE_OPEN</t>
  </si>
  <si>
    <t xml:space="preserve">Alternative model for same required useful output;not15kW.50Hz230V nominal12kW/15kVA;PMGi230V manual longterm12kW does not guarantee whole-set output at hot ambient;OEM20C engine reference.160kg capsule+16kg external inverter;dimensions capsule only;dealer162+16kg discrepancy. Inverter model/cooling/inclusion and24V starter RFQ.2gens retained;no automatic parallel operation.</t>
  </si>
  <si>
    <t xml:space="preserve">Строка</t>
  </si>
  <si>
    <t xml:space="preserve">Вариант</t>
  </si>
  <si>
    <t xml:space="preserve">M01 / интерфейсы</t>
  </si>
  <si>
    <t xml:space="preserve">Исполнение из источника</t>
  </si>
  <si>
    <t xml:space="preserve">Известная NET строки</t>
  </si>
  <si>
    <t xml:space="preserve">Допуск ценового основания</t>
  </si>
  <si>
    <t xml:space="preserve">Состав / недостающее</t>
  </si>
  <si>
    <t xml:space="preserve">PK01-A-L01</t>
  </si>
  <si>
    <t xml:space="preserve">PK01-A</t>
  </si>
  <si>
    <t xml:space="preserve">PK01-B-L01</t>
  </si>
  <si>
    <t xml:space="preserve">PK01-B</t>
  </si>
  <si>
    <t xml:space="preserve">PK01-C-L01</t>
  </si>
  <si>
    <t xml:space="preserve">PK01-C</t>
  </si>
  <si>
    <t xml:space="preserve">PK02-A-L01</t>
  </si>
  <si>
    <t xml:space="preserve">PK02-A</t>
  </si>
  <si>
    <t xml:space="preserve">PK02-B-L01</t>
  </si>
  <si>
    <t xml:space="preserve">PK02-B</t>
  </si>
  <si>
    <t xml:space="preserve">PK02-C-L01</t>
  </si>
  <si>
    <t xml:space="preserve">PK02-C</t>
  </si>
  <si>
    <t xml:space="preserve">PK03-A-L01</t>
  </si>
  <si>
    <t xml:space="preserve">PK03-A</t>
  </si>
  <si>
    <t xml:space="preserve">PK03-A-L02</t>
  </si>
  <si>
    <t xml:space="preserve">PK03-B-L01</t>
  </si>
  <si>
    <t xml:space="preserve">PK03-B</t>
  </si>
  <si>
    <t xml:space="preserve">PK03-B-L02</t>
  </si>
  <si>
    <t xml:space="preserve">PK03-C-L01</t>
  </si>
  <si>
    <t xml:space="preserve">PK03-C</t>
  </si>
  <si>
    <t xml:space="preserve">PK03-C-L02</t>
  </si>
  <si>
    <t xml:space="preserve">PK04-A-L01</t>
  </si>
  <si>
    <t xml:space="preserve">PK04-A</t>
  </si>
  <si>
    <t xml:space="preserve">PK04-A-L02</t>
  </si>
  <si>
    <t xml:space="preserve">PK04-A-L03</t>
  </si>
  <si>
    <t xml:space="preserve">PK04-A-L04</t>
  </si>
  <si>
    <t xml:space="preserve">PK04-B-L01</t>
  </si>
  <si>
    <t xml:space="preserve">PK04-B</t>
  </si>
  <si>
    <t xml:space="preserve">PK04-B-L02</t>
  </si>
  <si>
    <t xml:space="preserve">PK04-B-L03</t>
  </si>
  <si>
    <t xml:space="preserve">PK04-B-L04</t>
  </si>
  <si>
    <t xml:space="preserve">PK04-C-L01</t>
  </si>
  <si>
    <t xml:space="preserve">PK04-C</t>
  </si>
  <si>
    <t xml:space="preserve">PK04-C-L02</t>
  </si>
  <si>
    <t xml:space="preserve">PK04-C-L03</t>
  </si>
  <si>
    <t xml:space="preserve">PK04-C-L04</t>
  </si>
  <si>
    <t xml:space="preserve">PK05-A-L01</t>
  </si>
  <si>
    <t xml:space="preserve">PK05-A</t>
  </si>
  <si>
    <t xml:space="preserve">PK05-A-L02</t>
  </si>
  <si>
    <t xml:space="preserve">PK05-B-L01</t>
  </si>
  <si>
    <t xml:space="preserve">PK05-B</t>
  </si>
  <si>
    <t xml:space="preserve">PK05-B-L02</t>
  </si>
  <si>
    <t xml:space="preserve">PK05-C-L01</t>
  </si>
  <si>
    <t xml:space="preserve">PK05-C</t>
  </si>
  <si>
    <t xml:space="preserve">PK05-C-L02</t>
  </si>
  <si>
    <t xml:space="preserve">PK06-A-L01</t>
  </si>
  <si>
    <t xml:space="preserve">PK06-A</t>
  </si>
  <si>
    <t xml:space="preserve">PK06-B-L01</t>
  </si>
  <si>
    <t xml:space="preserve">PK06-B</t>
  </si>
  <si>
    <t xml:space="preserve">PK06-C-L01</t>
  </si>
  <si>
    <t xml:space="preserve">PK06-C</t>
  </si>
  <si>
    <t xml:space="preserve">PK07-A-L01</t>
  </si>
  <si>
    <t xml:space="preserve">PK07-A</t>
  </si>
  <si>
    <t xml:space="preserve">PK07-B-L01</t>
  </si>
  <si>
    <t xml:space="preserve">PK07-B</t>
  </si>
  <si>
    <t xml:space="preserve">PK07-C-L01</t>
  </si>
  <si>
    <t xml:space="preserve">PK07-C</t>
  </si>
  <si>
    <t xml:space="preserve">PK08-A-L01</t>
  </si>
  <si>
    <t xml:space="preserve">PK08-A</t>
  </si>
  <si>
    <t xml:space="preserve">PK08-A-L02</t>
  </si>
  <si>
    <t xml:space="preserve">PK08-B-L01</t>
  </si>
  <si>
    <t xml:space="preserve">PK08-B</t>
  </si>
  <si>
    <t xml:space="preserve">PK08-B-L02</t>
  </si>
  <si>
    <t xml:space="preserve">PK08-C-L01</t>
  </si>
  <si>
    <t xml:space="preserve">PK08-C</t>
  </si>
  <si>
    <t xml:space="preserve">PK08-C-L02</t>
  </si>
  <si>
    <t xml:space="preserve">PK09-A-L01</t>
  </si>
  <si>
    <t xml:space="preserve">PK09-A</t>
  </si>
  <si>
    <t xml:space="preserve">PK09-A-L02</t>
  </si>
  <si>
    <t xml:space="preserve">PK09-A-L03</t>
  </si>
  <si>
    <t xml:space="preserve">PK09-A-L04</t>
  </si>
  <si>
    <t xml:space="preserve">PK09-B-L01</t>
  </si>
  <si>
    <t xml:space="preserve">PK09-B</t>
  </si>
  <si>
    <t xml:space="preserve">PK09-B-L02</t>
  </si>
  <si>
    <t xml:space="preserve">PK09-B-L03</t>
  </si>
  <si>
    <t xml:space="preserve">PK09-B-L04</t>
  </si>
  <si>
    <t xml:space="preserve">PK09-C-L01</t>
  </si>
  <si>
    <t xml:space="preserve">PK09-C</t>
  </si>
  <si>
    <t xml:space="preserve">PK09-C-L02</t>
  </si>
  <si>
    <t xml:space="preserve">PK09-C-L03</t>
  </si>
  <si>
    <t xml:space="preserve">PK09-C-L04</t>
  </si>
  <si>
    <t xml:space="preserve">PK10-A-L01</t>
  </si>
  <si>
    <t xml:space="preserve">PK10-A</t>
  </si>
  <si>
    <t xml:space="preserve">PK10-A-L02</t>
  </si>
  <si>
    <t xml:space="preserve">PK10-A-L03</t>
  </si>
  <si>
    <t xml:space="preserve">PK10-A-L04</t>
  </si>
  <si>
    <t xml:space="preserve">PK10-B-L01</t>
  </si>
  <si>
    <t xml:space="preserve">PK10-B</t>
  </si>
  <si>
    <t xml:space="preserve">PK10-B-L02</t>
  </si>
  <si>
    <t xml:space="preserve">PK10-B-L03</t>
  </si>
  <si>
    <t xml:space="preserve">PK10-B-L04</t>
  </si>
  <si>
    <t xml:space="preserve">PK10-C-L01</t>
  </si>
  <si>
    <t xml:space="preserve">PK10-C</t>
  </si>
  <si>
    <t xml:space="preserve">PK10-C-L02</t>
  </si>
  <si>
    <t xml:space="preserve">PK10-C-L03</t>
  </si>
  <si>
    <t xml:space="preserve">PK10-C-L04</t>
  </si>
  <si>
    <t xml:space="preserve">PK11-A-L01</t>
  </si>
  <si>
    <t xml:space="preserve">PK11-A</t>
  </si>
  <si>
    <t xml:space="preserve">PK11-A-L02</t>
  </si>
  <si>
    <t xml:space="preserve">PK11-B-L01</t>
  </si>
  <si>
    <t xml:space="preserve">PK11-B</t>
  </si>
  <si>
    <t xml:space="preserve">PK11-B-L02</t>
  </si>
  <si>
    <t xml:space="preserve">PK11-C-L01</t>
  </si>
  <si>
    <t xml:space="preserve">PK11-C</t>
  </si>
  <si>
    <t xml:space="preserve">PK11-C-L02</t>
  </si>
  <si>
    <t xml:space="preserve">PK12-A-L01</t>
  </si>
  <si>
    <t xml:space="preserve">PK12-A</t>
  </si>
  <si>
    <t xml:space="preserve">PK12-A-L02</t>
  </si>
  <si>
    <t xml:space="preserve">PK12-A-L03</t>
  </si>
  <si>
    <t xml:space="preserve">PK12-A-L04</t>
  </si>
  <si>
    <t xml:space="preserve">PK12-A-L05</t>
  </si>
  <si>
    <t xml:space="preserve">PK12-B-L01</t>
  </si>
  <si>
    <t xml:space="preserve">PK12-B</t>
  </si>
  <si>
    <t xml:space="preserve">PK12-C-L01</t>
  </si>
  <si>
    <t xml:space="preserve">PK12-C</t>
  </si>
  <si>
    <t xml:space="preserve">Проверка_ID</t>
  </si>
  <si>
    <t xml:space="preserve">Что должно быть закрыто</t>
  </si>
  <si>
    <t xml:space="preserve">Документ / лист закрытия</t>
  </si>
  <si>
    <t xml:space="preserve">Ответственный</t>
  </si>
  <si>
    <t xml:space="preserve">Где учтена стоимость</t>
  </si>
  <si>
    <t xml:space="preserve">PK01-A-S01</t>
  </si>
  <si>
    <t xml:space="preserve">Двигатель и согласованный редуктор, заводские опоры, управление и жгуты; муфта, упорный узел, вал, дейдвуд, подшипники, уплотнение и согласованный движитель; монтаж, центровка, настройка и собственные испытания</t>
  </si>
  <si>
    <t xml:space="preserve">OPEN</t>
  </si>
  <si>
    <t xml:space="preserve">PK01-A-S02</t>
  </si>
  <si>
    <t xml:space="preserve">Включения двигателя раскрыть по позициям</t>
  </si>
  <si>
    <t xml:space="preserve">PK01-A-S03</t>
  </si>
  <si>
    <t xml:space="preserve">Внешнее топливо, охлаждение, выхлоп и вентиляция — PK09; гидронасос и его силовой привод — PK12; механическая совместимость PTO — интерфейс PK01/PK12</t>
  </si>
  <si>
    <t xml:space="preserve">PK01-A-EXT</t>
  </si>
  <si>
    <t xml:space="preserve">Подтвердить полный построчный BOM и границы: нет отсутствующих платных частей или внешних работ; у каждого включения/исключения есть место стоимости. Все монтажные доплаты учтены один раз.</t>
  </si>
  <si>
    <t xml:space="preserve">PK01-B-S01</t>
  </si>
  <si>
    <t xml:space="preserve">PK01-B-S02</t>
  </si>
  <si>
    <t xml:space="preserve">PK01-B-S03</t>
  </si>
  <si>
    <t xml:space="preserve">PK01-B-EXT</t>
  </si>
  <si>
    <t xml:space="preserve">PK01-C-S01</t>
  </si>
  <si>
    <t xml:space="preserve">PK01-C-S02</t>
  </si>
  <si>
    <t xml:space="preserve">PK01-C-S03</t>
  </si>
  <si>
    <t xml:space="preserve">PK01-C-EXT</t>
  </si>
  <si>
    <t xml:space="preserve">PK02-A-S01</t>
  </si>
  <si>
    <t xml:space="preserve">Два генераторных агрегата с согласованными капсулами, опорами, собственным управлением и заводским оснащением; монтаж, местная настройка и испытания каждого</t>
  </si>
  <si>
    <t xml:space="preserve">PK02-A-S02</t>
  </si>
  <si>
    <t xml:space="preserve">Внешние независимые топливные, водяные и выхлопные ветви — PK09; силовое переключение, распределение и кабели — PK03; пусковые АКБ и резервные связи — PK04</t>
  </si>
  <si>
    <t xml:space="preserve">PK02-A-S03</t>
  </si>
  <si>
    <t xml:space="preserve">Параллельную работу не считать включённой по умолчанию</t>
  </si>
  <si>
    <t xml:space="preserve">PK02-A-EXT</t>
  </si>
  <si>
    <t xml:space="preserve">PK02-B-S01</t>
  </si>
  <si>
    <t xml:space="preserve">PK02-B-S02</t>
  </si>
  <si>
    <t xml:space="preserve">PK02-B-S03</t>
  </si>
  <si>
    <t xml:space="preserve">PK02-B-EXT</t>
  </si>
  <si>
    <t xml:space="preserve">PK02-C-S01</t>
  </si>
  <si>
    <t xml:space="preserve">PK02-C-S02</t>
  </si>
  <si>
    <t xml:space="preserve">PK02-C-S03</t>
  </si>
  <si>
    <t xml:space="preserve">PK02-C-EXT</t>
  </si>
  <si>
    <t xml:space="preserve">PK03-A-S01</t>
  </si>
  <si>
    <t xml:space="preserve">Два основных инвертора/зарядных устройства, береговой ввод и развязка, AC/DC распределение, защиты и общесудовые питающие кабели до границ потребителей; контроль источников, заряд и отключение второстепенных нагрузок, критическое питание</t>
  </si>
  <si>
    <t xml:space="preserve">PK03-A-S02</t>
  </si>
  <si>
    <t xml:space="preserve">ME-06: одна независимая функция питания AC водяной ветви при отказе гостиничного инвертора; отдельный третий инвертор не назначен</t>
  </si>
  <si>
    <t xml:space="preserve">PK03-A-S03</t>
  </si>
  <si>
    <t xml:space="preserve">Монтаж, маркировка и электрические проверки</t>
  </si>
  <si>
    <t xml:space="preserve">PK03-A-S04</t>
  </si>
  <si>
    <t xml:space="preserve">Пусковые силовые пути, изоляция АКБ и BMS — PK04</t>
  </si>
  <si>
    <t xml:space="preserve">PK03-A-EXT</t>
  </si>
  <si>
    <t xml:space="preserve">PK03-B-S01</t>
  </si>
  <si>
    <t xml:space="preserve">PK03-B-S02</t>
  </si>
  <si>
    <t xml:space="preserve">PK03-B-S03</t>
  </si>
  <si>
    <t xml:space="preserve">PK03-B-S04</t>
  </si>
  <si>
    <t xml:space="preserve">PK03-B-EXT</t>
  </si>
  <si>
    <t xml:space="preserve">PK03-C-S01</t>
  </si>
  <si>
    <t xml:space="preserve">PK03-C-S02</t>
  </si>
  <si>
    <t xml:space="preserve">PK03-C-S03</t>
  </si>
  <si>
    <t xml:space="preserve">PK03-C-S04</t>
  </si>
  <si>
    <t xml:space="preserve">PK03-C-EXT</t>
  </si>
  <si>
    <t xml:space="preserve">PK04-A-S01</t>
  </si>
  <si>
    <t xml:space="preserve">Девять физических АКБ по назначению; крепления и защитные объёмы, BMS по химии, батарейная и стартерная коммутация, силовые кабели до согласованных точек подключения PK03/стартеров, дистанционные контакторы, межблокировки и подтверждение состояния</t>
  </si>
  <si>
    <t xml:space="preserve">PK04-A-S02</t>
  </si>
  <si>
    <t xml:space="preserve">Изоляция неисправной АКБ перед резервным пуском; местная блокировка обслуживания, питание управления и проверка всех разрешённых путей запуска</t>
  </si>
  <si>
    <t xml:space="preserve">PK04-A-S03</t>
  </si>
  <si>
    <t xml:space="preserve">Зарядные устройства — PK03; независимость и настройки зарядки совместно PK03/PK04</t>
  </si>
  <si>
    <t xml:space="preserve">PK04-A-EXT</t>
  </si>
  <si>
    <t xml:space="preserve">PK04-B-S01</t>
  </si>
  <si>
    <t xml:space="preserve">PK04-B-S02</t>
  </si>
  <si>
    <t xml:space="preserve">PK04-B-S03</t>
  </si>
  <si>
    <t xml:space="preserve">PK04-B-EXT</t>
  </si>
  <si>
    <t xml:space="preserve">PK04-C-S01</t>
  </si>
  <si>
    <t xml:space="preserve">PK04-C-S02</t>
  </si>
  <si>
    <t xml:space="preserve">PK04-C-S03</t>
  </si>
  <si>
    <t xml:space="preserve">PK04-C-EXT</t>
  </si>
  <si>
    <t xml:space="preserve">PK05-A-S01</t>
  </si>
  <si>
    <t xml:space="preserve">Одна установка 24 В и одна AC; независимые пути с выбором и изоляцией, гидроаккумуляторы, фильтры, обратные клапаны, коллекторы, магистрали до водоразбора и контроль давления</t>
  </si>
  <si>
    <t xml:space="preserve">PK05-A-S02</t>
  </si>
  <si>
    <t xml:space="preserve">Общие узлы ME-17, включая термостатическое смешение и рециркуляцию ГВС при принятии, принадлежат PK05</t>
  </si>
  <si>
    <t xml:space="preserve">PK05-A-S03</t>
  </si>
  <si>
    <t xml:space="preserve">Подача на RO промывку и бойлер — интерфейсы PK06/PK07</t>
  </si>
  <si>
    <t xml:space="preserve">PK05-A-S04</t>
  </si>
  <si>
    <t xml:space="preserve">Комплектные фильтры RO — PK06; баки — PK11</t>
  </si>
  <si>
    <t xml:space="preserve">PK05-A-S05</t>
  </si>
  <si>
    <t xml:space="preserve">Опрессовка, промывка и проверка обоих режимов</t>
  </si>
  <si>
    <t xml:space="preserve">PK05-A-EXT</t>
  </si>
  <si>
    <t xml:space="preserve">PK05-B-S01</t>
  </si>
  <si>
    <t xml:space="preserve">PK05-B-S02</t>
  </si>
  <si>
    <t xml:space="preserve">PK05-B-S03</t>
  </si>
  <si>
    <t xml:space="preserve">PK05-B-S04</t>
  </si>
  <si>
    <t xml:space="preserve">PK05-B-S05</t>
  </si>
  <si>
    <t xml:space="preserve">PK05-B-EXT</t>
  </si>
  <si>
    <t xml:space="preserve">PK05-C-S01</t>
  </si>
  <si>
    <t xml:space="preserve">PK05-C-S02</t>
  </si>
  <si>
    <t xml:space="preserve">PK05-C-S03</t>
  </si>
  <si>
    <t xml:space="preserve">PK05-C-S04</t>
  </si>
  <si>
    <t xml:space="preserve">PK05-C-S05</t>
  </si>
  <si>
    <t xml:space="preserve">PK05-C-EXT</t>
  </si>
  <si>
    <t xml:space="preserve">PK06-A-S01</t>
  </si>
  <si>
    <t xml:space="preserve">Один RO с подающим и высоким давлением по исполнению, мембранами, штатными фильтрами, контролем солёности и автоматическим отводом некондиционного продукта, промывкой и управлением</t>
  </si>
  <si>
    <t xml:space="preserve">PK06-A-S02</t>
  </si>
  <si>
    <t xml:space="preserve">Внутренняя обвязка, крепления, монтаж и наладка; трассы забортной подачи и концентрата этой установки принадлежат PK06, не PK09</t>
  </si>
  <si>
    <t xml:space="preserve">PK06-A-S03</t>
  </si>
  <si>
    <t xml:space="preserve">Подача пресной воды на промывку — PK05; приёмный танк — PK11</t>
  </si>
  <si>
    <t xml:space="preserve">PK06-A-S04</t>
  </si>
  <si>
    <t xml:space="preserve">Проверить качество, производительность и все автоматические режимы</t>
  </si>
  <si>
    <t xml:space="preserve">PK06-A-EXT</t>
  </si>
  <si>
    <t xml:space="preserve">PK06-B-S01</t>
  </si>
  <si>
    <t xml:space="preserve">PK06-B-S02</t>
  </si>
  <si>
    <t xml:space="preserve">PK06-B-S03</t>
  </si>
  <si>
    <t xml:space="preserve">PK06-B-S04</t>
  </si>
  <si>
    <t xml:space="preserve">PK06-B-EXT</t>
  </si>
  <si>
    <t xml:space="preserve">PK06-C-S01</t>
  </si>
  <si>
    <t xml:space="preserve">PK06-C-S02</t>
  </si>
  <si>
    <t xml:space="preserve">PK06-C-S03</t>
  </si>
  <si>
    <t xml:space="preserve">PK06-C-S04</t>
  </si>
  <si>
    <t xml:space="preserve">PK06-C-EXT</t>
  </si>
  <si>
    <t xml:space="preserve">PK07-A-S01</t>
  </si>
  <si>
    <t xml:space="preserve">Бойлеры с электрическим и двигательным нагревом, штатной защитной арматурой, изоляцией, креплениями и сливом; теплоноситель от согласованного присоединения двигателя до бойлера и обратно</t>
  </si>
  <si>
    <t xml:space="preserve">PK07-A-S02</t>
  </si>
  <si>
    <t xml:space="preserve">Монтаж, проверка нагрева и восстановления запаса</t>
  </si>
  <si>
    <t xml:space="preserve">PK07-A-S03</t>
  </si>
  <si>
    <t xml:space="preserve">Число и объём не назначены</t>
  </si>
  <si>
    <t xml:space="preserve">PK07-A-S04</t>
  </si>
  <si>
    <t xml:space="preserve">Термостатическое смешение и общая рециркуляция — PK05, не повторная покупка PK07; питание — PK03</t>
  </si>
  <si>
    <t xml:space="preserve">PK07-A-EXT</t>
  </si>
  <si>
    <t xml:space="preserve">PK07-B-S01</t>
  </si>
  <si>
    <t xml:space="preserve">PK07-B-S02</t>
  </si>
  <si>
    <t xml:space="preserve">PK07-B-S03</t>
  </si>
  <si>
    <t xml:space="preserve">PK07-B-S04</t>
  </si>
  <si>
    <t xml:space="preserve">PK07-B-EXT</t>
  </si>
  <si>
    <t xml:space="preserve">PK07-C-S01</t>
  </si>
  <si>
    <t xml:space="preserve">PK07-C-S02</t>
  </si>
  <si>
    <t xml:space="preserve">PK07-C-S03</t>
  </si>
  <si>
    <t xml:space="preserve">PK07-C-S04</t>
  </si>
  <si>
    <t xml:space="preserve">PK07-C-EXT</t>
  </si>
  <si>
    <t xml:space="preserve">PK08-A-S01</t>
  </si>
  <si>
    <t xml:space="preserve">Два независимо изолируемых чиллерных модуля; шкафы и панели управления, согласованные фанкойлы по помещениям, гидравлические контуры холода и забортного охлаждения, насосы, фильтры, расширение, клапаны, трубная изоляция, воздухораспределение и дренаж конденсата; монтаж, балансировка и наладка</t>
  </si>
  <si>
    <t xml:space="preserve">PK08-A-S02</t>
  </si>
  <si>
    <t xml:space="preserve">Все собственные HVAC водяные ветви — PK08, не PK09</t>
  </si>
  <si>
    <t xml:space="preserve">PK08-A-S03</t>
  </si>
  <si>
    <t xml:space="preserve">Дополнительное отопление ME-26 — отдельная опция с контуром и управлением, без автоматического назначения котла</t>
  </si>
  <si>
    <t xml:space="preserve">PK08-A-S04</t>
  </si>
  <si>
    <t xml:space="preserve">Фанкойлы — явное расширение до результата, их количество открыто</t>
  </si>
  <si>
    <t xml:space="preserve">PK08-A-EXT</t>
  </si>
  <si>
    <t xml:space="preserve">PK08-B-S01</t>
  </si>
  <si>
    <t xml:space="preserve">PK08-B-S02</t>
  </si>
  <si>
    <t xml:space="preserve">PK08-B-S03</t>
  </si>
  <si>
    <t xml:space="preserve">PK08-B-S04</t>
  </si>
  <si>
    <t xml:space="preserve">PK08-B-EXT</t>
  </si>
  <si>
    <t xml:space="preserve">PK08-C-S01</t>
  </si>
  <si>
    <t xml:space="preserve">PK08-C-S02</t>
  </si>
  <si>
    <t xml:space="preserve">PK08-C-S03</t>
  </si>
  <si>
    <t xml:space="preserve">PK08-C-S04</t>
  </si>
  <si>
    <t xml:space="preserve">PK08-C-EXT</t>
  </si>
  <si>
    <t xml:space="preserve">PK09-A-S01</t>
  </si>
  <si>
    <t xml:space="preserve">Общие и раздельные внешние топливные ветви двигателя/генераторов: фильтрация, подача, обратки, арматура и сервис; их забортное охлаждение, антисифонные меры, выхлоп и выходы; приток и вытяжка МО с каналами, заслонками и остановом по пожару</t>
  </si>
  <si>
    <t xml:space="preserve">PK09-A-S02</t>
  </si>
  <si>
    <t xml:space="preserve">Маслосмена, поддоны, местные сервисные узлы и освещение с интерфейсом PK03</t>
  </si>
  <si>
    <t xml:space="preserve">PK09-A-S03</t>
  </si>
  <si>
    <t xml:space="preserve">Монтаж, изоляция, маркировка и испытания</t>
  </si>
  <si>
    <t xml:space="preserve">PK09-A-S04</t>
  </si>
  <si>
    <t xml:space="preserve">Топливные танки и уровнемеры — PK11; заводские внутренние элементы агрегатов — PK01/PK02; отдельные RO/HVAC/гидравлические охладители и ветви — PK06/PK08/PK12</t>
  </si>
  <si>
    <t xml:space="preserve">PK09-A-EXT</t>
  </si>
  <si>
    <t xml:space="preserve">PK09-B-S01</t>
  </si>
  <si>
    <t xml:space="preserve">PK09-B-S02</t>
  </si>
  <si>
    <t xml:space="preserve">PK09-B-S03</t>
  </si>
  <si>
    <t xml:space="preserve">PK09-B-S04</t>
  </si>
  <si>
    <t xml:space="preserve">PK09-B-EXT</t>
  </si>
  <si>
    <t xml:space="preserve">PK09-C-S01</t>
  </si>
  <si>
    <t xml:space="preserve">PK09-C-S02</t>
  </si>
  <si>
    <t xml:space="preserve">PK09-C-S03</t>
  </si>
  <si>
    <t xml:space="preserve">PK09-C-S04</t>
  </si>
  <si>
    <t xml:space="preserve">PK09-C-EXT</t>
  </si>
  <si>
    <t xml:space="preserve">PK10-A-S01</t>
  </si>
  <si>
    <t xml:space="preserve">Зональное и аварийное осушение с насосами, ручными средствами, трубами, арматурой, датчиками и независимой тревогой; пожарное обнаружение, стационарное тушение, ручной пуск и контроль готовности</t>
  </si>
  <si>
    <t xml:space="preserve">PK10-A-S02</t>
  </si>
  <si>
    <t xml:space="preserve">Матрица остановов двигателя/генераторов и вентиляции, собственные исполнительные приводы пожарной отсечки топлива — PK10, корпуса топливной арматуры — PK09</t>
  </si>
  <si>
    <t xml:space="preserve">PK10-A-S03</t>
  </si>
  <si>
    <t xml:space="preserve">Монтаж и проверка сценариев, без необоснованного расходования заряда</t>
  </si>
  <si>
    <t xml:space="preserve">PK10-A-S04</t>
  </si>
  <si>
    <t xml:space="preserve">Числа, защищаемый объём и тип агента открыты</t>
  </si>
  <si>
    <t xml:space="preserve">PK10-A-EXT</t>
  </si>
  <si>
    <t xml:space="preserve">PK10-B-S01</t>
  </si>
  <si>
    <t xml:space="preserve">PK10-B-S02</t>
  </si>
  <si>
    <t xml:space="preserve">PK10-B-S03</t>
  </si>
  <si>
    <t xml:space="preserve">PK10-B-S04</t>
  </si>
  <si>
    <t xml:space="preserve">PK10-B-EXT</t>
  </si>
  <si>
    <t xml:space="preserve">PK10-C-S01</t>
  </si>
  <si>
    <t xml:space="preserve">PK10-C-S02</t>
  </si>
  <si>
    <t xml:space="preserve">PK10-C-S03</t>
  </si>
  <si>
    <t xml:space="preserve">PK10-C-S04</t>
  </si>
  <si>
    <t xml:space="preserve">PK10-C-EXT</t>
  </si>
  <si>
    <t xml:space="preserve">PK11-A-S01</t>
  </si>
  <si>
    <t xml:space="preserve">Полезные запасы и стоки: реестр фактических танков, встроенные либо съёмные ёмкости, люки, вентиляция, залив/слив, уровнемеры и управление; санитарная техническая подача, изоляция источников смыва, насосы стоков, откачка и контроль доступа к сбросу</t>
  </si>
  <si>
    <t xml:space="preserve">PK11-A-S02</t>
  </si>
  <si>
    <t xml:space="preserve">Изготовление встроенного танка и его испытание раскрыть отдельно от испытания всей системы</t>
  </si>
  <si>
    <t xml:space="preserve">PK11-A-S03</t>
  </si>
  <si>
    <t xml:space="preserve">В рамках учёта M03 — PK11, с интерфейсом корпусному W10.90, без двойной цены</t>
  </si>
  <si>
    <t xml:space="preserve">PK11-A-S04</t>
  </si>
  <si>
    <t xml:space="preserve">Санприборы, не входящие в перечень МО, — внешний пакет W50.58</t>
  </si>
  <si>
    <t xml:space="preserve">PK11-A-S05</t>
  </si>
  <si>
    <t xml:space="preserve">Трубопроводы от танковых сервисных границ — PK05/PK09 по назначению</t>
  </si>
  <si>
    <t xml:space="preserve">PK11-A-EXT</t>
  </si>
  <si>
    <t xml:space="preserve">PK11-B-S01</t>
  </si>
  <si>
    <t xml:space="preserve">PK11-B-S02</t>
  </si>
  <si>
    <t xml:space="preserve">PK11-B-S03</t>
  </si>
  <si>
    <t xml:space="preserve">PK11-B-S04</t>
  </si>
  <si>
    <t xml:space="preserve">PK11-B-S05</t>
  </si>
  <si>
    <t xml:space="preserve">PK11-B-EXT</t>
  </si>
  <si>
    <t xml:space="preserve">PK11-C-S01</t>
  </si>
  <si>
    <t xml:space="preserve">PK11-C-S02</t>
  </si>
  <si>
    <t xml:space="preserve">PK11-C-S03</t>
  </si>
  <si>
    <t xml:space="preserve">PK11-C-S04</t>
  </si>
  <si>
    <t xml:space="preserve">PK11-C-S05</t>
  </si>
  <si>
    <t xml:space="preserve">PK11-C-EXT</t>
  </si>
  <si>
    <t xml:space="preserve">PK12-A-S01</t>
  </si>
  <si>
    <t xml:space="preserve">Полная гидросистема до нужных функций всех подруливающих и всех лебёдок: насосы и выбранный привод, PTO/адаптация либо электрический или отдельный привод, бак, фильтры, охлаждение, распределители, регулирование и защита давления, трассы, местные клапаны, управление и исполнительные гидромоторы/механизмы</t>
  </si>
  <si>
    <t xml:space="preserve">PK12-A-S02</t>
  </si>
  <si>
    <t xml:space="preserve">Выдать ведомость всех внешних потребителей и включений их пакетов: одинаковый предмет не суммировать дважды</t>
  </si>
  <si>
    <t xml:space="preserve">PK12-A-S03</t>
  </si>
  <si>
    <t xml:space="preserve">Монтаж, промывка, чистота масла, наладка приоритетов и испытания режимов, в том числе согласованного режима без главного дизеля</t>
  </si>
  <si>
    <t xml:space="preserve">PK12-A-S04</t>
  </si>
  <si>
    <t xml:space="preserve">Рулевое не включать в общий контур автоматически</t>
  </si>
  <si>
    <t xml:space="preserve">PK12-A-EXT</t>
  </si>
  <si>
    <t xml:space="preserve">PK12-B-S01</t>
  </si>
  <si>
    <t xml:space="preserve">PK12-B-S02</t>
  </si>
  <si>
    <t xml:space="preserve">PK12-B-S03</t>
  </si>
  <si>
    <t xml:space="preserve">PK12-B-S04</t>
  </si>
  <si>
    <t xml:space="preserve">PK12-B-EXT</t>
  </si>
  <si>
    <t xml:space="preserve">PK12-C-S01</t>
  </si>
  <si>
    <t xml:space="preserve">PK12-C-S02</t>
  </si>
  <si>
    <t xml:space="preserve">PK12-C-S03</t>
  </si>
  <si>
    <t xml:space="preserve">PK12-C-S04</t>
  </si>
  <si>
    <t xml:space="preserve">PK12-C-EXT</t>
  </si>
  <si>
    <t xml:space="preserve">Начальная гипотеза исполнения</t>
  </si>
  <si>
    <t xml:space="preserve">Заданные количества</t>
  </si>
  <si>
    <t xml:space="preserve">Строк состава</t>
  </si>
  <si>
    <t xml:space="preserve">Строк с суммой</t>
  </si>
  <si>
    <t xml:space="preserve">Известная часть NET EUR</t>
  </si>
  <si>
    <t xml:space="preserve">Открыто по составу</t>
  </si>
  <si>
    <t xml:space="preserve">Недопущенных цен</t>
  </si>
  <si>
    <t xml:space="preserve">Технический допуск</t>
  </si>
  <si>
    <t xml:space="preserve">Коммерческий состав</t>
  </si>
  <si>
    <t xml:space="preserve">Полный NET состава EUR</t>
  </si>
  <si>
    <t xml:space="preserve">Доставка NET EUR</t>
  </si>
  <si>
    <t xml:space="preserve">Страхование NET EUR</t>
  </si>
  <si>
    <t xml:space="preserve">Пошлина EUR</t>
  </si>
  <si>
    <t xml:space="preserve">Оформление NET EUR</t>
  </si>
  <si>
    <t xml:space="preserve">Монтаж / ПНР NET EUR</t>
  </si>
  <si>
    <t xml:space="preserve">Прочие NET EUR</t>
  </si>
  <si>
    <t xml:space="preserve">Полная стоимость NET EUR</t>
  </si>
  <si>
    <t xml:space="preserve">Невозмещаемый VAT EUR</t>
  </si>
  <si>
    <t xml:space="preserve">Стоимость проекта EUR</t>
  </si>
  <si>
    <t xml:space="preserve">Полнота налоговых документов</t>
  </si>
  <si>
    <t xml:space="preserve">Выбор владельца</t>
  </si>
  <si>
    <t xml:space="preserve">Что ещё требуется</t>
  </si>
  <si>
    <t xml:space="preserve">NOT_CHECKED</t>
  </si>
  <si>
    <t xml:space="preserve">PUBLIC_ONLY</t>
  </si>
  <si>
    <t xml:space="preserve">NOT_SELECTED</t>
  </si>
  <si>
    <t xml:space="preserve">MultiPlus-II 24/3000/70-32 PMP242305010 + 3600 ITR040362042</t>
  </si>
  <si>
    <t xml:space="preserve">MultiPlus-II GX 24/3000/70-32 PMP242306000 + Mass GI3.5 88000355</t>
  </si>
  <si>
    <t xml:space="preserve">CombiMaster 24/3000-60 230V 35023000 + Mass GI3.5 88000355</t>
  </si>
  <si>
    <t xml:space="preserve">ER550 12V115Ah + UNSIZED + UNSIZED + ML-RBS7702 24V</t>
  </si>
  <si>
    <t xml:space="preserve">ALS12115 12V115Ah + UNSIZED + UNSIZED + ML-RBS7702 24V</t>
  </si>
  <si>
    <t xml:space="preserve">AGM Telecom115Ah M8 BAT412105164 + UNSIZED + UNSIZED + ML-RBS7702 24V</t>
  </si>
  <si>
    <t xml:space="preserve">OSC-16.062.24 / OEM identity reconcile + J-INOX/20X 230M</t>
  </si>
  <si>
    <t xml:space="preserve">EcoInox1 GE011 24V20L + EcoInox2 GE017 230V20L</t>
  </si>
  <si>
    <t xml:space="preserve">GH24-0.37-24L-OT RB18-ED + GH230mono-0.37-24L-JET M-ED</t>
  </si>
  <si>
    <t xml:space="preserve">UC16H + NH150PS SWM0150230</t>
  </si>
  <si>
    <t xml:space="preserve">CWS Aquacontrol161RC 230/1/50 + NH150PS SWM0150230</t>
  </si>
  <si>
    <t xml:space="preserve">BlueCool C16M + NH150PS SWM0150230</t>
  </si>
  <si>
    <t xml:space="preserve">75500MAXM30 + FTR330/32 + 35770-0094 /24V + UP3/OIL 16402013 /24V</t>
  </si>
  <si>
    <t xml:space="preserve">75500MAXM30 + FTR33032M + 35770-0094 /24V + UP3/OIL 16402013 /24V</t>
  </si>
  <si>
    <t xml:space="preserve">2000 GPH / model12 /24V + Gusher Urchin BP9005 + 32ALA /24V + MA series 31.620.55</t>
  </si>
  <si>
    <t xml:space="preserve">SENSOR320 + 18590-2094 /24V</t>
  </si>
  <si>
    <t xml:space="preserve">SENSORA + 18590-2094 /24V</t>
  </si>
  <si>
    <t xml:space="preserve">HT1010 + HT1016SD2 + HT301132 + HT102312 + HT1011</t>
  </si>
  <si>
    <t xml:space="preserve">Налоговая строка</t>
  </si>
  <si>
    <t xml:space="preserve">Счёт / операция / компоненты</t>
  </si>
  <si>
    <t xml:space="preserve">Покупатель / VAT статус</t>
  </si>
  <si>
    <t xml:space="preserve">Фактическая отправка</t>
  </si>
  <si>
    <t xml:space="preserve">Страна VAT / импортёр</t>
  </si>
  <si>
    <t xml:space="preserve">Режим</t>
  </si>
  <si>
    <t xml:space="preserve">Налоговая база EUR</t>
  </si>
  <si>
    <t xml:space="preserve">Ставка %</t>
  </si>
  <si>
    <t xml:space="preserve">Начисленный VAT EUR</t>
  </si>
  <si>
    <t xml:space="preserve">Подтверждённая доля вычета %</t>
  </si>
  <si>
    <t xml:space="preserve">VAT к вычету EUR</t>
  </si>
  <si>
    <t xml:space="preserve">VAT: денежный платёж EUR</t>
  </si>
  <si>
    <t xml:space="preserve">Ожидаемый денежный возврат EUR</t>
  </si>
  <si>
    <t xml:space="preserve">Дата оплаты</t>
  </si>
  <si>
    <t xml:space="preserve">Дата возврата / зачёта</t>
  </si>
  <si>
    <t xml:space="preserve">Правовое и документальное основание</t>
  </si>
  <si>
    <t xml:space="preserve">Контроль расчёта</t>
  </si>
  <si>
    <t xml:space="preserve">TAX-PK01-A</t>
  </si>
  <si>
    <t xml:space="preserve">TAX-PK01-B</t>
  </si>
  <si>
    <t xml:space="preserve">TAX-PK01-C</t>
  </si>
  <si>
    <t xml:space="preserve">TAX-PK02-A</t>
  </si>
  <si>
    <t xml:space="preserve">TAX-PK02-B</t>
  </si>
  <si>
    <t xml:space="preserve">TAX-PK02-C</t>
  </si>
  <si>
    <t xml:space="preserve">TAX-PK03-A</t>
  </si>
  <si>
    <t xml:space="preserve">TAX-PK03-B</t>
  </si>
  <si>
    <t xml:space="preserve">TAX-PK03-C</t>
  </si>
  <si>
    <t xml:space="preserve">TAX-PK04-A</t>
  </si>
  <si>
    <t xml:space="preserve">TAX-PK04-B</t>
  </si>
  <si>
    <t xml:space="preserve">TAX-PK04-C</t>
  </si>
  <si>
    <t xml:space="preserve">TAX-PK05-A</t>
  </si>
  <si>
    <t xml:space="preserve">TAX-PK05-B</t>
  </si>
  <si>
    <t xml:space="preserve">TAX-PK05-C</t>
  </si>
  <si>
    <t xml:space="preserve">TAX-PK06-A</t>
  </si>
  <si>
    <t xml:space="preserve">TAX-PK06-B</t>
  </si>
  <si>
    <t xml:space="preserve">TAX-PK06-C</t>
  </si>
  <si>
    <t xml:space="preserve">TAX-PK07-A</t>
  </si>
  <si>
    <t xml:space="preserve">TAX-PK07-B</t>
  </si>
  <si>
    <t xml:space="preserve">TAX-PK07-C</t>
  </si>
  <si>
    <t xml:space="preserve">TAX-PK08-A</t>
  </si>
  <si>
    <t xml:space="preserve">TAX-PK08-B</t>
  </si>
  <si>
    <t xml:space="preserve">TAX-PK08-C</t>
  </si>
  <si>
    <t xml:space="preserve">TAX-PK09-A</t>
  </si>
  <si>
    <t xml:space="preserve">TAX-PK09-B</t>
  </si>
  <si>
    <t xml:space="preserve">TAX-PK09-C</t>
  </si>
  <si>
    <t xml:space="preserve">TAX-PK10-A</t>
  </si>
  <si>
    <t xml:space="preserve">TAX-PK10-B</t>
  </si>
  <si>
    <t xml:space="preserve">TAX-PK10-C</t>
  </si>
  <si>
    <t xml:space="preserve">TAX-PK11-A</t>
  </si>
  <si>
    <t xml:space="preserve">TAX-PK11-B</t>
  </si>
  <si>
    <t xml:space="preserve">TAX-PK11-C</t>
  </si>
  <si>
    <t xml:space="preserve">TAX-PK12-A</t>
  </si>
  <si>
    <t xml:space="preserve">TAX-PK12-B</t>
  </si>
  <si>
    <t xml:space="preserve">TAX-PK12-C</t>
  </si>
  <si>
    <t xml:space="preserve">Результат</t>
  </si>
  <si>
    <t xml:space="preserve">Требуется для допуска</t>
  </si>
  <si>
    <t xml:space="preserve">Первое действие</t>
  </si>
  <si>
    <t xml:space="preserve">Согласовать требуемый выход, проверить обслуживаемую компоновку и полный BOM; запросить недостающие основания.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</si>
</sst>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u val="single"/>
      <sz val="11"/>
      <color rgb="FF006CAA"/>
      <name val="Cambria"/>
      <family val="0"/>
      <charset val="1"/>
    </font>
    <font>
      <sz val="11"/>
      <color rgb="FF0066BB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84D"/>
        <bgColor rgb="FF333333"/>
      </patternFill>
    </fill>
    <fill>
      <patternFill patternType="solid">
        <fgColor rgb="FFF1F6FA"/>
        <bgColor rgb="FFEFF8FF"/>
      </patternFill>
    </fill>
    <fill>
      <patternFill patternType="solid">
        <fgColor rgb="FFE8ECEF"/>
        <bgColor rgb="FFF1F6FA"/>
      </patternFill>
    </fill>
    <fill>
      <patternFill patternType="solid">
        <fgColor rgb="FFEFF8FF"/>
        <bgColor rgb="FFF1F6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84D"/>
          <bgColor rgb="FF000000"/>
        </patternFill>
      </fill>
    </dxf>
    <dxf>
      <fill>
        <patternFill patternType="solid">
          <fgColor rgb="FFF1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CEF"/>
          <bgColor rgb="FF000000"/>
        </patternFill>
      </fill>
    </dxf>
    <dxf>
      <fill>
        <patternFill patternType="solid">
          <fgColor rgb="FF006CAA"/>
          <bgColor rgb="FF000000"/>
        </patternFill>
      </fill>
    </dxf>
    <dxf>
      <fill>
        <patternFill patternType="solid">
          <fgColor rgb="FFEFF8FF"/>
          <bgColor rgb="FF000000"/>
        </patternFill>
      </fill>
    </dxf>
    <dxf>
      <fill>
        <patternFill patternType="solid">
          <fgColor rgb="FF0066B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CAA"/>
      <rgbColor rgb="FFC0C0C0"/>
      <rgbColor rgb="FF808080"/>
      <rgbColor rgb="FF9999FF"/>
      <rgbColor rgb="FF993366"/>
      <rgbColor rgb="FFF1F6FA"/>
      <rgbColor rgb="FFEFF8FF"/>
      <rgbColor rgb="FF660066"/>
      <rgbColor rgb="FFFF8080"/>
      <rgbColor rgb="FF0066B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8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2" Type="http://schemas.openxmlformats.org/officeDocument/2006/relationships/hyperlink" Target="https://www.dbmoteurs.fr/sites/default/files/Moteur-Volvo-Penta-D4-270-300-320-fiche-commerciale-2021-47711815-en.pdf" TargetMode="External"/><Relationship Id="rId3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4" Type="http://schemas.openxmlformats.org/officeDocument/2006/relationships/hyperlink" Target="https://www.dbmoteurs.fr/sites/default/files/Moteur-Volvo-Penta-D4-270-300-320-fiche-commerciale-2021-47711815-en.pdf" TargetMode="External"/><Relationship Id="rId5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6" Type="http://schemas.openxmlformats.org/officeDocument/2006/relationships/hyperlink" Target="https://www.dbmoteurs.fr/sites/default/files/Moteur-Volvo-Penta-D6-300-340-380-fiche-commerciale-brochure-2021-47711891-fr-dbmoteurs.pdf" TargetMode="External"/><Relationship Id="rId7" Type="http://schemas.openxmlformats.org/officeDocument/2006/relationships/hyperlink" Target="https://www.etruck.fi/shop-1" TargetMode="External"/><Relationship Id="rId8" Type="http://schemas.openxmlformats.org/officeDocument/2006/relationships/hyperlink" Target="https://www.fptindustrial.com/-/media/FPT/Brochures/Engines/MARINE/COMMERCIAL/Marine_Commercial_FR_2026.pdf?rev=-1" TargetMode="External"/><Relationship Id="rId9" Type="http://schemas.openxmlformats.org/officeDocument/2006/relationships/hyperlink" Target="https://www.jpcdirect.com/product/fischer-panda-12000x-generator/" TargetMode="External"/><Relationship Id="rId10" Type="http://schemas.openxmlformats.org/officeDocument/2006/relationships/hyperlink" Target="https://www.onefischerpanda.com/marine/marine-generators/xseries-generators/panda-12000x-pms/" TargetMode="External"/><Relationship Id="rId11" Type="http://schemas.openxmlformats.org/officeDocument/2006/relationships/hyperlink" Target="https://www.jpcdirect.com/product/kohler-12-kilowatt-generator/" TargetMode="External"/><Relationship Id="rId12" Type="http://schemas.openxmlformats.org/officeDocument/2006/relationships/hyperlink" Target="https://techcomm.rehlko.com/techcomm/pdf/g2186.pdf" TargetMode="External"/><Relationship Id="rId13" Type="http://schemas.openxmlformats.org/officeDocument/2006/relationships/hyperlink" Target="https://www.manelservice.com/it/gruppi-elettrogeni-marini/3925-vte-paguro-12000-v-ap12023050m0.html" TargetMode="External"/><Relationship Id="rId14" Type="http://schemas.openxmlformats.org/officeDocument/2006/relationships/hyperlink" Target="https://www.volpitecno.com/portfolio/paguro-12000-v-10-kw-2000-&#247;-3000-g-1/" TargetMode="External"/><Relationship Id="rId15" Type="http://schemas.openxmlformats.org/officeDocument/2006/relationships/hyperlink" Target="https://mmarineonline.com/products/kohler-marine-diesel-generator-24v-12efkozd-ss-50hz-with-sound-shield" TargetMode="External"/><Relationship Id="rId16" Type="http://schemas.openxmlformats.org/officeDocument/2006/relationships/hyperlink" Target="https://techcomm.rehlko.com/techcomm/pdf/g2186.pdf" TargetMode="External"/><Relationship Id="rId17" Type="http://schemas.openxmlformats.org/officeDocument/2006/relationships/hyperlink" Target="https://www.svb.de/de/victron-wechselrichter-ladegeraet-multiplus-ii-24-v-3000-va-70-a.html" TargetMode="External"/><Relationship Id="rId18" Type="http://schemas.openxmlformats.org/officeDocument/2006/relationships/hyperlink" Target="https://www.victronenergy.com/media/pg/MultiPlus-II_230V/en/technical-specifications-mp-ii-230v.html" TargetMode="External"/><Relationship Id="rId19" Type="http://schemas.openxmlformats.org/officeDocument/2006/relationships/hyperlink" Target="https://www.svb.de/de/victron-wechselrichter-ladegeraet-multiplus-ii-gx-24-v-3000-va-70-a.html" TargetMode="External"/><Relationship Id="rId20" Type="http://schemas.openxmlformats.org/officeDocument/2006/relationships/hyperlink" Target="https://www.victronenergy.com/media/pg/MultiPlus-II_GX/en/technical-specifications-mp-ii-gx-230v.html" TargetMode="External"/><Relationship Id="rId21" Type="http://schemas.openxmlformats.org/officeDocument/2006/relationships/hyperlink" Target="https://www.svb.de/de/mastervolt-wechselrichter-ladegeraet-combimaster-24-v-3000-va-60-a.html?question_sort=oldest" TargetMode="External"/><Relationship Id="rId22" Type="http://schemas.openxmlformats.org/officeDocument/2006/relationships/hyperlink" Target="https://www.mastervolt.com/products/combimaster/combimaster-24-3000-60-230-v/" TargetMode="External"/><Relationship Id="rId23" Type="http://schemas.openxmlformats.org/officeDocument/2006/relationships/hyperlink" Target="https://www.svb24.com/en/p/victron-isolation-transformer-3600-w-115-230-v.html" TargetMode="External"/><Relationship Id="rId24" Type="http://schemas.openxmlformats.org/officeDocument/2006/relationships/hyperlink" Target="https://www.victronenergy.com/upload/documents/Datasheet-Isolation-Transformers-EN.pdf" TargetMode="External"/><Relationship Id="rId25" Type="http://schemas.openxmlformats.org/officeDocument/2006/relationships/hyperlink" Target="https://www.svb24.com/en/mastervolt-mass-gi-3-5-isolation-transformer-16-a-3-5-kw.html" TargetMode="External"/><Relationship Id="rId26" Type="http://schemas.openxmlformats.org/officeDocument/2006/relationships/hyperlink" Target="https://www.mastervolt.com/products/mass-gi/mass-gi-35-kva-16a-lightweight/" TargetMode="External"/><Relationship Id="rId27" Type="http://schemas.openxmlformats.org/officeDocument/2006/relationships/hyperlink" Target="https://www.hansenautic.de/36377/wp-gi-compact-galvanic-isolation-transformator-230v-16a-120v-32a/" TargetMode="External"/><Relationship Id="rId28" Type="http://schemas.openxmlformats.org/officeDocument/2006/relationships/hyperlink" Target="https://www.whisperpower.com/gi-3600-compact-galvanic-isolation-transformer" TargetMode="External"/><Relationship Id="rId29" Type="http://schemas.openxmlformats.org/officeDocument/2006/relationships/hyperlink" Target="https://online-batterien.de/a/exide-er550-dual-versorgungsbatterie-starterbatterie-12v-115ah-550wh/400440" TargetMode="External"/><Relationship Id="rId30" Type="http://schemas.openxmlformats.org/officeDocument/2006/relationships/hyperlink" Target="https://www.exidegroup.com/en/document/ml-brochure-2022" TargetMode="External"/><Relationship Id="rId31" Type="http://schemas.openxmlformats.org/officeDocument/2006/relationships/hyperlink" Target="https://www.nothnagel-marine.de/product_info.php?info=p3857_aquamot---power-battery--dc-battery-als12115-12v-115ah-agm-deep-cycle-battery.html&amp;language=en" TargetMode="External"/><Relationship Id="rId32" Type="http://schemas.openxmlformats.org/officeDocument/2006/relationships/hyperlink" Target="https://aquamot.at/wp-content/uploads/2018/02/Die-Batterie-Aquamot.pdf" TargetMode="External"/><Relationship Id="rId33" Type="http://schemas.openxmlformats.org/officeDocument/2006/relationships/hyperlink" Target="https://ab-marineservice.com/product/12v-115ah-agm-telecom-batt-m8/" TargetMode="External"/><Relationship Id="rId34" Type="http://schemas.openxmlformats.org/officeDocument/2006/relationships/hyperlink" Target="https://www.victronenergy.com/upload/documents/Datasheet-Telecom-batteries-EN.pdf" TargetMode="External"/><Relationship Id="rId35" Type="http://schemas.openxmlformats.org/officeDocument/2006/relationships/hyperlink" Target="https://www.dynastart.nl/lyn060102000-lynx-distributor-m8" TargetMode="External"/><Relationship Id="rId36" Type="http://schemas.openxmlformats.org/officeDocument/2006/relationships/hyperlink" Target="https://www.victronenergy.com/media/pg/Lynx_Distributor/en/technical-specifications-lynx-distributor.html" TargetMode="External"/><Relationship Id="rId37" Type="http://schemas.openxmlformats.org/officeDocument/2006/relationships/hyperlink" Target="https://www.svb24.com/en/philippi-stv207-power-distribution-panel-configurable.html" TargetMode="External"/><Relationship Id="rId38" Type="http://schemas.openxmlformats.org/officeDocument/2006/relationships/hyperlink" Target="https://www.philippi-online.de/en/collections/serie_200-marine/products/stv-207" TargetMode="External"/><Relationship Id="rId39" Type="http://schemas.openxmlformats.org/officeDocument/2006/relationships/hyperlink" Target="https://www.svb24.com/en/philippi-lae-113-shore-connection-unit.html" TargetMode="External"/><Relationship Id="rId40" Type="http://schemas.openxmlformats.org/officeDocument/2006/relationships/hyperlink" Target="https://www.philippi-online.de/en/products/lae-113" TargetMode="External"/><Relationship Id="rId41" Type="http://schemas.openxmlformats.org/officeDocument/2006/relationships/hyperlink" Target="https://www.svb24.com/en/blue-sea-hd-remote-battery-switch-24v.html" TargetMode="External"/><Relationship Id="rId42" Type="http://schemas.openxmlformats.org/officeDocument/2006/relationships/hyperlink" Target="https://www.bluesea.com/products/7702/ML-RBS_Remote_Battery_Switch_with_Manual_Control_-_24V_DC_500A" TargetMode="External"/><Relationship Id="rId43" Type="http://schemas.openxmlformats.org/officeDocument/2006/relationships/hyperlink" Target="https://www.svb24.com/en/blue-sea-universal-solenoid-switch-24-v.html" TargetMode="External"/><Relationship Id="rId44" Type="http://schemas.openxmlformats.org/officeDocument/2006/relationships/hyperlink" Target="https://d2pyqm2yd3fw2i.cloudfront.net/files/resources/instructions/990180170-006.pdf" TargetMode="External"/><Relationship Id="rId45" Type="http://schemas.openxmlformats.org/officeDocument/2006/relationships/hyperlink" Target="https://www.aquatec-watermaker.de/wassermacher-produkt-ac150-ac240.html" TargetMode="External"/><Relationship Id="rId46" Type="http://schemas.openxmlformats.org/officeDocument/2006/relationships/hyperlink" Target="https://www.aquatec-watermaker.de/wassermacher-produkt-ac150-ac240.html" TargetMode="External"/><Relationship Id="rId47" Type="http://schemas.openxmlformats.org/officeDocument/2006/relationships/hyperlink" Target="https://mar-nautic.com/schenker-watermaker-zen-150" TargetMode="External"/><Relationship Id="rId48" Type="http://schemas.openxmlformats.org/officeDocument/2006/relationships/hyperlink" Target="https://schenkerwatermakers.com/wp-content/uploads/2025/03/ZEN150_datasheet_v4.pdf" TargetMode="External"/><Relationship Id="rId49" Type="http://schemas.openxmlformats.org/officeDocument/2006/relationships/hyperlink" Target="https://www.manelservice.com/en/marine-desalination-systems/17102-osmosea-new12-150c-nautical-watermaker-150-lth.html" TargetMode="External"/><Relationship Id="rId50" Type="http://schemas.openxmlformats.org/officeDocument/2006/relationships/hyperlink" Target="https://osmosea.it/en/new-12/" TargetMode="External"/><Relationship Id="rId51" Type="http://schemas.openxmlformats.org/officeDocument/2006/relationships/hyperlink" Target="https://www.comptoirnautique.com/groupe-d-eau-a-pressostat/53022-cem-elettromeccanica-autoclave-cem-vase-expansion-inox-20l-24v-50-l-min.html" TargetMode="External"/><Relationship Id="rId52" Type="http://schemas.openxmlformats.org/officeDocument/2006/relationships/hyperlink" Target="https://cempumps.com/wp-content/uploads/2024/10/Autoclavi_20L-20X.pdf" TargetMode="External"/><Relationship Id="rId53" Type="http://schemas.openxmlformats.org/officeDocument/2006/relationships/hyperlink" Target="https://www.comptoirnautique.com/groupe-d-eau-hydrophore/22947-gianneschi-groupe-d-eau-ecoinox-1-avec-reservoir-20l-24v-45lmin-7024.html" TargetMode="External"/><Relationship Id="rId54" Type="http://schemas.openxmlformats.org/officeDocument/2006/relationships/hyperlink" Target="https://www.gianneschipumps.com/GIANNESCHI_Brochure-web.pdf" TargetMode="External"/><Relationship Id="rId55" Type="http://schemas.openxmlformats.org/officeDocument/2006/relationships/hyperlink" Target="https://www.enag.fr/english/wp-content/uploads/sites/5/2022/11/FC-GH-EN-C.pdf" TargetMode="External"/><Relationship Id="rId56" Type="http://schemas.openxmlformats.org/officeDocument/2006/relationships/hyperlink" Target="https://www.enag.fr/english/wp-content/uploads/sites/5/2022/11/FC-GH-EN-C.pdf" TargetMode="External"/><Relationship Id="rId57" Type="http://schemas.openxmlformats.org/officeDocument/2006/relationships/hyperlink" Target="https://cempumps.com/wp-content/uploads/2024/10/Autoclavi_20L-20X.pdf" TargetMode="External"/><Relationship Id="rId58" Type="http://schemas.openxmlformats.org/officeDocument/2006/relationships/hyperlink" Target="https://cempumps.com/wp-content/uploads/2024/10/Autoclavi_20L-20X.pdf" TargetMode="External"/><Relationship Id="rId59" Type="http://schemas.openxmlformats.org/officeDocument/2006/relationships/hyperlink" Target="https://www.tyboat.com/achat/P-57388-gianneschi-groupe-d-eau-ecoinox2-3-5-bars-0-45-kw-55-litres-minute-reservoir-20-litres-230-volts.html" TargetMode="External"/><Relationship Id="rId60" Type="http://schemas.openxmlformats.org/officeDocument/2006/relationships/hyperlink" Target="https://www.gianneschipumps.com/GIANNESCHI_Brochure-web.pdf" TargetMode="External"/><Relationship Id="rId61" Type="http://schemas.openxmlformats.org/officeDocument/2006/relationships/hyperlink" Target="https://www.enag.fr/english/wp-content/uploads/sites/5/2022/11/FC-GH-EN-C.pdf" TargetMode="External"/><Relationship Id="rId62" Type="http://schemas.openxmlformats.org/officeDocument/2006/relationships/hyperlink" Target="https://www.enag.fr/english/wp-content/uploads/sites/5/2022/11/FC-GH-EN-C.pdf" TargetMode="External"/><Relationship Id="rId63" Type="http://schemas.openxmlformats.org/officeDocument/2006/relationships/hyperlink" Target="https://www.esconet.fi/shop/uc16h-thermowell-uc16h-ilmastointilaite-chiller-230v-16000btu-27518" TargetMode="External"/><Relationship Id="rId64" Type="http://schemas.openxmlformats.org/officeDocument/2006/relationships/hyperlink" Target="https://www.thermowellmarine.com/wp-content/uploads/2023/04/THERMOWELL-2023_rev1_apr_web.pdf" TargetMode="External"/><Relationship Id="rId65" Type="http://schemas.openxmlformats.org/officeDocument/2006/relationships/hyperlink" Target="https://mdislandsupply.com/en/climma/879-cws-aquacontrol-161-rc-230150-climma.html" TargetMode="External"/><Relationship Id="rId66" Type="http://schemas.openxmlformats.org/officeDocument/2006/relationships/hyperlink" Target="https://www.veco.net/en/prodotti/climma-cws-aquacontrol-chillers/" TargetMode="External"/><Relationship Id="rId67" Type="http://schemas.openxmlformats.org/officeDocument/2006/relationships/hyperlink" Target="https://www.nauticsale.com/en/airconditioning/bluecool-chiller-systems/bluecool-c-series-chillers/" TargetMode="External"/><Relationship Id="rId68" Type="http://schemas.openxmlformats.org/officeDocument/2006/relationships/hyperlink" Target="https://www.webasto.com/en-us/cooling/marine-chiller-air-conditioning-units/bluecool-c-series.html" TargetMode="External"/><Relationship Id="rId69" Type="http://schemas.openxmlformats.org/officeDocument/2006/relationships/hyperlink" Target="https://www.tyboat.com/achat/P-8889-quick-chauffe-eau-cylindrique-b3-40-litres-220-volts-1200-watts.html" TargetMode="External"/><Relationship Id="rId70" Type="http://schemas.openxmlformats.org/officeDocument/2006/relationships/hyperlink" Target="https://www.quickitaly.com/it/prodotti/scalda-acqua/scalda-acqua/nautic-boiler-b3/" TargetMode="External"/><Relationship Id="rId71" Type="http://schemas.openxmlformats.org/officeDocument/2006/relationships/hyperlink" Target="https://www.tyboat.com/achat/P-8880-quick-chauffe-eau-cylindrique-bx-40-litres-220-volts-1200-watts.html" TargetMode="External"/><Relationship Id="rId72" Type="http://schemas.openxmlformats.org/officeDocument/2006/relationships/hyperlink" Target="https://www.quickitaly.com/it/prodotti/scalda-acqua/scalda-acqua/nautic-boiler-bx/" TargetMode="External"/><Relationship Id="rId73" Type="http://schemas.openxmlformats.org/officeDocument/2006/relationships/hyperlink" Target="https://www.tyboat.com/achat/P-18237-quick-chauffe-eau-cube-inox-bxs-40-litres-220-volts-1200-watts.html" TargetMode="External"/><Relationship Id="rId74" Type="http://schemas.openxmlformats.org/officeDocument/2006/relationships/hyperlink" Target="https://www.quickitaly.com/it/prodotti/scalda-acqua/scalda-acqua/nautic-boiler-bxs/" TargetMode="External"/><Relationship Id="rId75" Type="http://schemas.openxmlformats.org/officeDocument/2006/relationships/hyperlink" Target="https://www.comptoirnautique.com/climatisation-bateau/91819-frigomar-pompes-a-entrainement-magnetique.html" TargetMode="External"/><Relationship Id="rId76" Type="http://schemas.openxmlformats.org/officeDocument/2006/relationships/hyperlink" Target="https://www.frigomar.com/en/product-line/" TargetMode="External"/><Relationship Id="rId77" Type="http://schemas.openxmlformats.org/officeDocument/2006/relationships/hyperlink" Target="https://www.kent-marine.com/fr/produit/35262/chauffe-eau-cylindrique-40l-220v-1200w.html" TargetMode="External"/><Relationship Id="rId78" Type="http://schemas.openxmlformats.org/officeDocument/2006/relationships/hyperlink" Target="https://www.quickitaly.com/it/prodotti/scalda-acqua/" TargetMode="External"/><Relationship Id="rId79" Type="http://schemas.openxmlformats.org/officeDocument/2006/relationships/hyperlink" Target="https://www.marine-impact.com/groupe-d-eau/313-filtre-en-ligne-pumpgard-o13-mm-jabsco.html" TargetMode="External"/><Relationship Id="rId80" Type="http://schemas.openxmlformats.org/officeDocument/2006/relationships/hyperlink" Target="https://www.xylem.com/siteassets/brand/jabsco/resources/manual/36800-technical-data-sheet.pdf" TargetMode="External"/><Relationship Id="rId81" Type="http://schemas.openxmlformats.org/officeDocument/2006/relationships/hyperlink" Target="https://www.vetus-shop.com/aluminium-hydraulic-tank-70-incl-ht1013-p-2024.html" TargetMode="External"/><Relationship Id="rId82" Type="http://schemas.openxmlformats.org/officeDocument/2006/relationships/hyperlink" Target="https://webshop.vetus.com/nl/products/power-hydraulics/hydraulische-tanks" TargetMode="External"/><Relationship Id="rId83" Type="http://schemas.openxmlformats.org/officeDocument/2006/relationships/hyperlink" Target="https://www.vetus-shop.com/vetus-power-hydraulics-c-21_210.html" TargetMode="External"/><Relationship Id="rId84" Type="http://schemas.openxmlformats.org/officeDocument/2006/relationships/hyperlink" Target="https://www.vetus-shop.com/aluminium-hydraulic-tank-70-incl-ht1013-p-2024.html" TargetMode="External"/><Relationship Id="rId85" Type="http://schemas.openxmlformats.org/officeDocument/2006/relationships/hyperlink" Target="https://www.vetus-shop.com/aluminium-hydraulic-tank-70-incl-ht1013-p-2024.html" TargetMode="External"/><Relationship Id="rId86" Type="http://schemas.openxmlformats.org/officeDocument/2006/relationships/hyperlink" Target="https://www.vetus-shop.com/vetus-power-hydraulics-c-21_210.html" TargetMode="External"/><Relationship Id="rId87" Type="http://schemas.openxmlformats.org/officeDocument/2006/relationships/hyperlink" Target="https://www.vetus-shop.com/aluminium-hydraulic-tank-70-incl-ht1013-p-2024.html" TargetMode="External"/><Relationship Id="rId88" Type="http://schemas.openxmlformats.org/officeDocument/2006/relationships/hyperlink" Target="https://info.sleipnergroup.com/hubfs/Side-Power_Hydraulic_AC_Thrusters_2020.pdf" TargetMode="External"/><Relationship Id="rId89" Type="http://schemas.openxmlformats.org/officeDocument/2006/relationships/hyperlink" Target="https://gallery.harken.com/gallery/3d369089-1f35-489d-8b71-ab3020e962a1.pdf" TargetMode="External"/><Relationship Id="rId90" Type="http://schemas.openxmlformats.org/officeDocument/2006/relationships/hyperlink" Target="https://racorshop.de/product/racor-75500maxm30-turbine-filter-marine/" TargetMode="External"/><Relationship Id="rId91" Type="http://schemas.openxmlformats.org/officeDocument/2006/relationships/hyperlink" Target="https://www.parker.com/content/dam/Parker-com/Literature/Racor-Europe/FDRB544UK_BRO_Distribution_Solution_Brochure-_Racor_Europe.pdf" TargetMode="External"/><Relationship Id="rId92" Type="http://schemas.openxmlformats.org/officeDocument/2006/relationships/hyperlink" Target="https://www.vetus-shop.com/vetus-raw-water-strainer-type-330-and21632mm-p-1026.html" TargetMode="External"/><Relationship Id="rId93" Type="http://schemas.openxmlformats.org/officeDocument/2006/relationships/hyperlink" Target="https://www.mediawinkel.eu/nl/heavy-duty-waterfilter-32-mm.html" TargetMode="External"/><Relationship Id="rId94" Type="http://schemas.openxmlformats.org/officeDocument/2006/relationships/hyperlink" Target="https://www.mackengineering.co.uk/rule-2000-gph-bilge-pump-24v.html" TargetMode="External"/><Relationship Id="rId95" Type="http://schemas.openxmlformats.org/officeDocument/2006/relationships/hyperlink" Target="https://www.xylem.com/siteassets/brand/rule/resources/technical-brochure/standard-bilge-pumps-model-number-table.pdf" TargetMode="External"/><Relationship Id="rId96" Type="http://schemas.openxmlformats.org/officeDocument/2006/relationships/hyperlink" Target="https://www.mackengineering.co.uk/bp9005-whale-gusher-urchin-hand-pump.html" TargetMode="External"/><Relationship Id="rId97" Type="http://schemas.openxmlformats.org/officeDocument/2006/relationships/hyperlink" Target="https://www.mackengineering.co.uk/rule-2000-gph-bilge-pump-24v.html" TargetMode="External"/><Relationship Id="rId98" Type="http://schemas.openxmlformats.org/officeDocument/2006/relationships/hyperlink" Target="https://www.mackengineering.co.uk/35770-0094-24v-flexmount-blower.html" TargetMode="External"/><Relationship Id="rId99" Type="http://schemas.openxmlformats.org/officeDocument/2006/relationships/hyperlink" Target="https://www.xylem.com/siteassets/brand/jabsco/resources/manual/357x0-technical-data-sheet.pdf" TargetMode="External"/><Relationship Id="rId100" Type="http://schemas.openxmlformats.org/officeDocument/2006/relationships/hyperlink" Target="https://www.mackengineering.co.uk/marco-up3-oil-pump-24v.html" TargetMode="External"/><Relationship Id="rId101" Type="http://schemas.openxmlformats.org/officeDocument/2006/relationships/hyperlink" Target="https://items.marco.it/en/md_productpdf/index/generate/product/253/store/2/" TargetMode="External"/><Relationship Id="rId102" Type="http://schemas.openxmlformats.org/officeDocument/2006/relationships/hyperlink" Target="https://www.vetus-shop.com/vetus-fuel-tank-quickfit-diesel-40-litre-8mm-p-1786.html" TargetMode="External"/><Relationship Id="rId103" Type="http://schemas.openxmlformats.org/officeDocument/2006/relationships/hyperlink" Target="https://www.vetus-shop.com/vetus-fuel-tank-quickfit-diesel-40-litre-8mm-p-1786.html" TargetMode="External"/><Relationship Id="rId104" Type="http://schemas.openxmlformats.org/officeDocument/2006/relationships/hyperlink" Target="https://www.cactusnav.com/jabsco-macerator-pump-p-37922.html" TargetMode="External"/><Relationship Id="rId105" Type="http://schemas.openxmlformats.org/officeDocument/2006/relationships/hyperlink" Target="https://www.oltrevela.com/en/31-620-55-fireboy-ma-series-automatic-manual-fire-extinguisher-13-4-kg-for-engine-rooms-and-motor-compartments-up-to-51m-uscg-and-iso-rina-approved-fireboy-4" TargetMode="External"/><Relationship Id="rId106" Type="http://schemas.openxmlformats.org/officeDocument/2006/relationships/hyperlink" Target="https://fireboy.com/ma2-fire-extinguisher/" TargetMode="External"/><Relationship Id="rId107" Type="http://schemas.openxmlformats.org/officeDocument/2006/relationships/hyperlink" Target="https://www.standkachel.nu/webasto-air-and-water-heaters-and/webasto-waterkachels-thermotop-spheros-dbw-valeo/webasto-marine-waterheaters-for-thermo-pro-90-24-volt/webasto-thermo-chiller--pro-90-marine-24-volt-" TargetMode="External"/><Relationship Id="rId108" Type="http://schemas.openxmlformats.org/officeDocument/2006/relationships/hyperlink" Target="https://www.butlertechnik.com/item/Webasto/Thermo-Pro-90-24v-Marine-Kit-With-Switch-91kW-4111185A/5G7" TargetMode="External"/><Relationship Id="rId109" Type="http://schemas.openxmlformats.org/officeDocument/2006/relationships/hyperlink" Target="https://www.butlertechnik.com/downloads/cms/7432/webasto-thermo-pro-90-marine-installation-manual.pdf" TargetMode="External"/><Relationship Id="rId110" Type="http://schemas.openxmlformats.org/officeDocument/2006/relationships/hyperlink" Target="https://www.abma-sneek.nl/yanmar/engines-gears-drives/powerboat-engines?prod_id=650436" TargetMode="External"/><Relationship Id="rId111" Type="http://schemas.openxmlformats.org/officeDocument/2006/relationships/hyperlink" Target="https://www.yanmar.com/marine/product/engines/8lv320/" TargetMode="External"/><Relationship Id="rId112" Type="http://schemas.openxmlformats.org/officeDocument/2006/relationships/hyperlink" Target="https://useddieselenginecenter.nl/yanmar-6lpam-stp2-6-lpam-stp-2-bobtail" TargetMode="External"/><Relationship Id="rId113" Type="http://schemas.openxmlformats.org/officeDocument/2006/relationships/hyperlink" Target="https://www.yanmar.com/marine/product/engines/6lpa-stp2-6lpa-stc/" TargetMode="External"/><Relationship Id="rId114" Type="http://schemas.openxmlformats.org/officeDocument/2006/relationships/hyperlink" Target="https://www.yanmar.com/marine/product/engines/6ly2m-wdt/" TargetMode="External"/><Relationship Id="rId115" Type="http://schemas.openxmlformats.org/officeDocument/2006/relationships/hyperlink" Target="https://www.jpcdirect.com/product/fischer-panda-12000x-generator/" TargetMode="External"/><Relationship Id="rId116" Type="http://schemas.openxmlformats.org/officeDocument/2006/relationships/hyperlink" Target="https://www.onefischerpanda.com/fileadmin/content/product-information/marine-generators-compact-power/12000x/Panda_12000x_PMS_-_EN.pdf" TargetMode="External"/><Relationship Id="rId117" Type="http://schemas.openxmlformats.org/officeDocument/2006/relationships/hyperlink" Target="https://www.nautiradar.pt/en/products/fischer-panda/panda-12000x-230v-pms-12kva-fixed-engine-speed-marine-generator" TargetMode="External"/><Relationship Id="rId118" Type="http://schemas.openxmlformats.org/officeDocument/2006/relationships/hyperlink" Target="https://www.onefischerpanda.com/fileadmin/content/product-information/marine-generators-compact-power/12000x/Panda_12000x_PMS_-_EN.pdf" TargetMode="External"/><Relationship Id="rId119" Type="http://schemas.openxmlformats.org/officeDocument/2006/relationships/hyperlink" Target="https://www.nautiradar.pt/en/products/fischer-panda/panda-15000i-230v-pms-12kw-230v-variable-speed-marine-generator" TargetMode="External"/><Relationship Id="rId120" Type="http://schemas.openxmlformats.org/officeDocument/2006/relationships/hyperlink" Target="https://www.fischerpanda.co.uk/res/Fischer%20Panda%20Marine%20Generators%202026%20-%20FPUK" TargetMode="External"/><Relationship Id="rId12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5"/>
  </cols>
  <sheetData>
    <row r="1" customFormat="false" ht="45" hidden="false" customHeight="true" outlineLevel="0" collapsed="false">
      <c r="A1" s="1" t="s">
        <v>0</v>
      </c>
      <c r="B1" s="1" t="s">
        <v>1</v>
      </c>
    </row>
    <row r="2" customFormat="false" ht="66" hidden="false" customHeight="true" outlineLevel="0" collapsed="false">
      <c r="A2" s="2" t="s">
        <v>2</v>
      </c>
      <c r="B2" s="2" t="s">
        <v>3</v>
      </c>
    </row>
    <row r="3" customFormat="false" ht="66" hidden="false" customHeight="true" outlineLevel="0" collapsed="false">
      <c r="A3" s="3" t="s">
        <v>4</v>
      </c>
      <c r="B3" s="3" t="s">
        <v>5</v>
      </c>
    </row>
    <row r="4" customFormat="false" ht="66" hidden="false" customHeight="true" outlineLevel="0" collapsed="false">
      <c r="A4" s="2" t="s">
        <v>6</v>
      </c>
      <c r="B4" s="2" t="s">
        <v>7</v>
      </c>
    </row>
    <row r="5" customFormat="false" ht="66" hidden="false" customHeight="true" outlineLevel="0" collapsed="false">
      <c r="A5" s="3" t="s">
        <v>8</v>
      </c>
      <c r="B5" s="3" t="s">
        <v>9</v>
      </c>
    </row>
    <row r="6" customFormat="false" ht="66" hidden="false" customHeight="true" outlineLevel="0" collapsed="false">
      <c r="A6" s="2" t="s">
        <v>10</v>
      </c>
      <c r="B6" s="2" t="s">
        <v>11</v>
      </c>
    </row>
    <row r="7" customFormat="false" ht="66" hidden="false" customHeight="true" outlineLevel="0" collapsed="false">
      <c r="A7" s="3" t="s">
        <v>12</v>
      </c>
      <c r="B7" s="3" t="s">
        <v>13</v>
      </c>
    </row>
    <row r="8" customFormat="false" ht="66" hidden="false" customHeight="true" outlineLevel="0" collapsed="false">
      <c r="A8" s="2" t="s">
        <v>14</v>
      </c>
      <c r="B8" s="2" t="s">
        <v>15</v>
      </c>
    </row>
    <row r="9" customFormat="false" ht="66" hidden="false" customHeight="true" outlineLevel="0" collapsed="false">
      <c r="A9" s="3" t="s">
        <v>16</v>
      </c>
      <c r="B9" s="3" t="s">
        <v>17</v>
      </c>
    </row>
    <row r="10" customFormat="false" ht="66" hidden="false" customHeight="true" outlineLevel="0" collapsed="false">
      <c r="A10" s="2" t="s">
        <v>18</v>
      </c>
      <c r="B10" s="2" t="s">
        <v>19</v>
      </c>
    </row>
    <row r="11" customFormat="false" ht="66" hidden="false" customHeight="true" outlineLevel="0" collapsed="false">
      <c r="A11" s="3" t="s">
        <v>20</v>
      </c>
      <c r="B11" s="3" t="s">
        <v>21</v>
      </c>
    </row>
    <row r="12" customFormat="false" ht="66" hidden="false" customHeight="true" outlineLevel="0" collapsed="false">
      <c r="A12" s="2" t="s">
        <v>22</v>
      </c>
      <c r="B12" s="2" t="s">
        <v>23</v>
      </c>
    </row>
    <row r="13" customFormat="false" ht="66" hidden="false" customHeight="true" outlineLevel="0" collapsed="false">
      <c r="A13" s="3" t="s">
        <v>24</v>
      </c>
      <c r="B13" s="3" t="s">
        <v>25</v>
      </c>
    </row>
    <row r="14" customFormat="false" ht="66" hidden="false" customHeight="true" outlineLevel="0" collapsed="false">
      <c r="A14" s="2" t="s">
        <v>26</v>
      </c>
      <c r="B14" s="2" t="s">
        <v>27</v>
      </c>
    </row>
    <row r="15" customFormat="false" ht="66" hidden="false" customHeight="true" outlineLevel="0" collapsed="false">
      <c r="A15" s="3" t="s">
        <v>28</v>
      </c>
      <c r="B15" s="3" t="s">
        <v>29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3" min="2" style="0" width="30"/>
    <col collapsed="false" customWidth="true" hidden="false" outlineLevel="0" max="4" min="4" style="0" width="70"/>
    <col collapsed="false" customWidth="true" hidden="false" outlineLevel="0" max="5" min="5" style="0" width="45"/>
    <col collapsed="false" customWidth="true" hidden="false" outlineLevel="0" max="6" min="6" style="0" width="120"/>
    <col collapsed="false" customWidth="true" hidden="false" outlineLevel="0" max="7" min="7" style="0" width="95"/>
    <col collapsed="false" customWidth="true" hidden="false" outlineLevel="0" max="8" min="8" style="0" width="100"/>
  </cols>
  <sheetData>
    <row r="1" customFormat="false" ht="45" hidden="false" customHeight="tru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customFormat="false" ht="66" hidden="false" customHeight="true" outlineLevel="0" collapsed="false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</row>
    <row r="3" customFormat="false" ht="66" hidden="false" customHeight="tru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</row>
    <row r="4" customFormat="false" ht="66" hidden="false" customHeight="true" outlineLevel="0" collapsed="false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</row>
    <row r="5" customFormat="false" ht="66" hidden="false" customHeight="true" outlineLevel="0" collapsed="false">
      <c r="A5" s="3" t="s">
        <v>62</v>
      </c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69</v>
      </c>
    </row>
    <row r="6" customFormat="false" ht="66" hidden="false" customHeight="true" outlineLevel="0" collapsed="false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</row>
    <row r="7" customFormat="false" ht="66" hidden="false" customHeight="true" outlineLevel="0" collapsed="false">
      <c r="A7" s="3" t="s">
        <v>78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  <c r="G7" s="3" t="s">
        <v>84</v>
      </c>
      <c r="H7" s="3" t="s">
        <v>85</v>
      </c>
    </row>
    <row r="8" customFormat="false" ht="66" hidden="false" customHeight="true" outlineLevel="0" collapsed="false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</row>
    <row r="9" customFormat="false" ht="66" hidden="false" customHeight="true" outlineLevel="0" collapsed="false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99</v>
      </c>
      <c r="G9" s="3" t="s">
        <v>100</v>
      </c>
      <c r="H9" s="3" t="s">
        <v>101</v>
      </c>
    </row>
    <row r="10" customFormat="false" ht="66" hidden="false" customHeight="true" outlineLevel="0" collapsed="false">
      <c r="A10" s="2" t="s">
        <v>102</v>
      </c>
      <c r="B10" s="2" t="s">
        <v>103</v>
      </c>
      <c r="C10" s="2" t="s">
        <v>104</v>
      </c>
      <c r="D10" s="2" t="s">
        <v>105</v>
      </c>
      <c r="E10" s="2" t="s">
        <v>106</v>
      </c>
      <c r="F10" s="2" t="s">
        <v>107</v>
      </c>
      <c r="G10" s="2" t="s">
        <v>108</v>
      </c>
      <c r="H10" s="2" t="s">
        <v>109</v>
      </c>
    </row>
    <row r="11" customFormat="false" ht="66" hidden="false" customHeight="true" outlineLevel="0" collapsed="false">
      <c r="A11" s="3" t="s">
        <v>110</v>
      </c>
      <c r="B11" s="3" t="s">
        <v>111</v>
      </c>
      <c r="C11" s="3" t="s">
        <v>112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</row>
    <row r="12" customFormat="false" ht="66" hidden="false" customHeight="true" outlineLevel="0" collapsed="false">
      <c r="A12" s="2" t="s">
        <v>118</v>
      </c>
      <c r="B12" s="2" t="s">
        <v>119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124</v>
      </c>
      <c r="H12" s="2" t="s">
        <v>125</v>
      </c>
    </row>
    <row r="13" customFormat="false" ht="66" hidden="false" customHeight="true" outlineLevel="0" collapsed="false">
      <c r="A13" s="3" t="s">
        <v>126</v>
      </c>
      <c r="B13" s="3" t="s">
        <v>127</v>
      </c>
      <c r="C13" s="3" t="s">
        <v>128</v>
      </c>
      <c r="D13" s="3" t="s">
        <v>129</v>
      </c>
      <c r="E13" s="3" t="s">
        <v>130</v>
      </c>
      <c r="F13" s="3" t="s">
        <v>131</v>
      </c>
      <c r="G13" s="3" t="s">
        <v>132</v>
      </c>
      <c r="H13" s="3" t="s">
        <v>133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7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3"/>
    <col collapsed="false" customWidth="true" hidden="false" outlineLevel="0" max="4" min="4" style="0" width="48"/>
    <col collapsed="false" customWidth="true" hidden="false" outlineLevel="0" max="8" min="5" style="0" width="23"/>
    <col collapsed="false" customWidth="true" hidden="false" outlineLevel="0" max="9" min="9" style="0" width="38"/>
    <col collapsed="false" customWidth="true" hidden="false" outlineLevel="0" max="12" min="10" style="0" width="23"/>
    <col collapsed="false" customWidth="true" hidden="false" outlineLevel="0" max="13" min="13" style="0" width="40"/>
    <col collapsed="false" customWidth="true" hidden="false" outlineLevel="0" max="14" min="14" style="0" width="33"/>
    <col collapsed="false" customWidth="true" hidden="false" outlineLevel="0" max="16" min="15" style="0" width="23"/>
    <col collapsed="false" customWidth="true" hidden="false" outlineLevel="0" max="18" min="17" style="0" width="40"/>
    <col collapsed="false" customWidth="true" hidden="false" outlineLevel="0" max="20" min="19" style="0" width="23"/>
    <col collapsed="false" customWidth="true" hidden="false" outlineLevel="0" max="21" min="21" style="0" width="48"/>
    <col collapsed="false" customWidth="true" hidden="false" outlineLevel="0" max="22" min="22" style="0" width="110"/>
    <col collapsed="false" customWidth="true" hidden="false" outlineLevel="0" max="23" min="23" style="0" width="42"/>
    <col collapsed="false" customWidth="true" hidden="false" outlineLevel="0" max="24" min="24" style="0" width="55"/>
  </cols>
  <sheetData>
    <row r="1" customFormat="false" ht="45" hidden="false" customHeight="true" outlineLevel="0" collapsed="false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</row>
    <row r="2" customFormat="false" ht="66" hidden="false" customHeight="true" outlineLevel="0" collapsed="false">
      <c r="A2" s="2" t="s">
        <v>158</v>
      </c>
      <c r="B2" s="2" t="s">
        <v>40</v>
      </c>
      <c r="C2" s="2" t="s">
        <v>159</v>
      </c>
      <c r="D2" s="2" t="s">
        <v>160</v>
      </c>
      <c r="E2" s="4" t="n">
        <v>1</v>
      </c>
      <c r="F2" s="2" t="s">
        <v>161</v>
      </c>
      <c r="G2" s="2" t="s">
        <v>162</v>
      </c>
      <c r="H2" s="4" t="n">
        <v>44716</v>
      </c>
      <c r="I2" s="2" t="s">
        <v>163</v>
      </c>
      <c r="J2" s="2"/>
      <c r="K2" s="4" t="n">
        <v>44716</v>
      </c>
      <c r="L2" s="5" t="n">
        <f aca="false">IF(AND(ISNUMBER(K2),K2&gt;=0,G2="EUR"),ROUND(K2,2),IF(AND(ISNUMBER(K2),K2&gt;=0,G2="GBP"),ROUND(ROUND(K2,2)/0.85915,2),""))</f>
        <v>44716</v>
      </c>
      <c r="M2" s="2" t="s">
        <v>164</v>
      </c>
      <c r="N2" s="2" t="s">
        <v>165</v>
      </c>
      <c r="O2" s="2" t="s">
        <v>166</v>
      </c>
      <c r="P2" s="2" t="s">
        <v>167</v>
      </c>
      <c r="Q2" s="6" t="s">
        <v>168</v>
      </c>
      <c r="R2" s="6" t="s">
        <v>169</v>
      </c>
      <c r="S2" s="2"/>
      <c r="T2" s="4" t="n">
        <v>580</v>
      </c>
      <c r="U2" s="2" t="s">
        <v>170</v>
      </c>
      <c r="V2" s="2" t="s">
        <v>171</v>
      </c>
      <c r="W2" s="2" t="s">
        <v>172</v>
      </c>
      <c r="X2" s="2" t="s">
        <v>173</v>
      </c>
    </row>
    <row r="3" customFormat="false" ht="66" hidden="false" customHeight="true" outlineLevel="0" collapsed="false">
      <c r="A3" s="3" t="s">
        <v>174</v>
      </c>
      <c r="B3" s="3" t="s">
        <v>40</v>
      </c>
      <c r="C3" s="3" t="s">
        <v>159</v>
      </c>
      <c r="D3" s="3" t="s">
        <v>175</v>
      </c>
      <c r="E3" s="7" t="n">
        <v>1</v>
      </c>
      <c r="F3" s="3" t="s">
        <v>161</v>
      </c>
      <c r="G3" s="3" t="s">
        <v>162</v>
      </c>
      <c r="H3" s="7" t="n">
        <v>45977</v>
      </c>
      <c r="I3" s="3" t="s">
        <v>163</v>
      </c>
      <c r="J3" s="3"/>
      <c r="K3" s="7" t="n">
        <v>45977</v>
      </c>
      <c r="L3" s="5" t="n">
        <f aca="false">IF(AND(ISNUMBER(K3),K3&gt;=0,G3="EUR"),ROUND(K3,2),IF(AND(ISNUMBER(K3),K3&gt;=0,G3="GBP"),ROUND(ROUND(K3,2)/0.85915,2),""))</f>
        <v>45977</v>
      </c>
      <c r="M3" s="3" t="s">
        <v>164</v>
      </c>
      <c r="N3" s="3" t="s">
        <v>165</v>
      </c>
      <c r="O3" s="3" t="s">
        <v>166</v>
      </c>
      <c r="P3" s="3" t="s">
        <v>167</v>
      </c>
      <c r="Q3" s="8" t="s">
        <v>168</v>
      </c>
      <c r="R3" s="8" t="s">
        <v>169</v>
      </c>
      <c r="S3" s="3" t="s">
        <v>176</v>
      </c>
      <c r="T3" s="7" t="n">
        <v>605</v>
      </c>
      <c r="U3" s="3" t="s">
        <v>170</v>
      </c>
      <c r="V3" s="3" t="s">
        <v>177</v>
      </c>
      <c r="W3" s="3" t="s">
        <v>172</v>
      </c>
      <c r="X3" s="3" t="s">
        <v>173</v>
      </c>
    </row>
    <row r="4" customFormat="false" ht="66" hidden="false" customHeight="true" outlineLevel="0" collapsed="false">
      <c r="A4" s="2" t="s">
        <v>178</v>
      </c>
      <c r="B4" s="2" t="s">
        <v>40</v>
      </c>
      <c r="C4" s="2" t="s">
        <v>159</v>
      </c>
      <c r="D4" s="2" t="s">
        <v>179</v>
      </c>
      <c r="E4" s="4" t="n">
        <v>1</v>
      </c>
      <c r="F4" s="2" t="s">
        <v>161</v>
      </c>
      <c r="G4" s="2" t="s">
        <v>162</v>
      </c>
      <c r="H4" s="4" t="n">
        <v>50146</v>
      </c>
      <c r="I4" s="2" t="s">
        <v>163</v>
      </c>
      <c r="J4" s="2"/>
      <c r="K4" s="4" t="n">
        <v>50146</v>
      </c>
      <c r="L4" s="5" t="n">
        <f aca="false">IF(AND(ISNUMBER(K4),K4&gt;=0,G4="EUR"),ROUND(K4,2),IF(AND(ISNUMBER(K4),K4&gt;=0,G4="GBP"),ROUND(ROUND(K4,2)/0.85915,2),""))</f>
        <v>50146</v>
      </c>
      <c r="M4" s="2" t="s">
        <v>164</v>
      </c>
      <c r="N4" s="2" t="s">
        <v>165</v>
      </c>
      <c r="O4" s="2" t="s">
        <v>166</v>
      </c>
      <c r="P4" s="2" t="s">
        <v>167</v>
      </c>
      <c r="Q4" s="6" t="s">
        <v>168</v>
      </c>
      <c r="R4" s="6" t="s">
        <v>180</v>
      </c>
      <c r="S4" s="2" t="s">
        <v>181</v>
      </c>
      <c r="T4" s="4" t="n">
        <v>690</v>
      </c>
      <c r="U4" s="2" t="s">
        <v>170</v>
      </c>
      <c r="V4" s="2" t="s">
        <v>182</v>
      </c>
      <c r="W4" s="2" t="s">
        <v>172</v>
      </c>
      <c r="X4" s="2" t="s">
        <v>173</v>
      </c>
    </row>
    <row r="5" customFormat="false" ht="66" hidden="false" customHeight="true" outlineLevel="0" collapsed="false">
      <c r="A5" s="3" t="s">
        <v>183</v>
      </c>
      <c r="B5" s="3" t="s">
        <v>40</v>
      </c>
      <c r="C5" s="3" t="s">
        <v>184</v>
      </c>
      <c r="D5" s="3" t="s">
        <v>185</v>
      </c>
      <c r="E5" s="7" t="n">
        <v>1</v>
      </c>
      <c r="F5" s="3" t="s">
        <v>161</v>
      </c>
      <c r="G5" s="3" t="s">
        <v>162</v>
      </c>
      <c r="H5" s="3"/>
      <c r="I5" s="3" t="s">
        <v>186</v>
      </c>
      <c r="J5" s="3"/>
      <c r="K5" s="3"/>
      <c r="L5" s="5" t="str">
        <f aca="false">IF(AND(ISNUMBER(K5),K5&gt;=0,G5="EUR"),ROUND(K5,2),IF(AND(ISNUMBER(K5),K5&gt;=0,G5="GBP"),ROUND(ROUND(K5,2)/0.85915,2),""))</f>
        <v/>
      </c>
      <c r="M5" s="3" t="s">
        <v>187</v>
      </c>
      <c r="N5" s="3" t="s">
        <v>165</v>
      </c>
      <c r="O5" s="3" t="s">
        <v>188</v>
      </c>
      <c r="P5" s="3" t="s">
        <v>167</v>
      </c>
      <c r="Q5" s="8" t="s">
        <v>189</v>
      </c>
      <c r="R5" s="8" t="s">
        <v>190</v>
      </c>
      <c r="S5" s="3" t="s">
        <v>191</v>
      </c>
      <c r="T5" s="7" t="n">
        <v>950</v>
      </c>
      <c r="U5" s="3" t="s">
        <v>192</v>
      </c>
      <c r="V5" s="3" t="s">
        <v>193</v>
      </c>
      <c r="W5" s="3" t="s">
        <v>194</v>
      </c>
      <c r="X5" s="3" t="s">
        <v>173</v>
      </c>
    </row>
    <row r="6" customFormat="false" ht="66" hidden="false" customHeight="true" outlineLevel="0" collapsed="false">
      <c r="A6" s="2" t="s">
        <v>195</v>
      </c>
      <c r="B6" s="2" t="s">
        <v>196</v>
      </c>
      <c r="C6" s="2" t="s">
        <v>197</v>
      </c>
      <c r="D6" s="2" t="s">
        <v>198</v>
      </c>
      <c r="E6" s="4" t="n">
        <v>2</v>
      </c>
      <c r="F6" s="2" t="s">
        <v>161</v>
      </c>
      <c r="G6" s="2" t="s">
        <v>199</v>
      </c>
      <c r="H6" s="4" t="n">
        <v>16830</v>
      </c>
      <c r="I6" s="2" t="s">
        <v>200</v>
      </c>
      <c r="J6" s="4" t="n">
        <v>20</v>
      </c>
      <c r="K6" s="4" t="n">
        <v>14025</v>
      </c>
      <c r="L6" s="5" t="n">
        <f aca="false">IF(AND(ISNUMBER(K6),K6&gt;=0,G6="EUR"),ROUND(K6,2),IF(AND(ISNUMBER(K6),K6&gt;=0,G6="GBP"),ROUND(ROUND(K6,2)/0.85915,2),""))</f>
        <v>16324.27</v>
      </c>
      <c r="M6" s="2" t="s">
        <v>201</v>
      </c>
      <c r="N6" s="2" t="s">
        <v>165</v>
      </c>
      <c r="O6" s="2" t="s">
        <v>188</v>
      </c>
      <c r="P6" s="2" t="s">
        <v>167</v>
      </c>
      <c r="Q6" s="6" t="s">
        <v>202</v>
      </c>
      <c r="R6" s="6" t="s">
        <v>203</v>
      </c>
      <c r="S6" s="2" t="s">
        <v>204</v>
      </c>
      <c r="T6" s="4" t="n">
        <v>195</v>
      </c>
      <c r="U6" s="2" t="s">
        <v>205</v>
      </c>
      <c r="V6" s="2" t="s">
        <v>206</v>
      </c>
      <c r="W6" s="2" t="s">
        <v>207</v>
      </c>
      <c r="X6" s="2" t="s">
        <v>173</v>
      </c>
    </row>
    <row r="7" customFormat="false" ht="66" hidden="false" customHeight="true" outlineLevel="0" collapsed="false">
      <c r="A7" s="3" t="s">
        <v>208</v>
      </c>
      <c r="B7" s="3" t="s">
        <v>196</v>
      </c>
      <c r="C7" s="3" t="s">
        <v>209</v>
      </c>
      <c r="D7" s="3" t="s">
        <v>210</v>
      </c>
      <c r="E7" s="7" t="n">
        <v>2</v>
      </c>
      <c r="F7" s="3" t="s">
        <v>161</v>
      </c>
      <c r="G7" s="3" t="s">
        <v>199</v>
      </c>
      <c r="H7" s="7" t="n">
        <v>18484.56</v>
      </c>
      <c r="I7" s="3" t="s">
        <v>200</v>
      </c>
      <c r="J7" s="7" t="n">
        <v>20</v>
      </c>
      <c r="K7" s="7" t="n">
        <v>15403.8</v>
      </c>
      <c r="L7" s="5" t="n">
        <f aca="false">IF(AND(ISNUMBER(K7),K7&gt;=0,G7="EUR"),ROUND(K7,2),IF(AND(ISNUMBER(K7),K7&gt;=0,G7="GBP"),ROUND(ROUND(K7,2)/0.85915,2),""))</f>
        <v>17929.12</v>
      </c>
      <c r="M7" s="3" t="s">
        <v>201</v>
      </c>
      <c r="N7" s="3" t="s">
        <v>165</v>
      </c>
      <c r="O7" s="3" t="s">
        <v>188</v>
      </c>
      <c r="P7" s="3" t="s">
        <v>167</v>
      </c>
      <c r="Q7" s="8" t="s">
        <v>211</v>
      </c>
      <c r="R7" s="8" t="s">
        <v>212</v>
      </c>
      <c r="S7" s="3" t="s">
        <v>213</v>
      </c>
      <c r="T7" s="7" t="n">
        <v>385</v>
      </c>
      <c r="U7" s="3" t="s">
        <v>214</v>
      </c>
      <c r="V7" s="3" t="s">
        <v>215</v>
      </c>
      <c r="W7" s="3" t="s">
        <v>216</v>
      </c>
      <c r="X7" s="3" t="s">
        <v>173</v>
      </c>
    </row>
    <row r="8" customFormat="false" ht="66" hidden="false" customHeight="true" outlineLevel="0" collapsed="false">
      <c r="A8" s="2" t="s">
        <v>217</v>
      </c>
      <c r="B8" s="2" t="s">
        <v>196</v>
      </c>
      <c r="C8" s="2" t="s">
        <v>218</v>
      </c>
      <c r="D8" s="2" t="s">
        <v>219</v>
      </c>
      <c r="E8" s="4" t="n">
        <v>2</v>
      </c>
      <c r="F8" s="2" t="s">
        <v>161</v>
      </c>
      <c r="G8" s="2" t="s">
        <v>162</v>
      </c>
      <c r="H8" s="4" t="n">
        <v>14935.8</v>
      </c>
      <c r="I8" s="2" t="s">
        <v>220</v>
      </c>
      <c r="J8" s="4" t="n">
        <v>20</v>
      </c>
      <c r="K8" s="4" t="n">
        <v>12446.5</v>
      </c>
      <c r="L8" s="5" t="n">
        <f aca="false">IF(AND(ISNUMBER(K8),K8&gt;=0,G8="EUR"),ROUND(K8,2),IF(AND(ISNUMBER(K8),K8&gt;=0,G8="GBP"),ROUND(ROUND(K8,2)/0.85915,2),""))</f>
        <v>12446.5</v>
      </c>
      <c r="M8" s="2" t="s">
        <v>201</v>
      </c>
      <c r="N8" s="2" t="s">
        <v>165</v>
      </c>
      <c r="O8" s="2" t="s">
        <v>188</v>
      </c>
      <c r="P8" s="2" t="s">
        <v>167</v>
      </c>
      <c r="Q8" s="6" t="s">
        <v>221</v>
      </c>
      <c r="R8" s="6" t="s">
        <v>222</v>
      </c>
      <c r="S8" s="2" t="s">
        <v>223</v>
      </c>
      <c r="T8" s="4" t="n">
        <v>180</v>
      </c>
      <c r="U8" s="2" t="s">
        <v>224</v>
      </c>
      <c r="V8" s="2" t="s">
        <v>225</v>
      </c>
      <c r="W8" s="2" t="s">
        <v>226</v>
      </c>
      <c r="X8" s="2" t="s">
        <v>173</v>
      </c>
    </row>
    <row r="9" customFormat="false" ht="66" hidden="false" customHeight="true" outlineLevel="0" collapsed="false">
      <c r="A9" s="3" t="s">
        <v>227</v>
      </c>
      <c r="B9" s="3" t="s">
        <v>196</v>
      </c>
      <c r="C9" s="3" t="s">
        <v>209</v>
      </c>
      <c r="D9" s="3" t="s">
        <v>228</v>
      </c>
      <c r="E9" s="7" t="n">
        <v>2</v>
      </c>
      <c r="F9" s="3" t="s">
        <v>161</v>
      </c>
      <c r="G9" s="3" t="s">
        <v>229</v>
      </c>
      <c r="H9" s="7" t="n">
        <v>20165.6</v>
      </c>
      <c r="I9" s="3" t="s">
        <v>230</v>
      </c>
      <c r="J9" s="3"/>
      <c r="K9" s="3"/>
      <c r="L9" s="5" t="str">
        <f aca="false">IF(AND(ISNUMBER(K9),K9&gt;=0,G9="EUR"),ROUND(K9,2),IF(AND(ISNUMBER(K9),K9&gt;=0,G9="GBP"),ROUND(ROUND(K9,2)/0.85915,2),""))</f>
        <v/>
      </c>
      <c r="M9" s="3" t="s">
        <v>187</v>
      </c>
      <c r="N9" s="3" t="s">
        <v>165</v>
      </c>
      <c r="O9" s="3" t="s">
        <v>188</v>
      </c>
      <c r="P9" s="3" t="s">
        <v>167</v>
      </c>
      <c r="Q9" s="8" t="s">
        <v>231</v>
      </c>
      <c r="R9" s="8" t="s">
        <v>212</v>
      </c>
      <c r="S9" s="3" t="s">
        <v>213</v>
      </c>
      <c r="T9" s="7" t="n">
        <v>385</v>
      </c>
      <c r="U9" s="3" t="s">
        <v>232</v>
      </c>
      <c r="V9" s="3" t="s">
        <v>233</v>
      </c>
      <c r="W9" s="3" t="s">
        <v>234</v>
      </c>
      <c r="X9" s="3" t="s">
        <v>173</v>
      </c>
    </row>
    <row r="10" customFormat="false" ht="66" hidden="false" customHeight="true" outlineLevel="0" collapsed="false">
      <c r="A10" s="2" t="s">
        <v>235</v>
      </c>
      <c r="B10" s="2" t="s">
        <v>236</v>
      </c>
      <c r="C10" s="2" t="s">
        <v>237</v>
      </c>
      <c r="D10" s="2" t="s">
        <v>238</v>
      </c>
      <c r="E10" s="4" t="n">
        <v>2</v>
      </c>
      <c r="F10" s="2" t="s">
        <v>239</v>
      </c>
      <c r="G10" s="2" t="s">
        <v>162</v>
      </c>
      <c r="H10" s="4" t="n">
        <v>879.95</v>
      </c>
      <c r="I10" s="2" t="s">
        <v>240</v>
      </c>
      <c r="J10" s="4" t="n">
        <v>19</v>
      </c>
      <c r="K10" s="4" t="n">
        <v>739.45</v>
      </c>
      <c r="L10" s="5" t="n">
        <f aca="false">IF(AND(ISNUMBER(K10),K10&gt;=0,G10="EUR"),ROUND(K10,2),IF(AND(ISNUMBER(K10),K10&gt;=0,G10="GBP"),ROUND(ROUND(K10,2)/0.85915,2),""))</f>
        <v>739.45</v>
      </c>
      <c r="M10" s="2" t="s">
        <v>201</v>
      </c>
      <c r="N10" s="2" t="s">
        <v>165</v>
      </c>
      <c r="O10" s="2" t="s">
        <v>188</v>
      </c>
      <c r="P10" s="2" t="s">
        <v>167</v>
      </c>
      <c r="Q10" s="6" t="s">
        <v>241</v>
      </c>
      <c r="R10" s="6" t="s">
        <v>242</v>
      </c>
      <c r="S10" s="2" t="s">
        <v>243</v>
      </c>
      <c r="T10" s="4" t="n">
        <v>19</v>
      </c>
      <c r="U10" s="2" t="s">
        <v>244</v>
      </c>
      <c r="V10" s="2" t="s">
        <v>245</v>
      </c>
      <c r="W10" s="2" t="s">
        <v>246</v>
      </c>
      <c r="X10" s="2" t="s">
        <v>173</v>
      </c>
    </row>
    <row r="11" customFormat="false" ht="66" hidden="false" customHeight="true" outlineLevel="0" collapsed="false">
      <c r="A11" s="3" t="s">
        <v>247</v>
      </c>
      <c r="B11" s="3" t="s">
        <v>236</v>
      </c>
      <c r="C11" s="3" t="s">
        <v>237</v>
      </c>
      <c r="D11" s="3" t="s">
        <v>248</v>
      </c>
      <c r="E11" s="7" t="n">
        <v>2</v>
      </c>
      <c r="F11" s="3" t="s">
        <v>239</v>
      </c>
      <c r="G11" s="3" t="s">
        <v>162</v>
      </c>
      <c r="H11" s="7" t="n">
        <v>999.95</v>
      </c>
      <c r="I11" s="3" t="s">
        <v>240</v>
      </c>
      <c r="J11" s="7" t="n">
        <v>19</v>
      </c>
      <c r="K11" s="7" t="n">
        <v>840.29</v>
      </c>
      <c r="L11" s="5" t="n">
        <f aca="false">IF(AND(ISNUMBER(K11),K11&gt;=0,G11="EUR"),ROUND(K11,2),IF(AND(ISNUMBER(K11),K11&gt;=0,G11="GBP"),ROUND(ROUND(K11,2)/0.85915,2),""))</f>
        <v>840.29</v>
      </c>
      <c r="M11" s="3" t="s">
        <v>201</v>
      </c>
      <c r="N11" s="3" t="s">
        <v>165</v>
      </c>
      <c r="O11" s="3" t="s">
        <v>188</v>
      </c>
      <c r="P11" s="3" t="s">
        <v>167</v>
      </c>
      <c r="Q11" s="8" t="s">
        <v>249</v>
      </c>
      <c r="R11" s="8" t="s">
        <v>250</v>
      </c>
      <c r="S11" s="3" t="s">
        <v>251</v>
      </c>
      <c r="T11" s="7" t="n">
        <v>20</v>
      </c>
      <c r="U11" s="3" t="s">
        <v>244</v>
      </c>
      <c r="V11" s="3" t="s">
        <v>252</v>
      </c>
      <c r="W11" s="3" t="s">
        <v>253</v>
      </c>
      <c r="X11" s="3" t="s">
        <v>173</v>
      </c>
    </row>
    <row r="12" customFormat="false" ht="66" hidden="false" customHeight="true" outlineLevel="0" collapsed="false">
      <c r="A12" s="2" t="s">
        <v>254</v>
      </c>
      <c r="B12" s="2" t="s">
        <v>236</v>
      </c>
      <c r="C12" s="2" t="s">
        <v>255</v>
      </c>
      <c r="D12" s="2" t="s">
        <v>256</v>
      </c>
      <c r="E12" s="4" t="n">
        <v>2</v>
      </c>
      <c r="F12" s="2" t="s">
        <v>239</v>
      </c>
      <c r="G12" s="2" t="s">
        <v>162</v>
      </c>
      <c r="H12" s="4" t="n">
        <v>1599.96</v>
      </c>
      <c r="I12" s="2" t="s">
        <v>240</v>
      </c>
      <c r="J12" s="4" t="n">
        <v>19</v>
      </c>
      <c r="K12" s="4" t="n">
        <v>1344.5</v>
      </c>
      <c r="L12" s="5" t="n">
        <f aca="false">IF(AND(ISNUMBER(K12),K12&gt;=0,G12="EUR"),ROUND(K12,2),IF(AND(ISNUMBER(K12),K12&gt;=0,G12="GBP"),ROUND(ROUND(K12,2)/0.85915,2),""))</f>
        <v>1344.5</v>
      </c>
      <c r="M12" s="2" t="s">
        <v>201</v>
      </c>
      <c r="N12" s="2" t="s">
        <v>165</v>
      </c>
      <c r="O12" s="2" t="s">
        <v>188</v>
      </c>
      <c r="P12" s="2" t="s">
        <v>167</v>
      </c>
      <c r="Q12" s="6" t="s">
        <v>257</v>
      </c>
      <c r="R12" s="6" t="s">
        <v>258</v>
      </c>
      <c r="S12" s="2" t="s">
        <v>259</v>
      </c>
      <c r="T12" s="4" t="n">
        <v>9.3</v>
      </c>
      <c r="U12" s="2" t="s">
        <v>260</v>
      </c>
      <c r="V12" s="2" t="s">
        <v>261</v>
      </c>
      <c r="W12" s="2" t="s">
        <v>246</v>
      </c>
      <c r="X12" s="2" t="s">
        <v>173</v>
      </c>
    </row>
    <row r="13" customFormat="false" ht="66" hidden="false" customHeight="true" outlineLevel="0" collapsed="false">
      <c r="A13" s="3" t="s">
        <v>262</v>
      </c>
      <c r="B13" s="3" t="s">
        <v>263</v>
      </c>
      <c r="C13" s="3" t="s">
        <v>237</v>
      </c>
      <c r="D13" s="3" t="s">
        <v>264</v>
      </c>
      <c r="E13" s="3"/>
      <c r="F13" s="3" t="s">
        <v>239</v>
      </c>
      <c r="G13" s="3" t="s">
        <v>162</v>
      </c>
      <c r="H13" s="7" t="n">
        <v>436.93</v>
      </c>
      <c r="I13" s="3" t="s">
        <v>265</v>
      </c>
      <c r="J13" s="3"/>
      <c r="K13" s="7" t="n">
        <v>436.93</v>
      </c>
      <c r="L13" s="5" t="n">
        <f aca="false">IF(AND(ISNUMBER(K13),K13&gt;=0,G13="EUR"),ROUND(K13,2),IF(AND(ISNUMBER(K13),K13&gt;=0,G13="GBP"),ROUND(ROUND(K13,2)/0.85915,2),""))</f>
        <v>436.93</v>
      </c>
      <c r="M13" s="3" t="s">
        <v>201</v>
      </c>
      <c r="N13" s="3" t="s">
        <v>165</v>
      </c>
      <c r="O13" s="3" t="s">
        <v>188</v>
      </c>
      <c r="P13" s="3" t="s">
        <v>167</v>
      </c>
      <c r="Q13" s="8" t="s">
        <v>266</v>
      </c>
      <c r="R13" s="8" t="s">
        <v>267</v>
      </c>
      <c r="S13" s="3" t="s">
        <v>268</v>
      </c>
      <c r="T13" s="7" t="n">
        <v>21.7</v>
      </c>
      <c r="U13" s="3" t="s">
        <v>269</v>
      </c>
      <c r="V13" s="3" t="s">
        <v>270</v>
      </c>
      <c r="W13" s="3" t="s">
        <v>253</v>
      </c>
      <c r="X13" s="3" t="s">
        <v>173</v>
      </c>
    </row>
    <row r="14" customFormat="false" ht="66" hidden="false" customHeight="true" outlineLevel="0" collapsed="false">
      <c r="A14" s="2" t="s">
        <v>271</v>
      </c>
      <c r="B14" s="2" t="s">
        <v>263</v>
      </c>
      <c r="C14" s="2" t="s">
        <v>255</v>
      </c>
      <c r="D14" s="2" t="s">
        <v>272</v>
      </c>
      <c r="E14" s="2"/>
      <c r="F14" s="2" t="s">
        <v>239</v>
      </c>
      <c r="G14" s="2" t="s">
        <v>162</v>
      </c>
      <c r="H14" s="4" t="n">
        <v>1008.36</v>
      </c>
      <c r="I14" s="2" t="s">
        <v>265</v>
      </c>
      <c r="J14" s="2"/>
      <c r="K14" s="4" t="n">
        <v>1008.36</v>
      </c>
      <c r="L14" s="5" t="n">
        <f aca="false">IF(AND(ISNUMBER(K14),K14&gt;=0,G14="EUR"),ROUND(K14,2),IF(AND(ISNUMBER(K14),K14&gt;=0,G14="GBP"),ROUND(ROUND(K14,2)/0.85915,2),""))</f>
        <v>1008.36</v>
      </c>
      <c r="M14" s="2" t="s">
        <v>201</v>
      </c>
      <c r="N14" s="2" t="s">
        <v>165</v>
      </c>
      <c r="O14" s="2" t="s">
        <v>188</v>
      </c>
      <c r="P14" s="2" t="s">
        <v>167</v>
      </c>
      <c r="Q14" s="6" t="s">
        <v>273</v>
      </c>
      <c r="R14" s="6" t="s">
        <v>274</v>
      </c>
      <c r="S14" s="2" t="s">
        <v>275</v>
      </c>
      <c r="T14" s="4" t="n">
        <v>6</v>
      </c>
      <c r="U14" s="2" t="s">
        <v>276</v>
      </c>
      <c r="V14" s="2" t="s">
        <v>277</v>
      </c>
      <c r="W14" s="2" t="s">
        <v>278</v>
      </c>
      <c r="X14" s="2" t="s">
        <v>173</v>
      </c>
    </row>
    <row r="15" customFormat="false" ht="66" hidden="false" customHeight="true" outlineLevel="0" collapsed="false">
      <c r="A15" s="3" t="s">
        <v>279</v>
      </c>
      <c r="B15" s="3" t="s">
        <v>263</v>
      </c>
      <c r="C15" s="3" t="s">
        <v>280</v>
      </c>
      <c r="D15" s="3" t="s">
        <v>281</v>
      </c>
      <c r="E15" s="3"/>
      <c r="F15" s="3" t="s">
        <v>239</v>
      </c>
      <c r="G15" s="3" t="s">
        <v>162</v>
      </c>
      <c r="H15" s="7" t="n">
        <v>1885</v>
      </c>
      <c r="I15" s="3" t="s">
        <v>282</v>
      </c>
      <c r="J15" s="3"/>
      <c r="K15" s="3"/>
      <c r="L15" s="5" t="str">
        <f aca="false">IF(AND(ISNUMBER(K15),K15&gt;=0,G15="EUR"),ROUND(K15,2),IF(AND(ISNUMBER(K15),K15&gt;=0,G15="GBP"),ROUND(ROUND(K15,2)/0.85915,2),""))</f>
        <v/>
      </c>
      <c r="M15" s="3" t="s">
        <v>187</v>
      </c>
      <c r="N15" s="3" t="s">
        <v>165</v>
      </c>
      <c r="O15" s="3" t="s">
        <v>188</v>
      </c>
      <c r="P15" s="3" t="s">
        <v>167</v>
      </c>
      <c r="Q15" s="8" t="s">
        <v>283</v>
      </c>
      <c r="R15" s="8" t="s">
        <v>284</v>
      </c>
      <c r="S15" s="3" t="s">
        <v>285</v>
      </c>
      <c r="T15" s="7" t="n">
        <v>28.6</v>
      </c>
      <c r="U15" s="3" t="s">
        <v>286</v>
      </c>
      <c r="V15" s="3" t="s">
        <v>287</v>
      </c>
      <c r="W15" s="3" t="s">
        <v>288</v>
      </c>
      <c r="X15" s="3" t="s">
        <v>173</v>
      </c>
    </row>
    <row r="16" customFormat="false" ht="66" hidden="false" customHeight="true" outlineLevel="0" collapsed="false">
      <c r="A16" s="2" t="s">
        <v>289</v>
      </c>
      <c r="B16" s="2" t="s">
        <v>290</v>
      </c>
      <c r="C16" s="2" t="s">
        <v>291</v>
      </c>
      <c r="D16" s="2" t="s">
        <v>292</v>
      </c>
      <c r="E16" s="4" t="n">
        <v>6</v>
      </c>
      <c r="F16" s="2" t="s">
        <v>239</v>
      </c>
      <c r="G16" s="2" t="s">
        <v>162</v>
      </c>
      <c r="H16" s="4" t="n">
        <v>166.89</v>
      </c>
      <c r="I16" s="2" t="s">
        <v>240</v>
      </c>
      <c r="J16" s="4" t="n">
        <v>19</v>
      </c>
      <c r="K16" s="4" t="n">
        <v>140.24</v>
      </c>
      <c r="L16" s="5" t="n">
        <f aca="false">IF(AND(ISNUMBER(K16),K16&gt;=0,G16="EUR"),ROUND(K16,2),IF(AND(ISNUMBER(K16),K16&gt;=0,G16="GBP"),ROUND(ROUND(K16,2)/0.85915,2),""))</f>
        <v>140.24</v>
      </c>
      <c r="M16" s="2" t="s">
        <v>201</v>
      </c>
      <c r="N16" s="2" t="s">
        <v>165</v>
      </c>
      <c r="O16" s="2" t="s">
        <v>188</v>
      </c>
      <c r="P16" s="2" t="s">
        <v>167</v>
      </c>
      <c r="Q16" s="6" t="s">
        <v>293</v>
      </c>
      <c r="R16" s="6" t="s">
        <v>294</v>
      </c>
      <c r="S16" s="2" t="s">
        <v>295</v>
      </c>
      <c r="T16" s="4" t="n">
        <v>28</v>
      </c>
      <c r="U16" s="2" t="s">
        <v>296</v>
      </c>
      <c r="V16" s="2" t="s">
        <v>297</v>
      </c>
      <c r="W16" s="2" t="s">
        <v>298</v>
      </c>
      <c r="X16" s="2" t="s">
        <v>173</v>
      </c>
    </row>
    <row r="17" customFormat="false" ht="66" hidden="false" customHeight="true" outlineLevel="0" collapsed="false">
      <c r="A17" s="3" t="s">
        <v>299</v>
      </c>
      <c r="B17" s="3" t="s">
        <v>290</v>
      </c>
      <c r="C17" s="3" t="s">
        <v>300</v>
      </c>
      <c r="D17" s="3" t="s">
        <v>301</v>
      </c>
      <c r="E17" s="7" t="n">
        <v>6</v>
      </c>
      <c r="F17" s="3" t="s">
        <v>239</v>
      </c>
      <c r="G17" s="3" t="s">
        <v>162</v>
      </c>
      <c r="H17" s="7" t="n">
        <v>319</v>
      </c>
      <c r="I17" s="3" t="s">
        <v>240</v>
      </c>
      <c r="J17" s="7" t="n">
        <v>19</v>
      </c>
      <c r="K17" s="7" t="n">
        <v>268.07</v>
      </c>
      <c r="L17" s="5" t="n">
        <f aca="false">IF(AND(ISNUMBER(K17),K17&gt;=0,G17="EUR"),ROUND(K17,2),IF(AND(ISNUMBER(K17),K17&gt;=0,G17="GBP"),ROUND(ROUND(K17,2)/0.85915,2),""))</f>
        <v>268.07</v>
      </c>
      <c r="M17" s="3" t="s">
        <v>201</v>
      </c>
      <c r="N17" s="3" t="s">
        <v>165</v>
      </c>
      <c r="O17" s="3" t="s">
        <v>188</v>
      </c>
      <c r="P17" s="3" t="s">
        <v>167</v>
      </c>
      <c r="Q17" s="8" t="s">
        <v>302</v>
      </c>
      <c r="R17" s="8" t="s">
        <v>303</v>
      </c>
      <c r="S17" s="3" t="s">
        <v>304</v>
      </c>
      <c r="T17" s="7" t="n">
        <v>33.7</v>
      </c>
      <c r="U17" s="3" t="s">
        <v>296</v>
      </c>
      <c r="V17" s="3" t="s">
        <v>305</v>
      </c>
      <c r="W17" s="3" t="s">
        <v>306</v>
      </c>
      <c r="X17" s="3" t="s">
        <v>173</v>
      </c>
    </row>
    <row r="18" customFormat="false" ht="66" hidden="false" customHeight="true" outlineLevel="0" collapsed="false">
      <c r="A18" s="2" t="s">
        <v>307</v>
      </c>
      <c r="B18" s="2" t="s">
        <v>290</v>
      </c>
      <c r="C18" s="2" t="s">
        <v>237</v>
      </c>
      <c r="D18" s="2" t="s">
        <v>308</v>
      </c>
      <c r="E18" s="4" t="n">
        <v>6</v>
      </c>
      <c r="F18" s="2" t="s">
        <v>239</v>
      </c>
      <c r="G18" s="2" t="s">
        <v>162</v>
      </c>
      <c r="H18" s="4" t="n">
        <v>329.95</v>
      </c>
      <c r="I18" s="2" t="s">
        <v>240</v>
      </c>
      <c r="J18" s="4" t="n">
        <v>21</v>
      </c>
      <c r="K18" s="4" t="n">
        <v>272.69</v>
      </c>
      <c r="L18" s="5" t="n">
        <f aca="false">IF(AND(ISNUMBER(K18),K18&gt;=0,G18="EUR"),ROUND(K18,2),IF(AND(ISNUMBER(K18),K18&gt;=0,G18="GBP"),ROUND(ROUND(K18,2)/0.85915,2),""))</f>
        <v>272.69</v>
      </c>
      <c r="M18" s="2" t="s">
        <v>201</v>
      </c>
      <c r="N18" s="2" t="s">
        <v>165</v>
      </c>
      <c r="O18" s="2" t="s">
        <v>188</v>
      </c>
      <c r="P18" s="2" t="s">
        <v>167</v>
      </c>
      <c r="Q18" s="6" t="s">
        <v>309</v>
      </c>
      <c r="R18" s="6" t="s">
        <v>310</v>
      </c>
      <c r="S18" s="2" t="s">
        <v>311</v>
      </c>
      <c r="T18" s="4" t="n">
        <v>35</v>
      </c>
      <c r="U18" s="2" t="s">
        <v>296</v>
      </c>
      <c r="V18" s="2" t="s">
        <v>312</v>
      </c>
      <c r="W18" s="2" t="s">
        <v>313</v>
      </c>
      <c r="X18" s="2" t="s">
        <v>173</v>
      </c>
    </row>
    <row r="19" customFormat="false" ht="66" hidden="false" customHeight="true" outlineLevel="0" collapsed="false">
      <c r="A19" s="3" t="s">
        <v>314</v>
      </c>
      <c r="B19" s="3" t="s">
        <v>315</v>
      </c>
      <c r="C19" s="3" t="s">
        <v>237</v>
      </c>
      <c r="D19" s="3" t="s">
        <v>316</v>
      </c>
      <c r="E19" s="3"/>
      <c r="F19" s="3" t="s">
        <v>239</v>
      </c>
      <c r="G19" s="3" t="s">
        <v>162</v>
      </c>
      <c r="H19" s="7" t="n">
        <v>182.75</v>
      </c>
      <c r="I19" s="3" t="s">
        <v>265</v>
      </c>
      <c r="J19" s="3"/>
      <c r="K19" s="7" t="n">
        <v>182.75</v>
      </c>
      <c r="L19" s="5" t="n">
        <f aca="false">IF(AND(ISNUMBER(K19),K19&gt;=0,G19="EUR"),ROUND(K19,2),IF(AND(ISNUMBER(K19),K19&gt;=0,G19="GBP"),ROUND(ROUND(K19,2)/0.85915,2),""))</f>
        <v>182.75</v>
      </c>
      <c r="M19" s="3" t="s">
        <v>201</v>
      </c>
      <c r="N19" s="3" t="s">
        <v>165</v>
      </c>
      <c r="O19" s="3" t="s">
        <v>188</v>
      </c>
      <c r="P19" s="3" t="s">
        <v>167</v>
      </c>
      <c r="Q19" s="8" t="s">
        <v>317</v>
      </c>
      <c r="R19" s="8" t="s">
        <v>318</v>
      </c>
      <c r="S19" s="3" t="s">
        <v>319</v>
      </c>
      <c r="T19" s="7" t="n">
        <v>2.2</v>
      </c>
      <c r="U19" s="3" t="s">
        <v>276</v>
      </c>
      <c r="V19" s="3" t="s">
        <v>320</v>
      </c>
      <c r="W19" s="3" t="s">
        <v>321</v>
      </c>
      <c r="X19" s="3" t="s">
        <v>173</v>
      </c>
    </row>
    <row r="20" customFormat="false" ht="66" hidden="false" customHeight="true" outlineLevel="0" collapsed="false">
      <c r="A20" s="2" t="s">
        <v>322</v>
      </c>
      <c r="B20" s="2" t="s">
        <v>315</v>
      </c>
      <c r="C20" s="2" t="s">
        <v>323</v>
      </c>
      <c r="D20" s="2" t="s">
        <v>324</v>
      </c>
      <c r="E20" s="2"/>
      <c r="F20" s="2" t="s">
        <v>239</v>
      </c>
      <c r="G20" s="2" t="s">
        <v>162</v>
      </c>
      <c r="H20" s="4" t="n">
        <v>214.24</v>
      </c>
      <c r="I20" s="2" t="s">
        <v>265</v>
      </c>
      <c r="J20" s="2"/>
      <c r="K20" s="4" t="n">
        <v>214.24</v>
      </c>
      <c r="L20" s="5" t="n">
        <f aca="false">IF(AND(ISNUMBER(K20),K20&gt;=0,G20="EUR"),ROUND(K20,2),IF(AND(ISNUMBER(K20),K20&gt;=0,G20="GBP"),ROUND(ROUND(K20,2)/0.85915,2),""))</f>
        <v>214.24</v>
      </c>
      <c r="M20" s="2" t="s">
        <v>201</v>
      </c>
      <c r="N20" s="2" t="s">
        <v>165</v>
      </c>
      <c r="O20" s="2" t="s">
        <v>188</v>
      </c>
      <c r="P20" s="2" t="s">
        <v>167</v>
      </c>
      <c r="Q20" s="6" t="s">
        <v>325</v>
      </c>
      <c r="R20" s="6" t="s">
        <v>326</v>
      </c>
      <c r="S20" s="2" t="s">
        <v>327</v>
      </c>
      <c r="T20" s="2"/>
      <c r="U20" s="2" t="s">
        <v>276</v>
      </c>
      <c r="V20" s="2" t="s">
        <v>328</v>
      </c>
      <c r="W20" s="2" t="s">
        <v>329</v>
      </c>
      <c r="X20" s="2" t="s">
        <v>173</v>
      </c>
    </row>
    <row r="21" customFormat="false" ht="66" hidden="false" customHeight="true" outlineLevel="0" collapsed="false">
      <c r="A21" s="3" t="s">
        <v>330</v>
      </c>
      <c r="B21" s="3" t="s">
        <v>315</v>
      </c>
      <c r="C21" s="3" t="s">
        <v>323</v>
      </c>
      <c r="D21" s="3" t="s">
        <v>331</v>
      </c>
      <c r="E21" s="3"/>
      <c r="F21" s="3" t="s">
        <v>239</v>
      </c>
      <c r="G21" s="3" t="s">
        <v>162</v>
      </c>
      <c r="H21" s="7" t="n">
        <v>331.89</v>
      </c>
      <c r="I21" s="3" t="s">
        <v>265</v>
      </c>
      <c r="J21" s="3"/>
      <c r="K21" s="7" t="n">
        <v>331.89</v>
      </c>
      <c r="L21" s="5" t="n">
        <f aca="false">IF(AND(ISNUMBER(K21),K21&gt;=0,G21="EUR"),ROUND(K21,2),IF(AND(ISNUMBER(K21),K21&gt;=0,G21="GBP"),ROUND(ROUND(K21,2)/0.85915,2),""))</f>
        <v>331.89</v>
      </c>
      <c r="M21" s="3" t="s">
        <v>201</v>
      </c>
      <c r="N21" s="3" t="s">
        <v>165</v>
      </c>
      <c r="O21" s="3" t="s">
        <v>188</v>
      </c>
      <c r="P21" s="3" t="s">
        <v>167</v>
      </c>
      <c r="Q21" s="8" t="s">
        <v>332</v>
      </c>
      <c r="R21" s="8" t="s">
        <v>333</v>
      </c>
      <c r="S21" s="3" t="s">
        <v>334</v>
      </c>
      <c r="T21" s="3"/>
      <c r="U21" s="3" t="s">
        <v>276</v>
      </c>
      <c r="V21" s="3" t="s">
        <v>335</v>
      </c>
      <c r="W21" s="3" t="s">
        <v>329</v>
      </c>
      <c r="X21" s="3" t="s">
        <v>173</v>
      </c>
    </row>
    <row r="22" customFormat="false" ht="66" hidden="false" customHeight="true" outlineLevel="0" collapsed="false">
      <c r="A22" s="2" t="s">
        <v>336</v>
      </c>
      <c r="B22" s="2" t="s">
        <v>337</v>
      </c>
      <c r="C22" s="2" t="s">
        <v>338</v>
      </c>
      <c r="D22" s="2" t="s">
        <v>339</v>
      </c>
      <c r="E22" s="2"/>
      <c r="F22" s="2" t="s">
        <v>239</v>
      </c>
      <c r="G22" s="2" t="s">
        <v>162</v>
      </c>
      <c r="H22" s="4" t="n">
        <v>239.45</v>
      </c>
      <c r="I22" s="2" t="s">
        <v>265</v>
      </c>
      <c r="J22" s="2"/>
      <c r="K22" s="4" t="n">
        <v>239.45</v>
      </c>
      <c r="L22" s="5" t="n">
        <f aca="false">IF(AND(ISNUMBER(K22),K22&gt;=0,G22="EUR"),ROUND(K22,2),IF(AND(ISNUMBER(K22),K22&gt;=0,G22="GBP"),ROUND(ROUND(K22,2)/0.85915,2),""))</f>
        <v>239.45</v>
      </c>
      <c r="M22" s="2" t="s">
        <v>201</v>
      </c>
      <c r="N22" s="2" t="s">
        <v>165</v>
      </c>
      <c r="O22" s="2" t="s">
        <v>188</v>
      </c>
      <c r="P22" s="2" t="s">
        <v>167</v>
      </c>
      <c r="Q22" s="6" t="s">
        <v>340</v>
      </c>
      <c r="R22" s="6" t="s">
        <v>341</v>
      </c>
      <c r="S22" s="2"/>
      <c r="T22" s="4" t="n">
        <v>0.95</v>
      </c>
      <c r="U22" s="2" t="s">
        <v>276</v>
      </c>
      <c r="V22" s="2" t="s">
        <v>342</v>
      </c>
      <c r="W22" s="2" t="s">
        <v>343</v>
      </c>
      <c r="X22" s="2" t="s">
        <v>173</v>
      </c>
    </row>
    <row r="23" customFormat="false" ht="66" hidden="false" customHeight="true" outlineLevel="0" collapsed="false">
      <c r="A23" s="3" t="s">
        <v>344</v>
      </c>
      <c r="B23" s="3" t="s">
        <v>337</v>
      </c>
      <c r="C23" s="3" t="s">
        <v>338</v>
      </c>
      <c r="D23" s="3" t="s">
        <v>345</v>
      </c>
      <c r="E23" s="3"/>
      <c r="F23" s="3" t="s">
        <v>239</v>
      </c>
      <c r="G23" s="3" t="s">
        <v>162</v>
      </c>
      <c r="H23" s="7" t="n">
        <v>226.85</v>
      </c>
      <c r="I23" s="3" t="s">
        <v>265</v>
      </c>
      <c r="J23" s="3"/>
      <c r="K23" s="7" t="n">
        <v>226.85</v>
      </c>
      <c r="L23" s="5" t="n">
        <f aca="false">IF(AND(ISNUMBER(K23),K23&gt;=0,G23="EUR"),ROUND(K23,2),IF(AND(ISNUMBER(K23),K23&gt;=0,G23="GBP"),ROUND(ROUND(K23,2)/0.85915,2),""))</f>
        <v>226.85</v>
      </c>
      <c r="M23" s="3" t="s">
        <v>201</v>
      </c>
      <c r="N23" s="3" t="s">
        <v>165</v>
      </c>
      <c r="O23" s="3" t="s">
        <v>188</v>
      </c>
      <c r="P23" s="3" t="s">
        <v>167</v>
      </c>
      <c r="Q23" s="8" t="s">
        <v>346</v>
      </c>
      <c r="R23" s="8" t="s">
        <v>347</v>
      </c>
      <c r="S23" s="3"/>
      <c r="T23" s="3"/>
      <c r="U23" s="3" t="s">
        <v>276</v>
      </c>
      <c r="V23" s="3" t="s">
        <v>348</v>
      </c>
      <c r="W23" s="3" t="s">
        <v>329</v>
      </c>
      <c r="X23" s="3" t="s">
        <v>173</v>
      </c>
    </row>
    <row r="24" customFormat="false" ht="66" hidden="false" customHeight="true" outlineLevel="0" collapsed="false">
      <c r="A24" s="2" t="s">
        <v>349</v>
      </c>
      <c r="B24" s="2" t="s">
        <v>350</v>
      </c>
      <c r="C24" s="2"/>
      <c r="D24" s="2" t="s">
        <v>351</v>
      </c>
      <c r="E24" s="4" t="n">
        <v>1</v>
      </c>
      <c r="F24" s="2" t="s">
        <v>352</v>
      </c>
      <c r="G24" s="2"/>
      <c r="H24" s="2"/>
      <c r="I24" s="2" t="s">
        <v>188</v>
      </c>
      <c r="J24" s="2"/>
      <c r="K24" s="2"/>
      <c r="L24" s="5" t="str">
        <f aca="false">IF(AND(ISNUMBER(K24),K24&gt;=0,G24="EUR"),ROUND(K24,2),IF(AND(ISNUMBER(K24),K24&gt;=0,G24="GBP"),ROUND(ROUND(K24,2)/0.85915,2),""))</f>
        <v/>
      </c>
      <c r="M24" s="2" t="s">
        <v>187</v>
      </c>
      <c r="N24" s="2" t="s">
        <v>165</v>
      </c>
      <c r="O24" s="2" t="s">
        <v>188</v>
      </c>
      <c r="P24" s="2" t="s">
        <v>167</v>
      </c>
      <c r="Q24" s="2"/>
      <c r="R24" s="2"/>
      <c r="S24" s="2"/>
      <c r="T24" s="2"/>
      <c r="U24" s="2" t="s">
        <v>353</v>
      </c>
      <c r="V24" s="2" t="s">
        <v>354</v>
      </c>
      <c r="W24" s="2" t="s">
        <v>355</v>
      </c>
      <c r="X24" s="2" t="s">
        <v>173</v>
      </c>
    </row>
    <row r="25" customFormat="false" ht="66" hidden="false" customHeight="true" outlineLevel="0" collapsed="false">
      <c r="A25" s="3" t="s">
        <v>356</v>
      </c>
      <c r="B25" s="3" t="s">
        <v>357</v>
      </c>
      <c r="C25" s="3"/>
      <c r="D25" s="3" t="s">
        <v>351</v>
      </c>
      <c r="E25" s="7" t="n">
        <v>1</v>
      </c>
      <c r="F25" s="3" t="s">
        <v>239</v>
      </c>
      <c r="G25" s="3"/>
      <c r="H25" s="3"/>
      <c r="I25" s="3" t="s">
        <v>188</v>
      </c>
      <c r="J25" s="3"/>
      <c r="K25" s="3"/>
      <c r="L25" s="5" t="str">
        <f aca="false">IF(AND(ISNUMBER(K25),K25&gt;=0,G25="EUR"),ROUND(K25,2),IF(AND(ISNUMBER(K25),K25&gt;=0,G25="GBP"),ROUND(ROUND(K25,2)/0.85915,2),""))</f>
        <v/>
      </c>
      <c r="M25" s="3" t="s">
        <v>187</v>
      </c>
      <c r="N25" s="3" t="s">
        <v>165</v>
      </c>
      <c r="O25" s="3" t="s">
        <v>188</v>
      </c>
      <c r="P25" s="3" t="s">
        <v>167</v>
      </c>
      <c r="Q25" s="3"/>
      <c r="R25" s="3"/>
      <c r="S25" s="3"/>
      <c r="T25" s="3"/>
      <c r="U25" s="3" t="s">
        <v>358</v>
      </c>
      <c r="V25" s="3" t="s">
        <v>359</v>
      </c>
      <c r="W25" s="3" t="s">
        <v>355</v>
      </c>
      <c r="X25" s="3" t="s">
        <v>173</v>
      </c>
    </row>
    <row r="26" customFormat="false" ht="66" hidden="false" customHeight="true" outlineLevel="0" collapsed="false">
      <c r="A26" s="2" t="s">
        <v>360</v>
      </c>
      <c r="B26" s="2" t="s">
        <v>361</v>
      </c>
      <c r="C26" s="2"/>
      <c r="D26" s="2" t="s">
        <v>351</v>
      </c>
      <c r="E26" s="4" t="n">
        <v>2</v>
      </c>
      <c r="F26" s="2" t="s">
        <v>239</v>
      </c>
      <c r="G26" s="2"/>
      <c r="H26" s="2"/>
      <c r="I26" s="2" t="s">
        <v>188</v>
      </c>
      <c r="J26" s="2"/>
      <c r="K26" s="2"/>
      <c r="L26" s="5" t="str">
        <f aca="false">IF(AND(ISNUMBER(K26),K26&gt;=0,G26="EUR"),ROUND(K26,2),IF(AND(ISNUMBER(K26),K26&gt;=0,G26="GBP"),ROUND(ROUND(K26,2)/0.85915,2),""))</f>
        <v/>
      </c>
      <c r="M26" s="2" t="s">
        <v>187</v>
      </c>
      <c r="N26" s="2" t="s">
        <v>165</v>
      </c>
      <c r="O26" s="2" t="s">
        <v>188</v>
      </c>
      <c r="P26" s="2" t="s">
        <v>167</v>
      </c>
      <c r="Q26" s="2"/>
      <c r="R26" s="2"/>
      <c r="S26" s="2"/>
      <c r="T26" s="2"/>
      <c r="U26" s="2" t="s">
        <v>358</v>
      </c>
      <c r="V26" s="2" t="s">
        <v>362</v>
      </c>
      <c r="W26" s="2" t="s">
        <v>355</v>
      </c>
      <c r="X26" s="2" t="s">
        <v>173</v>
      </c>
    </row>
    <row r="27" customFormat="false" ht="66" hidden="false" customHeight="true" outlineLevel="0" collapsed="false">
      <c r="A27" s="3" t="s">
        <v>363</v>
      </c>
      <c r="B27" s="3" t="s">
        <v>80</v>
      </c>
      <c r="C27" s="3" t="s">
        <v>364</v>
      </c>
      <c r="D27" s="3" t="s">
        <v>365</v>
      </c>
      <c r="E27" s="7" t="n">
        <v>1</v>
      </c>
      <c r="F27" s="3" t="s">
        <v>366</v>
      </c>
      <c r="G27" s="3" t="s">
        <v>162</v>
      </c>
      <c r="H27" s="7" t="n">
        <v>7539</v>
      </c>
      <c r="I27" s="3" t="s">
        <v>367</v>
      </c>
      <c r="J27" s="7" t="n">
        <v>19</v>
      </c>
      <c r="K27" s="7" t="n">
        <v>6335.29</v>
      </c>
      <c r="L27" s="5" t="n">
        <f aca="false">IF(AND(ISNUMBER(K27),K27&gt;=0,G27="EUR"),ROUND(K27,2),IF(AND(ISNUMBER(K27),K27&gt;=0,G27="GBP"),ROUND(ROUND(K27,2)/0.85915,2),""))</f>
        <v>6335.29</v>
      </c>
      <c r="M27" s="3" t="s">
        <v>201</v>
      </c>
      <c r="N27" s="3" t="s">
        <v>165</v>
      </c>
      <c r="O27" s="3" t="s">
        <v>188</v>
      </c>
      <c r="P27" s="3" t="s">
        <v>167</v>
      </c>
      <c r="Q27" s="8" t="s">
        <v>368</v>
      </c>
      <c r="R27" s="8" t="s">
        <v>368</v>
      </c>
      <c r="S27" s="3"/>
      <c r="T27" s="3"/>
      <c r="U27" s="3" t="s">
        <v>369</v>
      </c>
      <c r="V27" s="3" t="s">
        <v>370</v>
      </c>
      <c r="W27" s="3" t="s">
        <v>355</v>
      </c>
      <c r="X27" s="3" t="s">
        <v>173</v>
      </c>
    </row>
    <row r="28" customFormat="false" ht="66" hidden="false" customHeight="true" outlineLevel="0" collapsed="false">
      <c r="A28" s="2" t="s">
        <v>371</v>
      </c>
      <c r="B28" s="2" t="s">
        <v>80</v>
      </c>
      <c r="C28" s="2" t="s">
        <v>372</v>
      </c>
      <c r="D28" s="2" t="s">
        <v>373</v>
      </c>
      <c r="E28" s="4" t="n">
        <v>1</v>
      </c>
      <c r="F28" s="2" t="s">
        <v>366</v>
      </c>
      <c r="G28" s="2" t="s">
        <v>162</v>
      </c>
      <c r="H28" s="4" t="n">
        <v>12820.2</v>
      </c>
      <c r="I28" s="2" t="s">
        <v>374</v>
      </c>
      <c r="J28" s="4" t="n">
        <v>20</v>
      </c>
      <c r="K28" s="4" t="n">
        <v>10683.5</v>
      </c>
      <c r="L28" s="5" t="n">
        <f aca="false">IF(AND(ISNUMBER(K28),K28&gt;=0,G28="EUR"),ROUND(K28,2),IF(AND(ISNUMBER(K28),K28&gt;=0,G28="GBP"),ROUND(ROUND(K28,2)/0.85915,2),""))</f>
        <v>10683.5</v>
      </c>
      <c r="M28" s="2" t="s">
        <v>375</v>
      </c>
      <c r="N28" s="2" t="s">
        <v>165</v>
      </c>
      <c r="O28" s="2" t="s">
        <v>188</v>
      </c>
      <c r="P28" s="2" t="s">
        <v>167</v>
      </c>
      <c r="Q28" s="6" t="s">
        <v>376</v>
      </c>
      <c r="R28" s="6" t="s">
        <v>377</v>
      </c>
      <c r="S28" s="2"/>
      <c r="T28" s="2"/>
      <c r="U28" s="2" t="s">
        <v>378</v>
      </c>
      <c r="V28" s="2" t="s">
        <v>379</v>
      </c>
      <c r="W28" s="2" t="s">
        <v>380</v>
      </c>
      <c r="X28" s="2" t="s">
        <v>173</v>
      </c>
    </row>
    <row r="29" customFormat="false" ht="66" hidden="false" customHeight="true" outlineLevel="0" collapsed="false">
      <c r="A29" s="3" t="s">
        <v>381</v>
      </c>
      <c r="B29" s="3" t="s">
        <v>80</v>
      </c>
      <c r="C29" s="3" t="s">
        <v>382</v>
      </c>
      <c r="D29" s="3" t="s">
        <v>383</v>
      </c>
      <c r="E29" s="7" t="n">
        <v>1</v>
      </c>
      <c r="F29" s="3" t="s">
        <v>366</v>
      </c>
      <c r="G29" s="3" t="s">
        <v>162</v>
      </c>
      <c r="H29" s="3"/>
      <c r="I29" s="3"/>
      <c r="J29" s="3"/>
      <c r="K29" s="3"/>
      <c r="L29" s="5" t="str">
        <f aca="false">IF(AND(ISNUMBER(K29),K29&gt;=0,G29="EUR"),ROUND(K29,2),IF(AND(ISNUMBER(K29),K29&gt;=0,G29="GBP"),ROUND(ROUND(K29,2)/0.85915,2),""))</f>
        <v/>
      </c>
      <c r="M29" s="3" t="s">
        <v>187</v>
      </c>
      <c r="N29" s="3" t="s">
        <v>165</v>
      </c>
      <c r="O29" s="3" t="s">
        <v>188</v>
      </c>
      <c r="P29" s="3" t="s">
        <v>167</v>
      </c>
      <c r="Q29" s="8" t="s">
        <v>384</v>
      </c>
      <c r="R29" s="8" t="s">
        <v>385</v>
      </c>
      <c r="S29" s="3"/>
      <c r="T29" s="7" t="n">
        <v>63</v>
      </c>
      <c r="U29" s="3" t="s">
        <v>386</v>
      </c>
      <c r="V29" s="3" t="s">
        <v>387</v>
      </c>
      <c r="W29" s="3" t="s">
        <v>355</v>
      </c>
      <c r="X29" s="3" t="s">
        <v>173</v>
      </c>
    </row>
    <row r="30" customFormat="false" ht="66" hidden="false" customHeight="true" outlineLevel="0" collapsed="false">
      <c r="A30" s="2" t="s">
        <v>388</v>
      </c>
      <c r="B30" s="2" t="s">
        <v>389</v>
      </c>
      <c r="C30" s="2" t="s">
        <v>390</v>
      </c>
      <c r="D30" s="2" t="s">
        <v>391</v>
      </c>
      <c r="E30" s="4" t="n">
        <v>1</v>
      </c>
      <c r="F30" s="2" t="s">
        <v>366</v>
      </c>
      <c r="G30" s="2" t="s">
        <v>162</v>
      </c>
      <c r="H30" s="4" t="n">
        <v>1229.9</v>
      </c>
      <c r="I30" s="2" t="s">
        <v>392</v>
      </c>
      <c r="J30" s="2"/>
      <c r="K30" s="4" t="n">
        <v>1024.92</v>
      </c>
      <c r="L30" s="5" t="n">
        <f aca="false">IF(AND(ISNUMBER(K30),K30&gt;=0,G30="EUR"),ROUND(K30,2),IF(AND(ISNUMBER(K30),K30&gt;=0,G30="GBP"),ROUND(ROUND(K30,2)/0.85915,2),""))</f>
        <v>1024.92</v>
      </c>
      <c r="M30" s="2" t="s">
        <v>201</v>
      </c>
      <c r="N30" s="2" t="s">
        <v>165</v>
      </c>
      <c r="O30" s="2" t="s">
        <v>188</v>
      </c>
      <c r="P30" s="2" t="s">
        <v>167</v>
      </c>
      <c r="Q30" s="6" t="s">
        <v>393</v>
      </c>
      <c r="R30" s="6" t="s">
        <v>394</v>
      </c>
      <c r="S30" s="2"/>
      <c r="T30" s="2"/>
      <c r="U30" s="2" t="s">
        <v>395</v>
      </c>
      <c r="V30" s="2" t="s">
        <v>396</v>
      </c>
      <c r="W30" s="2" t="s">
        <v>397</v>
      </c>
      <c r="X30" s="2" t="s">
        <v>173</v>
      </c>
    </row>
    <row r="31" customFormat="false" ht="66" hidden="false" customHeight="true" outlineLevel="0" collapsed="false">
      <c r="A31" s="3" t="s">
        <v>398</v>
      </c>
      <c r="B31" s="3" t="s">
        <v>389</v>
      </c>
      <c r="C31" s="3" t="s">
        <v>399</v>
      </c>
      <c r="D31" s="3" t="s">
        <v>400</v>
      </c>
      <c r="E31" s="7" t="n">
        <v>1</v>
      </c>
      <c r="F31" s="3" t="s">
        <v>366</v>
      </c>
      <c r="G31" s="3" t="s">
        <v>162</v>
      </c>
      <c r="H31" s="7" t="n">
        <v>1311.9</v>
      </c>
      <c r="I31" s="3" t="s">
        <v>392</v>
      </c>
      <c r="J31" s="3"/>
      <c r="K31" s="7" t="n">
        <v>1093.25</v>
      </c>
      <c r="L31" s="5" t="n">
        <f aca="false">IF(AND(ISNUMBER(K31),K31&gt;=0,G31="EUR"),ROUND(K31,2),IF(AND(ISNUMBER(K31),K31&gt;=0,G31="GBP"),ROUND(ROUND(K31,2)/0.85915,2),""))</f>
        <v>1093.25</v>
      </c>
      <c r="M31" s="3" t="s">
        <v>201</v>
      </c>
      <c r="N31" s="3" t="s">
        <v>165</v>
      </c>
      <c r="O31" s="3" t="s">
        <v>188</v>
      </c>
      <c r="P31" s="3" t="s">
        <v>167</v>
      </c>
      <c r="Q31" s="8" t="s">
        <v>401</v>
      </c>
      <c r="R31" s="8" t="s">
        <v>402</v>
      </c>
      <c r="S31" s="3"/>
      <c r="T31" s="3"/>
      <c r="U31" s="3" t="s">
        <v>403</v>
      </c>
      <c r="V31" s="3" t="s">
        <v>404</v>
      </c>
      <c r="W31" s="3" t="s">
        <v>405</v>
      </c>
      <c r="X31" s="3" t="s">
        <v>173</v>
      </c>
    </row>
    <row r="32" customFormat="false" ht="66" hidden="false" customHeight="true" outlineLevel="0" collapsed="false">
      <c r="A32" s="2" t="s">
        <v>406</v>
      </c>
      <c r="B32" s="2" t="s">
        <v>389</v>
      </c>
      <c r="C32" s="2" t="s">
        <v>407</v>
      </c>
      <c r="D32" s="2" t="s">
        <v>408</v>
      </c>
      <c r="E32" s="4" t="n">
        <v>1</v>
      </c>
      <c r="F32" s="2" t="s">
        <v>366</v>
      </c>
      <c r="G32" s="2" t="s">
        <v>162</v>
      </c>
      <c r="H32" s="2"/>
      <c r="I32" s="2"/>
      <c r="J32" s="2"/>
      <c r="K32" s="2"/>
      <c r="L32" s="5" t="str">
        <f aca="false">IF(AND(ISNUMBER(K32),K32&gt;=0,G32="EUR"),ROUND(K32,2),IF(AND(ISNUMBER(K32),K32&gt;=0,G32="GBP"),ROUND(ROUND(K32,2)/0.85915,2),""))</f>
        <v/>
      </c>
      <c r="M32" s="2" t="s">
        <v>187</v>
      </c>
      <c r="N32" s="2" t="s">
        <v>165</v>
      </c>
      <c r="O32" s="2" t="s">
        <v>188</v>
      </c>
      <c r="P32" s="2" t="s">
        <v>167</v>
      </c>
      <c r="Q32" s="6" t="s">
        <v>409</v>
      </c>
      <c r="R32" s="6" t="s">
        <v>409</v>
      </c>
      <c r="S32" s="2"/>
      <c r="T32" s="4" t="n">
        <v>29</v>
      </c>
      <c r="U32" s="2" t="s">
        <v>410</v>
      </c>
      <c r="V32" s="2" t="s">
        <v>411</v>
      </c>
      <c r="W32" s="2" t="s">
        <v>355</v>
      </c>
      <c r="X32" s="2" t="s">
        <v>173</v>
      </c>
    </row>
    <row r="33" customFormat="false" ht="66" hidden="false" customHeight="true" outlineLevel="0" collapsed="false">
      <c r="A33" s="3" t="s">
        <v>412</v>
      </c>
      <c r="B33" s="3" t="s">
        <v>413</v>
      </c>
      <c r="C33" s="3" t="s">
        <v>390</v>
      </c>
      <c r="D33" s="3" t="s">
        <v>414</v>
      </c>
      <c r="E33" s="7" t="n">
        <v>1</v>
      </c>
      <c r="F33" s="3" t="s">
        <v>366</v>
      </c>
      <c r="G33" s="3" t="s">
        <v>162</v>
      </c>
      <c r="H33" s="3"/>
      <c r="I33" s="3"/>
      <c r="J33" s="3"/>
      <c r="K33" s="3"/>
      <c r="L33" s="5" t="str">
        <f aca="false">IF(AND(ISNUMBER(K33),K33&gt;=0,G33="EUR"),ROUND(K33,2),IF(AND(ISNUMBER(K33),K33&gt;=0,G33="GBP"),ROUND(ROUND(K33,2)/0.85915,2),""))</f>
        <v/>
      </c>
      <c r="M33" s="3" t="s">
        <v>187</v>
      </c>
      <c r="N33" s="3" t="s">
        <v>165</v>
      </c>
      <c r="O33" s="3" t="s">
        <v>188</v>
      </c>
      <c r="P33" s="3" t="s">
        <v>167</v>
      </c>
      <c r="Q33" s="8" t="s">
        <v>394</v>
      </c>
      <c r="R33" s="8" t="s">
        <v>394</v>
      </c>
      <c r="S33" s="3"/>
      <c r="T33" s="3"/>
      <c r="U33" s="3" t="s">
        <v>415</v>
      </c>
      <c r="V33" s="3" t="s">
        <v>416</v>
      </c>
      <c r="W33" s="3" t="s">
        <v>355</v>
      </c>
      <c r="X33" s="3" t="s">
        <v>173</v>
      </c>
    </row>
    <row r="34" customFormat="false" ht="66" hidden="false" customHeight="true" outlineLevel="0" collapsed="false">
      <c r="A34" s="2" t="s">
        <v>417</v>
      </c>
      <c r="B34" s="2" t="s">
        <v>413</v>
      </c>
      <c r="C34" s="2" t="s">
        <v>399</v>
      </c>
      <c r="D34" s="2" t="s">
        <v>418</v>
      </c>
      <c r="E34" s="4" t="n">
        <v>1</v>
      </c>
      <c r="F34" s="2" t="s">
        <v>366</v>
      </c>
      <c r="G34" s="2" t="s">
        <v>162</v>
      </c>
      <c r="H34" s="4" t="n">
        <v>1263</v>
      </c>
      <c r="I34" s="2" t="s">
        <v>392</v>
      </c>
      <c r="J34" s="2"/>
      <c r="K34" s="4" t="n">
        <v>1052.5</v>
      </c>
      <c r="L34" s="5" t="n">
        <f aca="false">IF(AND(ISNUMBER(K34),K34&gt;=0,G34="EUR"),ROUND(K34,2),IF(AND(ISNUMBER(K34),K34&gt;=0,G34="GBP"),ROUND(ROUND(K34,2)/0.85915,2),""))</f>
        <v>1052.5</v>
      </c>
      <c r="M34" s="2" t="s">
        <v>201</v>
      </c>
      <c r="N34" s="2" t="s">
        <v>165</v>
      </c>
      <c r="O34" s="2" t="s">
        <v>188</v>
      </c>
      <c r="P34" s="2" t="s">
        <v>167</v>
      </c>
      <c r="Q34" s="6" t="s">
        <v>419</v>
      </c>
      <c r="R34" s="6" t="s">
        <v>402</v>
      </c>
      <c r="S34" s="2"/>
      <c r="T34" s="2"/>
      <c r="U34" s="2" t="s">
        <v>420</v>
      </c>
      <c r="V34" s="2" t="s">
        <v>421</v>
      </c>
      <c r="W34" s="2" t="s">
        <v>422</v>
      </c>
      <c r="X34" s="2" t="s">
        <v>173</v>
      </c>
    </row>
    <row r="35" customFormat="false" ht="66" hidden="false" customHeight="true" outlineLevel="0" collapsed="false">
      <c r="A35" s="3" t="s">
        <v>423</v>
      </c>
      <c r="B35" s="3" t="s">
        <v>413</v>
      </c>
      <c r="C35" s="3" t="s">
        <v>407</v>
      </c>
      <c r="D35" s="3" t="s">
        <v>424</v>
      </c>
      <c r="E35" s="7" t="n">
        <v>1</v>
      </c>
      <c r="F35" s="3" t="s">
        <v>366</v>
      </c>
      <c r="G35" s="3" t="s">
        <v>162</v>
      </c>
      <c r="H35" s="3"/>
      <c r="I35" s="3"/>
      <c r="J35" s="3"/>
      <c r="K35" s="3"/>
      <c r="L35" s="5" t="str">
        <f aca="false">IF(AND(ISNUMBER(K35),K35&gt;=0,G35="EUR"),ROUND(K35,2),IF(AND(ISNUMBER(K35),K35&gt;=0,G35="GBP"),ROUND(ROUND(K35,2)/0.85915,2),""))</f>
        <v/>
      </c>
      <c r="M35" s="3" t="s">
        <v>187</v>
      </c>
      <c r="N35" s="3" t="s">
        <v>165</v>
      </c>
      <c r="O35" s="3" t="s">
        <v>188</v>
      </c>
      <c r="P35" s="3" t="s">
        <v>167</v>
      </c>
      <c r="Q35" s="8" t="s">
        <v>409</v>
      </c>
      <c r="R35" s="8" t="s">
        <v>409</v>
      </c>
      <c r="S35" s="3"/>
      <c r="T35" s="7" t="n">
        <v>18</v>
      </c>
      <c r="U35" s="3" t="s">
        <v>415</v>
      </c>
      <c r="V35" s="3" t="s">
        <v>425</v>
      </c>
      <c r="W35" s="3" t="s">
        <v>355</v>
      </c>
      <c r="X35" s="3" t="s">
        <v>173</v>
      </c>
    </row>
    <row r="36" customFormat="false" ht="66" hidden="false" customHeight="true" outlineLevel="0" collapsed="false">
      <c r="A36" s="2" t="s">
        <v>426</v>
      </c>
      <c r="B36" s="2" t="s">
        <v>427</v>
      </c>
      <c r="C36" s="2" t="s">
        <v>428</v>
      </c>
      <c r="D36" s="2" t="s">
        <v>429</v>
      </c>
      <c r="E36" s="4" t="n">
        <v>2</v>
      </c>
      <c r="F36" s="2" t="s">
        <v>366</v>
      </c>
      <c r="G36" s="2" t="s">
        <v>162</v>
      </c>
      <c r="H36" s="4" t="n">
        <v>4544.35</v>
      </c>
      <c r="I36" s="2" t="s">
        <v>430</v>
      </c>
      <c r="J36" s="4" t="n">
        <v>25.5</v>
      </c>
      <c r="K36" s="4" t="n">
        <v>3621</v>
      </c>
      <c r="L36" s="5" t="n">
        <f aca="false">IF(AND(ISNUMBER(K36),K36&gt;=0,G36="EUR"),ROUND(K36,2),IF(AND(ISNUMBER(K36),K36&gt;=0,G36="GBP"),ROUND(ROUND(K36,2)/0.85915,2),""))</f>
        <v>3621</v>
      </c>
      <c r="M36" s="2" t="s">
        <v>201</v>
      </c>
      <c r="N36" s="2" t="s">
        <v>165</v>
      </c>
      <c r="O36" s="2" t="s">
        <v>188</v>
      </c>
      <c r="P36" s="2" t="s">
        <v>167</v>
      </c>
      <c r="Q36" s="6" t="s">
        <v>431</v>
      </c>
      <c r="R36" s="6" t="s">
        <v>432</v>
      </c>
      <c r="S36" s="2" t="s">
        <v>433</v>
      </c>
      <c r="T36" s="4" t="n">
        <v>38</v>
      </c>
      <c r="U36" s="2" t="s">
        <v>434</v>
      </c>
      <c r="V36" s="2" t="s">
        <v>435</v>
      </c>
      <c r="W36" s="2" t="s">
        <v>436</v>
      </c>
      <c r="X36" s="2" t="s">
        <v>173</v>
      </c>
    </row>
    <row r="37" customFormat="false" ht="66" hidden="false" customHeight="true" outlineLevel="0" collapsed="false">
      <c r="A37" s="3" t="s">
        <v>437</v>
      </c>
      <c r="B37" s="3" t="s">
        <v>427</v>
      </c>
      <c r="C37" s="3" t="s">
        <v>438</v>
      </c>
      <c r="D37" s="3" t="s">
        <v>439</v>
      </c>
      <c r="E37" s="7" t="n">
        <v>2</v>
      </c>
      <c r="F37" s="3" t="s">
        <v>366</v>
      </c>
      <c r="G37" s="3" t="s">
        <v>162</v>
      </c>
      <c r="H37" s="7" t="n">
        <v>4155.3</v>
      </c>
      <c r="I37" s="3" t="s">
        <v>440</v>
      </c>
      <c r="J37" s="3"/>
      <c r="K37" s="7" t="n">
        <v>4155.3</v>
      </c>
      <c r="L37" s="5" t="n">
        <f aca="false">IF(AND(ISNUMBER(K37),K37&gt;=0,G37="EUR"),ROUND(K37,2),IF(AND(ISNUMBER(K37),K37&gt;=0,G37="GBP"),ROUND(ROUND(K37,2)/0.85915,2),""))</f>
        <v>4155.3</v>
      </c>
      <c r="M37" s="3" t="s">
        <v>201</v>
      </c>
      <c r="N37" s="3" t="s">
        <v>165</v>
      </c>
      <c r="O37" s="3" t="s">
        <v>188</v>
      </c>
      <c r="P37" s="3" t="s">
        <v>167</v>
      </c>
      <c r="Q37" s="8" t="s">
        <v>441</v>
      </c>
      <c r="R37" s="8" t="s">
        <v>442</v>
      </c>
      <c r="S37" s="3"/>
      <c r="T37" s="3"/>
      <c r="U37" s="3" t="s">
        <v>443</v>
      </c>
      <c r="V37" s="3" t="s">
        <v>444</v>
      </c>
      <c r="W37" s="3" t="s">
        <v>445</v>
      </c>
      <c r="X37" s="3" t="s">
        <v>173</v>
      </c>
    </row>
    <row r="38" customFormat="false" ht="66" hidden="false" customHeight="true" outlineLevel="0" collapsed="false">
      <c r="A38" s="2" t="s">
        <v>446</v>
      </c>
      <c r="B38" s="2" t="s">
        <v>427</v>
      </c>
      <c r="C38" s="2" t="s">
        <v>447</v>
      </c>
      <c r="D38" s="2" t="s">
        <v>448</v>
      </c>
      <c r="E38" s="4" t="n">
        <v>2</v>
      </c>
      <c r="F38" s="2" t="s">
        <v>366</v>
      </c>
      <c r="G38" s="2" t="s">
        <v>162</v>
      </c>
      <c r="H38" s="2"/>
      <c r="I38" s="2"/>
      <c r="J38" s="2"/>
      <c r="K38" s="2"/>
      <c r="L38" s="5" t="str">
        <f aca="false">IF(AND(ISNUMBER(K38),K38&gt;=0,G38="EUR"),ROUND(K38,2),IF(AND(ISNUMBER(K38),K38&gt;=0,G38="GBP"),ROUND(ROUND(K38,2)/0.85915,2),""))</f>
        <v/>
      </c>
      <c r="M38" s="2" t="s">
        <v>187</v>
      </c>
      <c r="N38" s="2" t="s">
        <v>165</v>
      </c>
      <c r="O38" s="2" t="s">
        <v>188</v>
      </c>
      <c r="P38" s="2" t="s">
        <v>167</v>
      </c>
      <c r="Q38" s="6" t="s">
        <v>449</v>
      </c>
      <c r="R38" s="6" t="s">
        <v>450</v>
      </c>
      <c r="S38" s="2" t="s">
        <v>451</v>
      </c>
      <c r="T38" s="4" t="n">
        <v>30</v>
      </c>
      <c r="U38" s="2" t="s">
        <v>452</v>
      </c>
      <c r="V38" s="2" t="s">
        <v>453</v>
      </c>
      <c r="W38" s="2" t="s">
        <v>355</v>
      </c>
      <c r="X38" s="2" t="s">
        <v>173</v>
      </c>
    </row>
    <row r="39" customFormat="false" ht="66" hidden="false" customHeight="true" outlineLevel="0" collapsed="false">
      <c r="A39" s="3" t="s">
        <v>454</v>
      </c>
      <c r="B39" s="3" t="s">
        <v>88</v>
      </c>
      <c r="C39" s="3" t="s">
        <v>455</v>
      </c>
      <c r="D39" s="3" t="s">
        <v>456</v>
      </c>
      <c r="E39" s="3"/>
      <c r="F39" s="3" t="s">
        <v>366</v>
      </c>
      <c r="G39" s="3" t="s">
        <v>162</v>
      </c>
      <c r="H39" s="7" t="n">
        <v>737</v>
      </c>
      <c r="I39" s="3" t="s">
        <v>392</v>
      </c>
      <c r="J39" s="3"/>
      <c r="K39" s="7" t="n">
        <v>614.17</v>
      </c>
      <c r="L39" s="5" t="n">
        <f aca="false">IF(AND(ISNUMBER(K39),K39&gt;=0,G39="EUR"),ROUND(K39,2),IF(AND(ISNUMBER(K39),K39&gt;=0,G39="GBP"),ROUND(ROUND(K39,2)/0.85915,2),""))</f>
        <v>614.17</v>
      </c>
      <c r="M39" s="3" t="s">
        <v>201</v>
      </c>
      <c r="N39" s="3" t="s">
        <v>165</v>
      </c>
      <c r="O39" s="3" t="s">
        <v>188</v>
      </c>
      <c r="P39" s="3" t="s">
        <v>167</v>
      </c>
      <c r="Q39" s="8" t="s">
        <v>457</v>
      </c>
      <c r="R39" s="8" t="s">
        <v>458</v>
      </c>
      <c r="S39" s="3"/>
      <c r="T39" s="3"/>
      <c r="U39" s="3" t="s">
        <v>459</v>
      </c>
      <c r="V39" s="3" t="s">
        <v>460</v>
      </c>
      <c r="W39" s="3" t="s">
        <v>422</v>
      </c>
      <c r="X39" s="3" t="s">
        <v>173</v>
      </c>
    </row>
    <row r="40" customFormat="false" ht="66" hidden="false" customHeight="true" outlineLevel="0" collapsed="false">
      <c r="A40" s="2" t="s">
        <v>461</v>
      </c>
      <c r="B40" s="2" t="s">
        <v>88</v>
      </c>
      <c r="C40" s="2" t="s">
        <v>455</v>
      </c>
      <c r="D40" s="2" t="s">
        <v>462</v>
      </c>
      <c r="E40" s="2"/>
      <c r="F40" s="2" t="s">
        <v>366</v>
      </c>
      <c r="G40" s="2" t="s">
        <v>162</v>
      </c>
      <c r="H40" s="4" t="n">
        <v>829</v>
      </c>
      <c r="I40" s="2" t="s">
        <v>392</v>
      </c>
      <c r="J40" s="2"/>
      <c r="K40" s="4" t="n">
        <v>690.83</v>
      </c>
      <c r="L40" s="5" t="n">
        <f aca="false">IF(AND(ISNUMBER(K40),K40&gt;=0,G40="EUR"),ROUND(K40,2),IF(AND(ISNUMBER(K40),K40&gt;=0,G40="GBP"),ROUND(ROUND(K40,2)/0.85915,2),""))</f>
        <v>690.83</v>
      </c>
      <c r="M40" s="2" t="s">
        <v>201</v>
      </c>
      <c r="N40" s="2" t="s">
        <v>165</v>
      </c>
      <c r="O40" s="2" t="s">
        <v>188</v>
      </c>
      <c r="P40" s="2" t="s">
        <v>167</v>
      </c>
      <c r="Q40" s="6" t="s">
        <v>463</v>
      </c>
      <c r="R40" s="6" t="s">
        <v>464</v>
      </c>
      <c r="S40" s="2"/>
      <c r="T40" s="2"/>
      <c r="U40" s="2" t="s">
        <v>459</v>
      </c>
      <c r="V40" s="2" t="s">
        <v>460</v>
      </c>
      <c r="W40" s="2" t="s">
        <v>422</v>
      </c>
      <c r="X40" s="2" t="s">
        <v>173</v>
      </c>
    </row>
    <row r="41" customFormat="false" ht="66" hidden="false" customHeight="true" outlineLevel="0" collapsed="false">
      <c r="A41" s="3" t="s">
        <v>465</v>
      </c>
      <c r="B41" s="3" t="s">
        <v>88</v>
      </c>
      <c r="C41" s="3" t="s">
        <v>455</v>
      </c>
      <c r="D41" s="3" t="s">
        <v>466</v>
      </c>
      <c r="E41" s="3"/>
      <c r="F41" s="3" t="s">
        <v>366</v>
      </c>
      <c r="G41" s="3" t="s">
        <v>162</v>
      </c>
      <c r="H41" s="7" t="n">
        <v>909</v>
      </c>
      <c r="I41" s="3" t="s">
        <v>392</v>
      </c>
      <c r="J41" s="3"/>
      <c r="K41" s="7" t="n">
        <v>757.5</v>
      </c>
      <c r="L41" s="5" t="n">
        <f aca="false">IF(AND(ISNUMBER(K41),K41&gt;=0,G41="EUR"),ROUND(K41,2),IF(AND(ISNUMBER(K41),K41&gt;=0,G41="GBP"),ROUND(ROUND(K41,2)/0.85915,2),""))</f>
        <v>757.5</v>
      </c>
      <c r="M41" s="3" t="s">
        <v>201</v>
      </c>
      <c r="N41" s="3" t="s">
        <v>165</v>
      </c>
      <c r="O41" s="3" t="s">
        <v>188</v>
      </c>
      <c r="P41" s="3" t="s">
        <v>167</v>
      </c>
      <c r="Q41" s="8" t="s">
        <v>467</v>
      </c>
      <c r="R41" s="8" t="s">
        <v>468</v>
      </c>
      <c r="S41" s="3"/>
      <c r="T41" s="3"/>
      <c r="U41" s="3" t="s">
        <v>459</v>
      </c>
      <c r="V41" s="3" t="s">
        <v>460</v>
      </c>
      <c r="W41" s="3" t="s">
        <v>422</v>
      </c>
      <c r="X41" s="3" t="s">
        <v>173</v>
      </c>
    </row>
    <row r="42" customFormat="false" ht="66" hidden="false" customHeight="true" outlineLevel="0" collapsed="false">
      <c r="A42" s="2" t="s">
        <v>469</v>
      </c>
      <c r="B42" s="2" t="s">
        <v>470</v>
      </c>
      <c r="C42" s="2" t="s">
        <v>471</v>
      </c>
      <c r="D42" s="2" t="s">
        <v>472</v>
      </c>
      <c r="E42" s="2"/>
      <c r="F42" s="2" t="s">
        <v>366</v>
      </c>
      <c r="G42" s="2" t="s">
        <v>162</v>
      </c>
      <c r="H42" s="4" t="n">
        <v>795.9</v>
      </c>
      <c r="I42" s="2" t="s">
        <v>392</v>
      </c>
      <c r="J42" s="2"/>
      <c r="K42" s="4" t="n">
        <v>663.25</v>
      </c>
      <c r="L42" s="5" t="n">
        <f aca="false">IF(AND(ISNUMBER(K42),K42&gt;=0,G42="EUR"),ROUND(K42,2),IF(AND(ISNUMBER(K42),K42&gt;=0,G42="GBP"),ROUND(ROUND(K42,2)/0.85915,2),""))</f>
        <v>663.25</v>
      </c>
      <c r="M42" s="2" t="s">
        <v>201</v>
      </c>
      <c r="N42" s="2" t="s">
        <v>165</v>
      </c>
      <c r="O42" s="2" t="s">
        <v>188</v>
      </c>
      <c r="P42" s="2" t="s">
        <v>167</v>
      </c>
      <c r="Q42" s="6" t="s">
        <v>473</v>
      </c>
      <c r="R42" s="6" t="s">
        <v>474</v>
      </c>
      <c r="S42" s="2"/>
      <c r="T42" s="2"/>
      <c r="U42" s="2" t="s">
        <v>475</v>
      </c>
      <c r="V42" s="2" t="s">
        <v>476</v>
      </c>
      <c r="W42" s="2" t="s">
        <v>477</v>
      </c>
      <c r="X42" s="2" t="s">
        <v>173</v>
      </c>
    </row>
    <row r="43" customFormat="false" ht="66" hidden="false" customHeight="true" outlineLevel="0" collapsed="false">
      <c r="A43" s="3" t="s">
        <v>478</v>
      </c>
      <c r="B43" s="3" t="s">
        <v>479</v>
      </c>
      <c r="C43" s="3" t="s">
        <v>455</v>
      </c>
      <c r="D43" s="3" t="s">
        <v>480</v>
      </c>
      <c r="E43" s="3"/>
      <c r="F43" s="3" t="s">
        <v>366</v>
      </c>
      <c r="G43" s="3" t="s">
        <v>162</v>
      </c>
      <c r="H43" s="7" t="n">
        <v>140.4</v>
      </c>
      <c r="I43" s="3" t="s">
        <v>392</v>
      </c>
      <c r="J43" s="3"/>
      <c r="K43" s="7" t="n">
        <v>117</v>
      </c>
      <c r="L43" s="5" t="n">
        <f aca="false">IF(AND(ISNUMBER(K43),K43&gt;=0,G43="EUR"),ROUND(K43,2),IF(AND(ISNUMBER(K43),K43&gt;=0,G43="GBP"),ROUND(ROUND(K43,2)/0.85915,2),""))</f>
        <v>117</v>
      </c>
      <c r="M43" s="3" t="s">
        <v>201</v>
      </c>
      <c r="N43" s="3" t="s">
        <v>165</v>
      </c>
      <c r="O43" s="3" t="s">
        <v>188</v>
      </c>
      <c r="P43" s="3" t="s">
        <v>167</v>
      </c>
      <c r="Q43" s="8" t="s">
        <v>481</v>
      </c>
      <c r="R43" s="8" t="s">
        <v>482</v>
      </c>
      <c r="S43" s="3"/>
      <c r="T43" s="3"/>
      <c r="U43" s="3" t="s">
        <v>483</v>
      </c>
      <c r="V43" s="3" t="s">
        <v>484</v>
      </c>
      <c r="W43" s="3" t="s">
        <v>485</v>
      </c>
      <c r="X43" s="3" t="s">
        <v>173</v>
      </c>
    </row>
    <row r="44" customFormat="false" ht="66" hidden="false" customHeight="true" outlineLevel="0" collapsed="false">
      <c r="A44" s="2" t="s">
        <v>486</v>
      </c>
      <c r="B44" s="2" t="s">
        <v>479</v>
      </c>
      <c r="C44" s="2" t="s">
        <v>487</v>
      </c>
      <c r="D44" s="2" t="s">
        <v>488</v>
      </c>
      <c r="E44" s="2"/>
      <c r="F44" s="2" t="s">
        <v>366</v>
      </c>
      <c r="G44" s="2" t="s">
        <v>162</v>
      </c>
      <c r="H44" s="4" t="n">
        <v>33.5</v>
      </c>
      <c r="I44" s="2" t="s">
        <v>489</v>
      </c>
      <c r="J44" s="2"/>
      <c r="K44" s="2"/>
      <c r="L44" s="5" t="str">
        <f aca="false">IF(AND(ISNUMBER(K44),K44&gt;=0,G44="EUR"),ROUND(K44,2),IF(AND(ISNUMBER(K44),K44&gt;=0,G44="GBP"),ROUND(ROUND(K44,2)/0.85915,2),""))</f>
        <v/>
      </c>
      <c r="M44" s="2" t="s">
        <v>187</v>
      </c>
      <c r="N44" s="2" t="s">
        <v>165</v>
      </c>
      <c r="O44" s="2" t="s">
        <v>188</v>
      </c>
      <c r="P44" s="2" t="s">
        <v>167</v>
      </c>
      <c r="Q44" s="6" t="s">
        <v>490</v>
      </c>
      <c r="R44" s="6" t="s">
        <v>491</v>
      </c>
      <c r="S44" s="2"/>
      <c r="T44" s="2"/>
      <c r="U44" s="2" t="s">
        <v>492</v>
      </c>
      <c r="V44" s="2" t="s">
        <v>493</v>
      </c>
      <c r="W44" s="2" t="s">
        <v>494</v>
      </c>
      <c r="X44" s="2" t="s">
        <v>173</v>
      </c>
    </row>
    <row r="45" customFormat="false" ht="66" hidden="false" customHeight="true" outlineLevel="0" collapsed="false">
      <c r="A45" s="3" t="s">
        <v>495</v>
      </c>
      <c r="B45" s="3" t="s">
        <v>128</v>
      </c>
      <c r="C45" s="3" t="s">
        <v>496</v>
      </c>
      <c r="D45" s="3" t="s">
        <v>497</v>
      </c>
      <c r="E45" s="3"/>
      <c r="F45" s="3" t="s">
        <v>366</v>
      </c>
      <c r="G45" s="3" t="s">
        <v>199</v>
      </c>
      <c r="H45" s="7" t="n">
        <v>2412.08</v>
      </c>
      <c r="I45" s="3" t="s">
        <v>265</v>
      </c>
      <c r="J45" s="3"/>
      <c r="K45" s="7" t="n">
        <v>2412.08</v>
      </c>
      <c r="L45" s="5" t="n">
        <f aca="false">IF(AND(ISNUMBER(K45),K45&gt;=0,G45="EUR"),ROUND(K45,2),IF(AND(ISNUMBER(K45),K45&gt;=0,G45="GBP"),ROUND(ROUND(K45,2)/0.85915,2),""))</f>
        <v>2807.52</v>
      </c>
      <c r="M45" s="3" t="s">
        <v>201</v>
      </c>
      <c r="N45" s="3" t="s">
        <v>165</v>
      </c>
      <c r="O45" s="3" t="s">
        <v>188</v>
      </c>
      <c r="P45" s="3" t="s">
        <v>167</v>
      </c>
      <c r="Q45" s="8" t="s">
        <v>498</v>
      </c>
      <c r="R45" s="8" t="s">
        <v>499</v>
      </c>
      <c r="S45" s="3"/>
      <c r="T45" s="3"/>
      <c r="U45" s="3" t="s">
        <v>500</v>
      </c>
      <c r="V45" s="3" t="s">
        <v>501</v>
      </c>
      <c r="W45" s="3" t="s">
        <v>502</v>
      </c>
      <c r="X45" s="3" t="s">
        <v>173</v>
      </c>
    </row>
    <row r="46" customFormat="false" ht="66" hidden="false" customHeight="true" outlineLevel="0" collapsed="false">
      <c r="A46" s="2" t="s">
        <v>503</v>
      </c>
      <c r="B46" s="2" t="s">
        <v>128</v>
      </c>
      <c r="C46" s="2" t="s">
        <v>496</v>
      </c>
      <c r="D46" s="2" t="s">
        <v>504</v>
      </c>
      <c r="E46" s="2"/>
      <c r="F46" s="2" t="s">
        <v>366</v>
      </c>
      <c r="G46" s="2" t="s">
        <v>199</v>
      </c>
      <c r="H46" s="4" t="n">
        <v>2716.67</v>
      </c>
      <c r="I46" s="2" t="s">
        <v>265</v>
      </c>
      <c r="J46" s="2"/>
      <c r="K46" s="4" t="n">
        <v>2716.67</v>
      </c>
      <c r="L46" s="5" t="n">
        <f aca="false">IF(AND(ISNUMBER(K46),K46&gt;=0,G46="EUR"),ROUND(K46,2),IF(AND(ISNUMBER(K46),K46&gt;=0,G46="GBP"),ROUND(ROUND(K46,2)/0.85915,2),""))</f>
        <v>3162.04</v>
      </c>
      <c r="M46" s="2" t="s">
        <v>201</v>
      </c>
      <c r="N46" s="2" t="s">
        <v>165</v>
      </c>
      <c r="O46" s="2" t="s">
        <v>188</v>
      </c>
      <c r="P46" s="2" t="s">
        <v>167</v>
      </c>
      <c r="Q46" s="6" t="s">
        <v>505</v>
      </c>
      <c r="R46" s="2"/>
      <c r="S46" s="2"/>
      <c r="T46" s="2"/>
      <c r="U46" s="2" t="s">
        <v>500</v>
      </c>
      <c r="V46" s="2" t="s">
        <v>506</v>
      </c>
      <c r="W46" s="2" t="s">
        <v>507</v>
      </c>
      <c r="X46" s="2" t="s">
        <v>173</v>
      </c>
    </row>
    <row r="47" customFormat="false" ht="66" hidden="false" customHeight="true" outlineLevel="0" collapsed="false">
      <c r="A47" s="3" t="s">
        <v>508</v>
      </c>
      <c r="B47" s="3" t="s">
        <v>128</v>
      </c>
      <c r="C47" s="3" t="s">
        <v>496</v>
      </c>
      <c r="D47" s="3" t="s">
        <v>509</v>
      </c>
      <c r="E47" s="3"/>
      <c r="F47" s="3" t="s">
        <v>366</v>
      </c>
      <c r="G47" s="3" t="s">
        <v>199</v>
      </c>
      <c r="H47" s="7" t="n">
        <v>517.5</v>
      </c>
      <c r="I47" s="3" t="s">
        <v>265</v>
      </c>
      <c r="J47" s="3"/>
      <c r="K47" s="7" t="n">
        <v>517.5</v>
      </c>
      <c r="L47" s="5" t="n">
        <f aca="false">IF(AND(ISNUMBER(K47),K47&gt;=0,G47="EUR"),ROUND(K47,2),IF(AND(ISNUMBER(K47),K47&gt;=0,G47="GBP"),ROUND(ROUND(K47,2)/0.85915,2),""))</f>
        <v>602.34</v>
      </c>
      <c r="M47" s="3" t="s">
        <v>201</v>
      </c>
      <c r="N47" s="3" t="s">
        <v>165</v>
      </c>
      <c r="O47" s="3" t="s">
        <v>188</v>
      </c>
      <c r="P47" s="3" t="s">
        <v>167</v>
      </c>
      <c r="Q47" s="8" t="s">
        <v>498</v>
      </c>
      <c r="R47" s="3"/>
      <c r="S47" s="3"/>
      <c r="T47" s="3"/>
      <c r="U47" s="3" t="s">
        <v>500</v>
      </c>
      <c r="V47" s="3" t="s">
        <v>510</v>
      </c>
      <c r="W47" s="3" t="s">
        <v>507</v>
      </c>
      <c r="X47" s="3" t="s">
        <v>173</v>
      </c>
    </row>
    <row r="48" customFormat="false" ht="66" hidden="false" customHeight="true" outlineLevel="0" collapsed="false">
      <c r="A48" s="2" t="s">
        <v>511</v>
      </c>
      <c r="B48" s="2" t="s">
        <v>128</v>
      </c>
      <c r="C48" s="2" t="s">
        <v>496</v>
      </c>
      <c r="D48" s="2" t="s">
        <v>512</v>
      </c>
      <c r="E48" s="2"/>
      <c r="F48" s="2" t="s">
        <v>366</v>
      </c>
      <c r="G48" s="2" t="s">
        <v>199</v>
      </c>
      <c r="H48" s="4" t="n">
        <v>487.92</v>
      </c>
      <c r="I48" s="2" t="s">
        <v>265</v>
      </c>
      <c r="J48" s="2"/>
      <c r="K48" s="4" t="n">
        <v>487.92</v>
      </c>
      <c r="L48" s="5" t="n">
        <f aca="false">IF(AND(ISNUMBER(K48),K48&gt;=0,G48="EUR"),ROUND(K48,2),IF(AND(ISNUMBER(K48),K48&gt;=0,G48="GBP"),ROUND(ROUND(K48,2)/0.85915,2),""))</f>
        <v>567.91</v>
      </c>
      <c r="M48" s="2" t="s">
        <v>201</v>
      </c>
      <c r="N48" s="2" t="s">
        <v>165</v>
      </c>
      <c r="O48" s="2" t="s">
        <v>188</v>
      </c>
      <c r="P48" s="2" t="s">
        <v>167</v>
      </c>
      <c r="Q48" s="6" t="s">
        <v>498</v>
      </c>
      <c r="R48" s="2"/>
      <c r="S48" s="2"/>
      <c r="T48" s="2"/>
      <c r="U48" s="2" t="s">
        <v>500</v>
      </c>
      <c r="V48" s="2" t="s">
        <v>513</v>
      </c>
      <c r="W48" s="2" t="s">
        <v>507</v>
      </c>
      <c r="X48" s="2" t="s">
        <v>173</v>
      </c>
    </row>
    <row r="49" customFormat="false" ht="66" hidden="false" customHeight="true" outlineLevel="0" collapsed="false">
      <c r="A49" s="3" t="s">
        <v>514</v>
      </c>
      <c r="B49" s="3" t="s">
        <v>128</v>
      </c>
      <c r="C49" s="3" t="s">
        <v>496</v>
      </c>
      <c r="D49" s="3" t="s">
        <v>515</v>
      </c>
      <c r="E49" s="3"/>
      <c r="F49" s="3" t="s">
        <v>366</v>
      </c>
      <c r="G49" s="3" t="s">
        <v>199</v>
      </c>
      <c r="H49" s="7" t="n">
        <v>715.83</v>
      </c>
      <c r="I49" s="3" t="s">
        <v>265</v>
      </c>
      <c r="J49" s="3"/>
      <c r="K49" s="7" t="n">
        <v>715.83</v>
      </c>
      <c r="L49" s="5" t="n">
        <f aca="false">IF(AND(ISNUMBER(K49),K49&gt;=0,G49="EUR"),ROUND(K49,2),IF(AND(ISNUMBER(K49),K49&gt;=0,G49="GBP"),ROUND(ROUND(K49,2)/0.85915,2),""))</f>
        <v>833.18</v>
      </c>
      <c r="M49" s="3" t="s">
        <v>201</v>
      </c>
      <c r="N49" s="3" t="s">
        <v>165</v>
      </c>
      <c r="O49" s="3" t="s">
        <v>188</v>
      </c>
      <c r="P49" s="3" t="s">
        <v>167</v>
      </c>
      <c r="Q49" s="8" t="s">
        <v>505</v>
      </c>
      <c r="R49" s="3"/>
      <c r="S49" s="3"/>
      <c r="T49" s="3"/>
      <c r="U49" s="3" t="s">
        <v>500</v>
      </c>
      <c r="V49" s="3" t="s">
        <v>516</v>
      </c>
      <c r="W49" s="3" t="s">
        <v>507</v>
      </c>
      <c r="X49" s="3" t="s">
        <v>173</v>
      </c>
    </row>
    <row r="50" customFormat="false" ht="66" hidden="false" customHeight="true" outlineLevel="0" collapsed="false">
      <c r="A50" s="2" t="s">
        <v>517</v>
      </c>
      <c r="B50" s="2" t="s">
        <v>128</v>
      </c>
      <c r="C50" s="2" t="s">
        <v>496</v>
      </c>
      <c r="D50" s="2" t="s">
        <v>518</v>
      </c>
      <c r="E50" s="2"/>
      <c r="F50" s="2" t="s">
        <v>366</v>
      </c>
      <c r="G50" s="2" t="s">
        <v>199</v>
      </c>
      <c r="H50" s="4" t="n">
        <v>300.83</v>
      </c>
      <c r="I50" s="2" t="s">
        <v>265</v>
      </c>
      <c r="J50" s="2"/>
      <c r="K50" s="4" t="n">
        <v>300.83</v>
      </c>
      <c r="L50" s="5" t="n">
        <f aca="false">IF(AND(ISNUMBER(K50),K50&gt;=0,G50="EUR"),ROUND(K50,2),IF(AND(ISNUMBER(K50),K50&gt;=0,G50="GBP"),ROUND(ROUND(K50,2)/0.85915,2),""))</f>
        <v>350.15</v>
      </c>
      <c r="M50" s="2" t="s">
        <v>201</v>
      </c>
      <c r="N50" s="2" t="s">
        <v>165</v>
      </c>
      <c r="O50" s="2" t="s">
        <v>188</v>
      </c>
      <c r="P50" s="2" t="s">
        <v>167</v>
      </c>
      <c r="Q50" s="6" t="s">
        <v>498</v>
      </c>
      <c r="R50" s="2"/>
      <c r="S50" s="2"/>
      <c r="T50" s="2"/>
      <c r="U50" s="2" t="s">
        <v>519</v>
      </c>
      <c r="V50" s="2" t="s">
        <v>520</v>
      </c>
      <c r="W50" s="2" t="s">
        <v>507</v>
      </c>
      <c r="X50" s="2" t="s">
        <v>173</v>
      </c>
    </row>
    <row r="51" customFormat="false" ht="66" hidden="false" customHeight="true" outlineLevel="0" collapsed="false">
      <c r="A51" s="3" t="s">
        <v>521</v>
      </c>
      <c r="B51" s="3" t="s">
        <v>128</v>
      </c>
      <c r="C51" s="3" t="s">
        <v>522</v>
      </c>
      <c r="D51" s="3" t="s">
        <v>523</v>
      </c>
      <c r="E51" s="3"/>
      <c r="F51" s="3" t="s">
        <v>366</v>
      </c>
      <c r="G51" s="3" t="s">
        <v>162</v>
      </c>
      <c r="H51" s="3"/>
      <c r="I51" s="3" t="s">
        <v>186</v>
      </c>
      <c r="J51" s="3"/>
      <c r="K51" s="3"/>
      <c r="L51" s="5" t="str">
        <f aca="false">IF(AND(ISNUMBER(K51),K51&gt;=0,G51="EUR"),ROUND(K51,2),IF(AND(ISNUMBER(K51),K51&gt;=0,G51="GBP"),ROUND(ROUND(K51,2)/0.85915,2),""))</f>
        <v/>
      </c>
      <c r="M51" s="3" t="s">
        <v>187</v>
      </c>
      <c r="N51" s="3" t="s">
        <v>165</v>
      </c>
      <c r="O51" s="3" t="s">
        <v>188</v>
      </c>
      <c r="P51" s="3" t="s">
        <v>167</v>
      </c>
      <c r="Q51" s="3"/>
      <c r="R51" s="8" t="s">
        <v>524</v>
      </c>
      <c r="S51" s="3" t="s">
        <v>525</v>
      </c>
      <c r="T51" s="7" t="n">
        <v>55</v>
      </c>
      <c r="U51" s="3" t="s">
        <v>526</v>
      </c>
      <c r="V51" s="3" t="s">
        <v>527</v>
      </c>
      <c r="W51" s="3" t="s">
        <v>507</v>
      </c>
      <c r="X51" s="3" t="s">
        <v>173</v>
      </c>
    </row>
    <row r="52" customFormat="false" ht="66" hidden="false" customHeight="true" outlineLevel="0" collapsed="false">
      <c r="A52" s="2" t="s">
        <v>528</v>
      </c>
      <c r="B52" s="2" t="s">
        <v>128</v>
      </c>
      <c r="C52" s="2" t="s">
        <v>529</v>
      </c>
      <c r="D52" s="2" t="s">
        <v>530</v>
      </c>
      <c r="E52" s="2"/>
      <c r="F52" s="2" t="s">
        <v>366</v>
      </c>
      <c r="G52" s="2" t="s">
        <v>162</v>
      </c>
      <c r="H52" s="2"/>
      <c r="I52" s="2" t="s">
        <v>186</v>
      </c>
      <c r="J52" s="2"/>
      <c r="K52" s="2"/>
      <c r="L52" s="5" t="str">
        <f aca="false">IF(AND(ISNUMBER(K52),K52&gt;=0,G52="EUR"),ROUND(K52,2),IF(AND(ISNUMBER(K52),K52&gt;=0,G52="GBP"),ROUND(ROUND(K52,2)/0.85915,2),""))</f>
        <v/>
      </c>
      <c r="M52" s="2" t="s">
        <v>187</v>
      </c>
      <c r="N52" s="2" t="s">
        <v>165</v>
      </c>
      <c r="O52" s="2" t="s">
        <v>188</v>
      </c>
      <c r="P52" s="2" t="s">
        <v>167</v>
      </c>
      <c r="Q52" s="2"/>
      <c r="R52" s="6" t="s">
        <v>531</v>
      </c>
      <c r="S52" s="2" t="s">
        <v>532</v>
      </c>
      <c r="T52" s="4" t="n">
        <v>63.5</v>
      </c>
      <c r="U52" s="2" t="s">
        <v>533</v>
      </c>
      <c r="V52" s="2" t="s">
        <v>534</v>
      </c>
      <c r="W52" s="2" t="s">
        <v>507</v>
      </c>
      <c r="X52" s="2" t="s">
        <v>173</v>
      </c>
    </row>
    <row r="53" customFormat="false" ht="66" hidden="false" customHeight="true" outlineLevel="0" collapsed="false">
      <c r="A53" s="3" t="s">
        <v>535</v>
      </c>
      <c r="B53" s="3" t="s">
        <v>536</v>
      </c>
      <c r="C53" s="3" t="s">
        <v>537</v>
      </c>
      <c r="D53" s="3" t="s">
        <v>538</v>
      </c>
      <c r="E53" s="3"/>
      <c r="F53" s="3" t="s">
        <v>366</v>
      </c>
      <c r="G53" s="3" t="s">
        <v>162</v>
      </c>
      <c r="H53" s="7" t="n">
        <v>2199.9</v>
      </c>
      <c r="I53" s="3" t="s">
        <v>539</v>
      </c>
      <c r="J53" s="7" t="n">
        <v>19</v>
      </c>
      <c r="K53" s="7" t="n">
        <v>1848.66</v>
      </c>
      <c r="L53" s="5" t="n">
        <f aca="false">IF(AND(ISNUMBER(K53),K53&gt;=0,G53="EUR"),ROUND(K53,2),IF(AND(ISNUMBER(K53),K53&gt;=0,G53="GBP"),ROUND(ROUND(K53,2)/0.85915,2),""))</f>
        <v>1848.66</v>
      </c>
      <c r="M53" s="3" t="s">
        <v>540</v>
      </c>
      <c r="N53" s="3" t="s">
        <v>165</v>
      </c>
      <c r="O53" s="3" t="s">
        <v>188</v>
      </c>
      <c r="P53" s="3" t="s">
        <v>167</v>
      </c>
      <c r="Q53" s="8" t="s">
        <v>541</v>
      </c>
      <c r="R53" s="8" t="s">
        <v>542</v>
      </c>
      <c r="S53" s="3"/>
      <c r="T53" s="3"/>
      <c r="U53" s="3" t="s">
        <v>543</v>
      </c>
      <c r="V53" s="3" t="s">
        <v>544</v>
      </c>
      <c r="W53" s="3" t="s">
        <v>545</v>
      </c>
      <c r="X53" s="3" t="s">
        <v>173</v>
      </c>
    </row>
    <row r="54" customFormat="false" ht="66" hidden="false" customHeight="true" outlineLevel="0" collapsed="false">
      <c r="A54" s="2" t="s">
        <v>546</v>
      </c>
      <c r="B54" s="2" t="s">
        <v>547</v>
      </c>
      <c r="C54" s="2" t="s">
        <v>496</v>
      </c>
      <c r="D54" s="2" t="s">
        <v>548</v>
      </c>
      <c r="E54" s="2"/>
      <c r="F54" s="2" t="s">
        <v>366</v>
      </c>
      <c r="G54" s="2" t="s">
        <v>199</v>
      </c>
      <c r="H54" s="4" t="n">
        <v>81.67</v>
      </c>
      <c r="I54" s="2" t="s">
        <v>265</v>
      </c>
      <c r="J54" s="2"/>
      <c r="K54" s="4" t="n">
        <v>81.67</v>
      </c>
      <c r="L54" s="5" t="n">
        <f aca="false">IF(AND(ISNUMBER(K54),K54&gt;=0,G54="EUR"),ROUND(K54,2),IF(AND(ISNUMBER(K54),K54&gt;=0,G54="GBP"),ROUND(ROUND(K54,2)/0.85915,2),""))</f>
        <v>95.06</v>
      </c>
      <c r="M54" s="2" t="s">
        <v>201</v>
      </c>
      <c r="N54" s="2" t="s">
        <v>165</v>
      </c>
      <c r="O54" s="2" t="s">
        <v>188</v>
      </c>
      <c r="P54" s="2" t="s">
        <v>167</v>
      </c>
      <c r="Q54" s="6" t="s">
        <v>549</v>
      </c>
      <c r="R54" s="2"/>
      <c r="S54" s="2"/>
      <c r="T54" s="2"/>
      <c r="U54" s="2" t="s">
        <v>550</v>
      </c>
      <c r="V54" s="2" t="s">
        <v>551</v>
      </c>
      <c r="W54" s="2" t="s">
        <v>552</v>
      </c>
      <c r="X54" s="2" t="s">
        <v>173</v>
      </c>
    </row>
    <row r="55" customFormat="false" ht="66" hidden="false" customHeight="true" outlineLevel="0" collapsed="false">
      <c r="A55" s="3" t="s">
        <v>553</v>
      </c>
      <c r="B55" s="3" t="s">
        <v>547</v>
      </c>
      <c r="C55" s="3" t="s">
        <v>496</v>
      </c>
      <c r="D55" s="3" t="s">
        <v>554</v>
      </c>
      <c r="E55" s="3"/>
      <c r="F55" s="3" t="s">
        <v>366</v>
      </c>
      <c r="G55" s="3" t="s">
        <v>162</v>
      </c>
      <c r="H55" s="7" t="n">
        <v>164.46</v>
      </c>
      <c r="I55" s="3" t="s">
        <v>265</v>
      </c>
      <c r="J55" s="3"/>
      <c r="K55" s="7" t="n">
        <v>164.46</v>
      </c>
      <c r="L55" s="5" t="n">
        <f aca="false">IF(AND(ISNUMBER(K55),K55&gt;=0,G55="EUR"),ROUND(K55,2),IF(AND(ISNUMBER(K55),K55&gt;=0,G55="GBP"),ROUND(ROUND(K55,2)/0.85915,2),""))</f>
        <v>164.46</v>
      </c>
      <c r="M55" s="3" t="s">
        <v>201</v>
      </c>
      <c r="N55" s="3" t="s">
        <v>165</v>
      </c>
      <c r="O55" s="3" t="s">
        <v>188</v>
      </c>
      <c r="P55" s="3" t="s">
        <v>167</v>
      </c>
      <c r="Q55" s="8" t="s">
        <v>555</v>
      </c>
      <c r="R55" s="3"/>
      <c r="S55" s="3"/>
      <c r="T55" s="3"/>
      <c r="U55" s="3" t="s">
        <v>550</v>
      </c>
      <c r="V55" s="3" t="s">
        <v>556</v>
      </c>
      <c r="W55" s="3" t="s">
        <v>507</v>
      </c>
      <c r="X55" s="3" t="s">
        <v>173</v>
      </c>
    </row>
    <row r="56" customFormat="false" ht="66" hidden="false" customHeight="true" outlineLevel="0" collapsed="false">
      <c r="A56" s="2" t="s">
        <v>557</v>
      </c>
      <c r="B56" s="2" t="s">
        <v>558</v>
      </c>
      <c r="C56" s="2" t="s">
        <v>559</v>
      </c>
      <c r="D56" s="2" t="s">
        <v>560</v>
      </c>
      <c r="E56" s="2"/>
      <c r="F56" s="2" t="s">
        <v>366</v>
      </c>
      <c r="G56" s="2" t="s">
        <v>199</v>
      </c>
      <c r="H56" s="4" t="n">
        <v>107.24</v>
      </c>
      <c r="I56" s="2" t="s">
        <v>265</v>
      </c>
      <c r="J56" s="2"/>
      <c r="K56" s="4" t="n">
        <v>107.24</v>
      </c>
      <c r="L56" s="5" t="n">
        <f aca="false">IF(AND(ISNUMBER(K56),K56&gt;=0,G56="EUR"),ROUND(K56,2),IF(AND(ISNUMBER(K56),K56&gt;=0,G56="GBP"),ROUND(ROUND(K56,2)/0.85915,2),""))</f>
        <v>124.82</v>
      </c>
      <c r="M56" s="2" t="s">
        <v>201</v>
      </c>
      <c r="N56" s="2" t="s">
        <v>165</v>
      </c>
      <c r="O56" s="2" t="s">
        <v>188</v>
      </c>
      <c r="P56" s="2" t="s">
        <v>167</v>
      </c>
      <c r="Q56" s="6" t="s">
        <v>561</v>
      </c>
      <c r="R56" s="6" t="s">
        <v>562</v>
      </c>
      <c r="S56" s="2" t="s">
        <v>563</v>
      </c>
      <c r="T56" s="2"/>
      <c r="U56" s="2" t="s">
        <v>550</v>
      </c>
      <c r="V56" s="2" t="s">
        <v>564</v>
      </c>
      <c r="W56" s="2" t="s">
        <v>507</v>
      </c>
      <c r="X56" s="2" t="s">
        <v>173</v>
      </c>
    </row>
    <row r="57" customFormat="false" ht="66" hidden="false" customHeight="true" outlineLevel="0" collapsed="false">
      <c r="A57" s="3" t="s">
        <v>565</v>
      </c>
      <c r="B57" s="3" t="s">
        <v>558</v>
      </c>
      <c r="C57" s="3" t="s">
        <v>566</v>
      </c>
      <c r="D57" s="3" t="s">
        <v>567</v>
      </c>
      <c r="E57" s="3"/>
      <c r="F57" s="3" t="s">
        <v>366</v>
      </c>
      <c r="G57" s="3" t="s">
        <v>199</v>
      </c>
      <c r="H57" s="7" t="n">
        <v>55.1</v>
      </c>
      <c r="I57" s="3" t="s">
        <v>265</v>
      </c>
      <c r="J57" s="3"/>
      <c r="K57" s="7" t="n">
        <v>55.1</v>
      </c>
      <c r="L57" s="5" t="n">
        <f aca="false">IF(AND(ISNUMBER(K57),K57&gt;=0,G57="EUR"),ROUND(K57,2),IF(AND(ISNUMBER(K57),K57&gt;=0,G57="GBP"),ROUND(ROUND(K57,2)/0.85915,2),""))</f>
        <v>64.13</v>
      </c>
      <c r="M57" s="3" t="s">
        <v>201</v>
      </c>
      <c r="N57" s="3" t="s">
        <v>165</v>
      </c>
      <c r="O57" s="3" t="s">
        <v>188</v>
      </c>
      <c r="P57" s="3" t="s">
        <v>167</v>
      </c>
      <c r="Q57" s="8" t="s">
        <v>568</v>
      </c>
      <c r="R57" s="3"/>
      <c r="S57" s="3"/>
      <c r="T57" s="3"/>
      <c r="U57" s="3" t="s">
        <v>550</v>
      </c>
      <c r="V57" s="3" t="s">
        <v>569</v>
      </c>
      <c r="W57" s="3" t="s">
        <v>507</v>
      </c>
      <c r="X57" s="3" t="s">
        <v>173</v>
      </c>
    </row>
    <row r="58" customFormat="false" ht="66" hidden="false" customHeight="true" outlineLevel="0" collapsed="false">
      <c r="A58" s="2" t="s">
        <v>570</v>
      </c>
      <c r="B58" s="2" t="s">
        <v>558</v>
      </c>
      <c r="C58" s="2" t="s">
        <v>559</v>
      </c>
      <c r="D58" s="2" t="s">
        <v>571</v>
      </c>
      <c r="E58" s="2"/>
      <c r="F58" s="2" t="s">
        <v>366</v>
      </c>
      <c r="G58" s="2" t="s">
        <v>199</v>
      </c>
      <c r="H58" s="4" t="n">
        <v>73.19</v>
      </c>
      <c r="I58" s="2" t="s">
        <v>265</v>
      </c>
      <c r="J58" s="2"/>
      <c r="K58" s="4" t="n">
        <v>73.19</v>
      </c>
      <c r="L58" s="5" t="n">
        <f aca="false">IF(AND(ISNUMBER(K58),K58&gt;=0,G58="EUR"),ROUND(K58,2),IF(AND(ISNUMBER(K58),K58&gt;=0,G58="GBP"),ROUND(ROUND(K58,2)/0.85915,2),""))</f>
        <v>85.19</v>
      </c>
      <c r="M58" s="2" t="s">
        <v>201</v>
      </c>
      <c r="N58" s="2" t="s">
        <v>165</v>
      </c>
      <c r="O58" s="2" t="s">
        <v>188</v>
      </c>
      <c r="P58" s="2" t="s">
        <v>167</v>
      </c>
      <c r="Q58" s="6" t="s">
        <v>561</v>
      </c>
      <c r="R58" s="2"/>
      <c r="S58" s="2"/>
      <c r="T58" s="2"/>
      <c r="U58" s="2" t="s">
        <v>550</v>
      </c>
      <c r="V58" s="2" t="s">
        <v>572</v>
      </c>
      <c r="W58" s="2" t="s">
        <v>507</v>
      </c>
      <c r="X58" s="2" t="s">
        <v>173</v>
      </c>
    </row>
    <row r="59" customFormat="false" ht="66" hidden="false" customHeight="true" outlineLevel="0" collapsed="false">
      <c r="A59" s="3" t="s">
        <v>573</v>
      </c>
      <c r="B59" s="3" t="s">
        <v>574</v>
      </c>
      <c r="C59" s="3" t="s">
        <v>487</v>
      </c>
      <c r="D59" s="3" t="s">
        <v>575</v>
      </c>
      <c r="E59" s="3"/>
      <c r="F59" s="3" t="s">
        <v>366</v>
      </c>
      <c r="G59" s="3" t="s">
        <v>199</v>
      </c>
      <c r="H59" s="7" t="n">
        <v>224.42</v>
      </c>
      <c r="I59" s="3" t="s">
        <v>576</v>
      </c>
      <c r="J59" s="3"/>
      <c r="K59" s="3"/>
      <c r="L59" s="5" t="str">
        <f aca="false">IF(AND(ISNUMBER(K59),K59&gt;=0,G59="EUR"),ROUND(K59,2),IF(AND(ISNUMBER(K59),K59&gt;=0,G59="GBP"),ROUND(ROUND(K59,2)/0.85915,2),""))</f>
        <v/>
      </c>
      <c r="M59" s="3" t="s">
        <v>187</v>
      </c>
      <c r="N59" s="3" t="s">
        <v>165</v>
      </c>
      <c r="O59" s="3" t="s">
        <v>188</v>
      </c>
      <c r="P59" s="3" t="s">
        <v>167</v>
      </c>
      <c r="Q59" s="8" t="s">
        <v>577</v>
      </c>
      <c r="R59" s="8" t="s">
        <v>578</v>
      </c>
      <c r="S59" s="3"/>
      <c r="T59" s="7" t="n">
        <v>3.18</v>
      </c>
      <c r="U59" s="3" t="s">
        <v>579</v>
      </c>
      <c r="V59" s="3" t="s">
        <v>580</v>
      </c>
      <c r="W59" s="3" t="s">
        <v>581</v>
      </c>
      <c r="X59" s="3" t="s">
        <v>173</v>
      </c>
    </row>
    <row r="60" customFormat="false" ht="66" hidden="false" customHeight="true" outlineLevel="0" collapsed="false">
      <c r="A60" s="2" t="s">
        <v>582</v>
      </c>
      <c r="B60" s="2" t="s">
        <v>583</v>
      </c>
      <c r="C60" s="2" t="s">
        <v>584</v>
      </c>
      <c r="D60" s="2" t="s">
        <v>585</v>
      </c>
      <c r="E60" s="2"/>
      <c r="F60" s="2" t="s">
        <v>366</v>
      </c>
      <c r="G60" s="2" t="s">
        <v>199</v>
      </c>
      <c r="H60" s="4" t="n">
        <v>162</v>
      </c>
      <c r="I60" s="2" t="s">
        <v>265</v>
      </c>
      <c r="J60" s="2"/>
      <c r="K60" s="4" t="n">
        <v>162</v>
      </c>
      <c r="L60" s="5" t="n">
        <f aca="false">IF(AND(ISNUMBER(K60),K60&gt;=0,G60="EUR"),ROUND(K60,2),IF(AND(ISNUMBER(K60),K60&gt;=0,G60="GBP"),ROUND(ROUND(K60,2)/0.85915,2),""))</f>
        <v>188.56</v>
      </c>
      <c r="M60" s="2" t="s">
        <v>201</v>
      </c>
      <c r="N60" s="2" t="s">
        <v>165</v>
      </c>
      <c r="O60" s="2" t="s">
        <v>188</v>
      </c>
      <c r="P60" s="2" t="s">
        <v>167</v>
      </c>
      <c r="Q60" s="6" t="s">
        <v>586</v>
      </c>
      <c r="R60" s="6" t="s">
        <v>587</v>
      </c>
      <c r="S60" s="2"/>
      <c r="T60" s="2"/>
      <c r="U60" s="2" t="s">
        <v>550</v>
      </c>
      <c r="V60" s="2" t="s">
        <v>588</v>
      </c>
      <c r="W60" s="2" t="s">
        <v>507</v>
      </c>
      <c r="X60" s="2" t="s">
        <v>173</v>
      </c>
    </row>
    <row r="61" customFormat="false" ht="66" hidden="false" customHeight="true" outlineLevel="0" collapsed="false">
      <c r="A61" s="3" t="s">
        <v>589</v>
      </c>
      <c r="B61" s="3" t="s">
        <v>590</v>
      </c>
      <c r="C61" s="3" t="s">
        <v>496</v>
      </c>
      <c r="D61" s="3" t="s">
        <v>591</v>
      </c>
      <c r="E61" s="3"/>
      <c r="F61" s="3" t="s">
        <v>366</v>
      </c>
      <c r="G61" s="3" t="s">
        <v>199</v>
      </c>
      <c r="H61" s="7" t="n">
        <v>61.67</v>
      </c>
      <c r="I61" s="3" t="s">
        <v>265</v>
      </c>
      <c r="J61" s="3"/>
      <c r="K61" s="7" t="n">
        <v>61.67</v>
      </c>
      <c r="L61" s="5" t="n">
        <f aca="false">IF(AND(ISNUMBER(K61),K61&gt;=0,G61="EUR"),ROUND(K61,2),IF(AND(ISNUMBER(K61),K61&gt;=0,G61="GBP"),ROUND(ROUND(K61,2)/0.85915,2),""))</f>
        <v>71.78</v>
      </c>
      <c r="M61" s="3" t="s">
        <v>201</v>
      </c>
      <c r="N61" s="3" t="s">
        <v>165</v>
      </c>
      <c r="O61" s="3" t="s">
        <v>188</v>
      </c>
      <c r="P61" s="3" t="s">
        <v>167</v>
      </c>
      <c r="Q61" s="8" t="s">
        <v>592</v>
      </c>
      <c r="R61" s="3"/>
      <c r="S61" s="3"/>
      <c r="T61" s="3"/>
      <c r="U61" s="3" t="s">
        <v>550</v>
      </c>
      <c r="V61" s="3" t="s">
        <v>593</v>
      </c>
      <c r="W61" s="3" t="s">
        <v>507</v>
      </c>
      <c r="X61" s="3" t="s">
        <v>173</v>
      </c>
    </row>
    <row r="62" customFormat="false" ht="66" hidden="false" customHeight="true" outlineLevel="0" collapsed="false">
      <c r="A62" s="2" t="s">
        <v>594</v>
      </c>
      <c r="B62" s="2" t="s">
        <v>590</v>
      </c>
      <c r="C62" s="2" t="s">
        <v>496</v>
      </c>
      <c r="D62" s="2" t="s">
        <v>595</v>
      </c>
      <c r="E62" s="2"/>
      <c r="F62" s="2" t="s">
        <v>366</v>
      </c>
      <c r="G62" s="2" t="s">
        <v>199</v>
      </c>
      <c r="H62" s="4" t="n">
        <v>161.25</v>
      </c>
      <c r="I62" s="2" t="s">
        <v>265</v>
      </c>
      <c r="J62" s="2"/>
      <c r="K62" s="4" t="n">
        <v>161.25</v>
      </c>
      <c r="L62" s="5" t="n">
        <f aca="false">IF(AND(ISNUMBER(K62),K62&gt;=0,G62="EUR"),ROUND(K62,2),IF(AND(ISNUMBER(K62),K62&gt;=0,G62="GBP"),ROUND(ROUND(K62,2)/0.85915,2),""))</f>
        <v>187.69</v>
      </c>
      <c r="M62" s="2" t="s">
        <v>201</v>
      </c>
      <c r="N62" s="2" t="s">
        <v>165</v>
      </c>
      <c r="O62" s="2" t="s">
        <v>188</v>
      </c>
      <c r="P62" s="2" t="s">
        <v>167</v>
      </c>
      <c r="Q62" s="6" t="s">
        <v>592</v>
      </c>
      <c r="R62" s="2"/>
      <c r="S62" s="2"/>
      <c r="T62" s="2"/>
      <c r="U62" s="2" t="s">
        <v>550</v>
      </c>
      <c r="V62" s="2" t="s">
        <v>596</v>
      </c>
      <c r="W62" s="2" t="s">
        <v>507</v>
      </c>
      <c r="X62" s="2" t="s">
        <v>173</v>
      </c>
    </row>
    <row r="63" customFormat="false" ht="66" hidden="false" customHeight="true" outlineLevel="0" collapsed="false">
      <c r="A63" s="3" t="s">
        <v>597</v>
      </c>
      <c r="B63" s="3" t="s">
        <v>598</v>
      </c>
      <c r="C63" s="3" t="s">
        <v>487</v>
      </c>
      <c r="D63" s="3" t="s">
        <v>599</v>
      </c>
      <c r="E63" s="3"/>
      <c r="F63" s="3" t="s">
        <v>366</v>
      </c>
      <c r="G63" s="3" t="s">
        <v>199</v>
      </c>
      <c r="H63" s="7" t="n">
        <v>141.63</v>
      </c>
      <c r="I63" s="3" t="s">
        <v>265</v>
      </c>
      <c r="J63" s="3"/>
      <c r="K63" s="7" t="n">
        <v>141.63</v>
      </c>
      <c r="L63" s="5" t="n">
        <f aca="false">IF(AND(ISNUMBER(K63),K63&gt;=0,G63="EUR"),ROUND(K63,2),IF(AND(ISNUMBER(K63),K63&gt;=0,G63="GBP"),ROUND(ROUND(K63,2)/0.85915,2),""))</f>
        <v>164.85</v>
      </c>
      <c r="M63" s="3" t="s">
        <v>201</v>
      </c>
      <c r="N63" s="3" t="s">
        <v>165</v>
      </c>
      <c r="O63" s="3" t="s">
        <v>188</v>
      </c>
      <c r="P63" s="3" t="s">
        <v>167</v>
      </c>
      <c r="Q63" s="8" t="s">
        <v>600</v>
      </c>
      <c r="R63" s="3"/>
      <c r="S63" s="3"/>
      <c r="T63" s="3"/>
      <c r="U63" s="3" t="s">
        <v>550</v>
      </c>
      <c r="V63" s="3" t="s">
        <v>601</v>
      </c>
      <c r="W63" s="3" t="s">
        <v>602</v>
      </c>
      <c r="X63" s="3" t="s">
        <v>173</v>
      </c>
    </row>
    <row r="64" customFormat="false" ht="66" hidden="false" customHeight="true" outlineLevel="0" collapsed="false">
      <c r="A64" s="2" t="s">
        <v>603</v>
      </c>
      <c r="B64" s="2" t="s">
        <v>604</v>
      </c>
      <c r="C64" s="2" t="s">
        <v>605</v>
      </c>
      <c r="D64" s="2" t="s">
        <v>606</v>
      </c>
      <c r="E64" s="2"/>
      <c r="F64" s="2" t="s">
        <v>366</v>
      </c>
      <c r="G64" s="2" t="s">
        <v>162</v>
      </c>
      <c r="H64" s="4" t="n">
        <v>1950</v>
      </c>
      <c r="I64" s="2" t="s">
        <v>576</v>
      </c>
      <c r="J64" s="2"/>
      <c r="K64" s="2"/>
      <c r="L64" s="5" t="str">
        <f aca="false">IF(AND(ISNUMBER(K64),K64&gt;=0,G64="EUR"),ROUND(K64,2),IF(AND(ISNUMBER(K64),K64&gt;=0,G64="GBP"),ROUND(ROUND(K64,2)/0.85915,2),""))</f>
        <v/>
      </c>
      <c r="M64" s="2" t="s">
        <v>187</v>
      </c>
      <c r="N64" s="2" t="s">
        <v>165</v>
      </c>
      <c r="O64" s="2" t="s">
        <v>188</v>
      </c>
      <c r="P64" s="2" t="s">
        <v>167</v>
      </c>
      <c r="Q64" s="6" t="s">
        <v>607</v>
      </c>
      <c r="R64" s="6" t="s">
        <v>608</v>
      </c>
      <c r="S64" s="2"/>
      <c r="T64" s="2"/>
      <c r="U64" s="2" t="s">
        <v>609</v>
      </c>
      <c r="V64" s="2" t="s">
        <v>610</v>
      </c>
      <c r="W64" s="2" t="s">
        <v>507</v>
      </c>
      <c r="X64" s="2" t="s">
        <v>173</v>
      </c>
    </row>
    <row r="65" customFormat="false" ht="66" hidden="false" customHeight="true" outlineLevel="0" collapsed="false">
      <c r="A65" s="3" t="s">
        <v>611</v>
      </c>
      <c r="B65" s="3" t="s">
        <v>612</v>
      </c>
      <c r="C65" s="3" t="s">
        <v>447</v>
      </c>
      <c r="D65" s="3" t="s">
        <v>613</v>
      </c>
      <c r="E65" s="3"/>
      <c r="F65" s="3" t="s">
        <v>366</v>
      </c>
      <c r="G65" s="3" t="s">
        <v>162</v>
      </c>
      <c r="H65" s="7" t="n">
        <v>2007.16</v>
      </c>
      <c r="I65" s="3" t="s">
        <v>614</v>
      </c>
      <c r="J65" s="3"/>
      <c r="K65" s="3"/>
      <c r="L65" s="5" t="str">
        <f aca="false">IF(AND(ISNUMBER(K65),K65&gt;=0,G65="EUR"),ROUND(K65,2),IF(AND(ISNUMBER(K65),K65&gt;=0,G65="GBP"),ROUND(ROUND(K65,2)/0.85915,2),""))</f>
        <v/>
      </c>
      <c r="M65" s="3" t="s">
        <v>187</v>
      </c>
      <c r="N65" s="3" t="s">
        <v>165</v>
      </c>
      <c r="O65" s="3" t="s">
        <v>188</v>
      </c>
      <c r="P65" s="3" t="s">
        <v>167</v>
      </c>
      <c r="Q65" s="8" t="s">
        <v>615</v>
      </c>
      <c r="R65" s="3"/>
      <c r="S65" s="3"/>
      <c r="T65" s="3"/>
      <c r="U65" s="3" t="s">
        <v>616</v>
      </c>
      <c r="V65" s="3" t="s">
        <v>617</v>
      </c>
      <c r="W65" s="3" t="s">
        <v>507</v>
      </c>
      <c r="X65" s="3" t="s">
        <v>173</v>
      </c>
    </row>
    <row r="66" customFormat="false" ht="66" hidden="false" customHeight="true" outlineLevel="0" collapsed="false">
      <c r="A66" s="2" t="s">
        <v>618</v>
      </c>
      <c r="B66" s="2" t="s">
        <v>612</v>
      </c>
      <c r="C66" s="2" t="s">
        <v>447</v>
      </c>
      <c r="D66" s="2" t="s">
        <v>619</v>
      </c>
      <c r="E66" s="2"/>
      <c r="F66" s="2" t="s">
        <v>366</v>
      </c>
      <c r="G66" s="2" t="s">
        <v>199</v>
      </c>
      <c r="H66" s="4" t="n">
        <v>1995.49</v>
      </c>
      <c r="I66" s="2" t="s">
        <v>265</v>
      </c>
      <c r="J66" s="2"/>
      <c r="K66" s="4" t="n">
        <v>1995.49</v>
      </c>
      <c r="L66" s="5" t="n">
        <f aca="false">IF(AND(ISNUMBER(K66),K66&gt;=0,G66="EUR"),ROUND(K66,2),IF(AND(ISNUMBER(K66),K66&gt;=0,G66="GBP"),ROUND(ROUND(K66,2)/0.85915,2),""))</f>
        <v>2322.63</v>
      </c>
      <c r="M66" s="2" t="s">
        <v>201</v>
      </c>
      <c r="N66" s="2" t="s">
        <v>165</v>
      </c>
      <c r="O66" s="2" t="s">
        <v>188</v>
      </c>
      <c r="P66" s="2" t="s">
        <v>167</v>
      </c>
      <c r="Q66" s="6" t="s">
        <v>620</v>
      </c>
      <c r="R66" s="6" t="s">
        <v>621</v>
      </c>
      <c r="S66" s="2"/>
      <c r="T66" s="2"/>
      <c r="U66" s="2" t="s">
        <v>622</v>
      </c>
      <c r="V66" s="2" t="s">
        <v>623</v>
      </c>
      <c r="W66" s="2" t="s">
        <v>624</v>
      </c>
      <c r="X66" s="2" t="s">
        <v>173</v>
      </c>
    </row>
    <row r="67" customFormat="false" ht="66" hidden="false" customHeight="true" outlineLevel="0" collapsed="false">
      <c r="A67" s="3" t="s">
        <v>625</v>
      </c>
      <c r="B67" s="3" t="s">
        <v>626</v>
      </c>
      <c r="C67" s="3" t="s">
        <v>627</v>
      </c>
      <c r="D67" s="3" t="s">
        <v>628</v>
      </c>
      <c r="E67" s="7" t="n">
        <v>1</v>
      </c>
      <c r="F67" s="3" t="s">
        <v>161</v>
      </c>
      <c r="G67" s="3" t="s">
        <v>162</v>
      </c>
      <c r="H67" s="7" t="n">
        <v>58842</v>
      </c>
      <c r="I67" s="3" t="s">
        <v>629</v>
      </c>
      <c r="J67" s="3"/>
      <c r="K67" s="3"/>
      <c r="L67" s="5" t="str">
        <f aca="false">IF(AND(ISNUMBER(K67),K67&gt;=0,G67="EUR"),ROUND(K67,2),IF(AND(ISNUMBER(K67),K67&gt;=0,G67="GBP"),ROUND(ROUND(K67,2)/0.85915,2),""))</f>
        <v/>
      </c>
      <c r="M67" s="3" t="s">
        <v>187</v>
      </c>
      <c r="N67" s="3" t="s">
        <v>165</v>
      </c>
      <c r="O67" s="3" t="s">
        <v>188</v>
      </c>
      <c r="P67" s="3" t="s">
        <v>167</v>
      </c>
      <c r="Q67" s="8" t="s">
        <v>630</v>
      </c>
      <c r="R67" s="8" t="s">
        <v>631</v>
      </c>
      <c r="S67" s="3" t="s">
        <v>632</v>
      </c>
      <c r="T67" s="7" t="n">
        <v>487</v>
      </c>
      <c r="U67" s="3" t="s">
        <v>633</v>
      </c>
      <c r="V67" s="3" t="s">
        <v>634</v>
      </c>
      <c r="W67" s="3" t="s">
        <v>635</v>
      </c>
      <c r="X67" s="3" t="s">
        <v>636</v>
      </c>
    </row>
    <row r="68" customFormat="false" ht="66" hidden="false" customHeight="true" outlineLevel="0" collapsed="false">
      <c r="A68" s="2" t="s">
        <v>637</v>
      </c>
      <c r="B68" s="2" t="s">
        <v>638</v>
      </c>
      <c r="C68" s="2" t="s">
        <v>627</v>
      </c>
      <c r="D68" s="2" t="s">
        <v>639</v>
      </c>
      <c r="E68" s="4" t="n">
        <v>1</v>
      </c>
      <c r="F68" s="2" t="s">
        <v>640</v>
      </c>
      <c r="G68" s="2" t="s">
        <v>162</v>
      </c>
      <c r="H68" s="4" t="n">
        <v>21675</v>
      </c>
      <c r="I68" s="2" t="s">
        <v>641</v>
      </c>
      <c r="J68" s="2"/>
      <c r="K68" s="4" t="n">
        <v>21675</v>
      </c>
      <c r="L68" s="5" t="n">
        <f aca="false">IF(AND(ISNUMBER(K68),K68&gt;=0,G68="EUR"),ROUND(K68,2),IF(AND(ISNUMBER(K68),K68&gt;=0,G68="GBP"),ROUND(ROUND(K68,2)/0.85915,2),""))</f>
        <v>21675</v>
      </c>
      <c r="M68" s="2" t="s">
        <v>201</v>
      </c>
      <c r="N68" s="2" t="s">
        <v>165</v>
      </c>
      <c r="O68" s="2" t="s">
        <v>188</v>
      </c>
      <c r="P68" s="2" t="s">
        <v>167</v>
      </c>
      <c r="Q68" s="6" t="s">
        <v>642</v>
      </c>
      <c r="R68" s="6" t="s">
        <v>643</v>
      </c>
      <c r="S68" s="2"/>
      <c r="T68" s="4" t="n">
        <v>408</v>
      </c>
      <c r="U68" s="2" t="s">
        <v>644</v>
      </c>
      <c r="V68" s="2" t="s">
        <v>645</v>
      </c>
      <c r="W68" s="2" t="s">
        <v>646</v>
      </c>
      <c r="X68" s="2" t="s">
        <v>636</v>
      </c>
    </row>
    <row r="69" customFormat="false" ht="66" hidden="false" customHeight="true" outlineLevel="0" collapsed="false">
      <c r="A69" s="3" t="s">
        <v>647</v>
      </c>
      <c r="B69" s="3" t="s">
        <v>626</v>
      </c>
      <c r="C69" s="3" t="s">
        <v>627</v>
      </c>
      <c r="D69" s="3" t="s">
        <v>648</v>
      </c>
      <c r="E69" s="7" t="n">
        <v>1</v>
      </c>
      <c r="F69" s="3" t="s">
        <v>161</v>
      </c>
      <c r="G69" s="3" t="s">
        <v>162</v>
      </c>
      <c r="H69" s="3"/>
      <c r="I69" s="3" t="s">
        <v>186</v>
      </c>
      <c r="J69" s="3"/>
      <c r="K69" s="3"/>
      <c r="L69" s="5" t="str">
        <f aca="false">IF(AND(ISNUMBER(K69),K69&gt;=0,G69="EUR"),ROUND(K69,2),IF(AND(ISNUMBER(K69),K69&gt;=0,G69="GBP"),ROUND(ROUND(K69,2)/0.85915,2),""))</f>
        <v/>
      </c>
      <c r="M69" s="3" t="s">
        <v>187</v>
      </c>
      <c r="N69" s="3" t="s">
        <v>165</v>
      </c>
      <c r="O69" s="3" t="s">
        <v>188</v>
      </c>
      <c r="P69" s="3" t="s">
        <v>167</v>
      </c>
      <c r="Q69" s="3"/>
      <c r="R69" s="8" t="s">
        <v>649</v>
      </c>
      <c r="S69" s="3" t="s">
        <v>650</v>
      </c>
      <c r="T69" s="7" t="n">
        <v>643</v>
      </c>
      <c r="U69" s="3" t="s">
        <v>651</v>
      </c>
      <c r="V69" s="3" t="s">
        <v>652</v>
      </c>
      <c r="W69" s="3" t="s">
        <v>653</v>
      </c>
      <c r="X69" s="3" t="s">
        <v>636</v>
      </c>
    </row>
    <row r="70" customFormat="false" ht="66" hidden="false" customHeight="true" outlineLevel="0" collapsed="false">
      <c r="A70" s="2" t="s">
        <v>654</v>
      </c>
      <c r="B70" s="2" t="s">
        <v>196</v>
      </c>
      <c r="C70" s="2" t="s">
        <v>197</v>
      </c>
      <c r="D70" s="2" t="s">
        <v>655</v>
      </c>
      <c r="E70" s="4" t="n">
        <v>2</v>
      </c>
      <c r="F70" s="2" t="s">
        <v>161</v>
      </c>
      <c r="G70" s="2" t="s">
        <v>199</v>
      </c>
      <c r="H70" s="4" t="n">
        <v>16830</v>
      </c>
      <c r="I70" s="2" t="s">
        <v>656</v>
      </c>
      <c r="J70" s="4" t="n">
        <v>20</v>
      </c>
      <c r="K70" s="4" t="n">
        <v>14025</v>
      </c>
      <c r="L70" s="5" t="n">
        <f aca="false">IF(AND(ISNUMBER(K70),K70&gt;=0,G70="EUR"),ROUND(K70,2),IF(AND(ISNUMBER(K70),K70&gt;=0,G70="GBP"),ROUND(ROUND(K70,2)/0.85915,2),""))</f>
        <v>16324.27</v>
      </c>
      <c r="M70" s="2" t="s">
        <v>201</v>
      </c>
      <c r="N70" s="2" t="s">
        <v>165</v>
      </c>
      <c r="O70" s="2" t="s">
        <v>188</v>
      </c>
      <c r="P70" s="2" t="s">
        <v>167</v>
      </c>
      <c r="Q70" s="6" t="s">
        <v>202</v>
      </c>
      <c r="R70" s="6" t="s">
        <v>657</v>
      </c>
      <c r="S70" s="2" t="s">
        <v>204</v>
      </c>
      <c r="T70" s="4" t="n">
        <v>195</v>
      </c>
      <c r="U70" s="2" t="s">
        <v>658</v>
      </c>
      <c r="V70" s="2" t="s">
        <v>659</v>
      </c>
      <c r="W70" s="2" t="s">
        <v>660</v>
      </c>
      <c r="X70" s="2" t="s">
        <v>661</v>
      </c>
    </row>
    <row r="71" customFormat="false" ht="66" hidden="false" customHeight="true" outlineLevel="0" collapsed="false">
      <c r="A71" s="3" t="s">
        <v>662</v>
      </c>
      <c r="B71" s="3" t="s">
        <v>196</v>
      </c>
      <c r="C71" s="3" t="s">
        <v>197</v>
      </c>
      <c r="D71" s="3" t="s">
        <v>663</v>
      </c>
      <c r="E71" s="7" t="n">
        <v>2</v>
      </c>
      <c r="F71" s="3" t="s">
        <v>161</v>
      </c>
      <c r="G71" s="3" t="s">
        <v>162</v>
      </c>
      <c r="H71" s="7" t="n">
        <v>17451.22</v>
      </c>
      <c r="I71" s="3" t="s">
        <v>265</v>
      </c>
      <c r="J71" s="3"/>
      <c r="K71" s="7" t="n">
        <v>17451.22</v>
      </c>
      <c r="L71" s="5" t="n">
        <f aca="false">IF(AND(ISNUMBER(K71),K71&gt;=0,G71="EUR"),ROUND(K71,2),IF(AND(ISNUMBER(K71),K71&gt;=0,G71="GBP"),ROUND(ROUND(K71,2)/0.85915,2),""))</f>
        <v>17451.22</v>
      </c>
      <c r="M71" s="3" t="s">
        <v>201</v>
      </c>
      <c r="N71" s="3" t="s">
        <v>165</v>
      </c>
      <c r="O71" s="3" t="s">
        <v>188</v>
      </c>
      <c r="P71" s="3" t="s">
        <v>167</v>
      </c>
      <c r="Q71" s="8" t="s">
        <v>664</v>
      </c>
      <c r="R71" s="8" t="s">
        <v>657</v>
      </c>
      <c r="S71" s="3" t="s">
        <v>204</v>
      </c>
      <c r="T71" s="7" t="n">
        <v>195</v>
      </c>
      <c r="U71" s="3" t="s">
        <v>665</v>
      </c>
      <c r="V71" s="3" t="s">
        <v>666</v>
      </c>
      <c r="W71" s="3" t="s">
        <v>667</v>
      </c>
      <c r="X71" s="3" t="s">
        <v>661</v>
      </c>
    </row>
    <row r="72" customFormat="false" ht="66" hidden="false" customHeight="true" outlineLevel="0" collapsed="false">
      <c r="A72" s="2" t="s">
        <v>668</v>
      </c>
      <c r="B72" s="2" t="s">
        <v>196</v>
      </c>
      <c r="C72" s="2" t="s">
        <v>197</v>
      </c>
      <c r="D72" s="2" t="s">
        <v>669</v>
      </c>
      <c r="E72" s="4" t="n">
        <v>2</v>
      </c>
      <c r="F72" s="2" t="s">
        <v>161</v>
      </c>
      <c r="G72" s="2" t="s">
        <v>162</v>
      </c>
      <c r="H72" s="4" t="n">
        <v>20128.46</v>
      </c>
      <c r="I72" s="2" t="s">
        <v>265</v>
      </c>
      <c r="J72" s="2"/>
      <c r="K72" s="4" t="n">
        <v>20128.46</v>
      </c>
      <c r="L72" s="5" t="n">
        <f aca="false">IF(AND(ISNUMBER(K72),K72&gt;=0,G72="EUR"),ROUND(K72,2),IF(AND(ISNUMBER(K72),K72&gt;=0,G72="GBP"),ROUND(ROUND(K72,2)/0.85915,2),""))</f>
        <v>20128.46</v>
      </c>
      <c r="M72" s="2" t="s">
        <v>201</v>
      </c>
      <c r="N72" s="2" t="s">
        <v>165</v>
      </c>
      <c r="O72" s="2" t="s">
        <v>188</v>
      </c>
      <c r="P72" s="2" t="s">
        <v>167</v>
      </c>
      <c r="Q72" s="6" t="s">
        <v>670</v>
      </c>
      <c r="R72" s="6" t="s">
        <v>671</v>
      </c>
      <c r="S72" s="2" t="s">
        <v>672</v>
      </c>
      <c r="T72" s="4" t="n">
        <v>176</v>
      </c>
      <c r="U72" s="2" t="s">
        <v>673</v>
      </c>
      <c r="V72" s="2" t="s">
        <v>674</v>
      </c>
      <c r="W72" s="2" t="s">
        <v>667</v>
      </c>
      <c r="X72" s="2" t="s">
        <v>661</v>
      </c>
    </row>
  </sheetData>
  <autoFilter ref="A1:X72"/>
  <hyperlinks>
    <hyperlink ref="Q2" r:id="rId1" display="https://www.dbmoteurs.fr/sites/default/files/Volvo-Penta-tarifs-prix-achat-moteurs-2023-DB-Moteurs-motorisation-marine-bateau-plaisance.pdf"/>
    <hyperlink ref="R2" r:id="rId2" display="https://www.dbmoteurs.fr/sites/default/files/Moteur-Volvo-Penta-D4-270-300-320-fiche-commerciale-2021-47711815-en.pdf"/>
    <hyperlink ref="Q3" r:id="rId3" display="https://www.dbmoteurs.fr/sites/default/files/Volvo-Penta-tarifs-prix-achat-moteurs-2023-DB-Moteurs-motorisation-marine-bateau-plaisance.pdf"/>
    <hyperlink ref="R3" r:id="rId4" display="https://www.dbmoteurs.fr/sites/default/files/Moteur-Volvo-Penta-D4-270-300-320-fiche-commerciale-2021-47711815-en.pdf"/>
    <hyperlink ref="Q4" r:id="rId5" display="https://www.dbmoteurs.fr/sites/default/files/Volvo-Penta-tarifs-prix-achat-moteurs-2023-DB-Moteurs-motorisation-marine-bateau-plaisance.pdf"/>
    <hyperlink ref="R4" r:id="rId6" display="https://www.dbmoteurs.fr/sites/default/files/Moteur-Volvo-Penta-D6-300-340-380-fiche-commerciale-brochure-2021-47711891-fr-dbmoteurs.pdf"/>
    <hyperlink ref="Q5" r:id="rId7" display="https://www.etruck.fi/shop-1"/>
    <hyperlink ref="R5" r:id="rId8" display="https://www.fptindustrial.com/-/media/FPT/Brochures/Engines/MARINE/COMMERCIAL/Marine_Commercial_FR_2026.pdf?rev=-1"/>
    <hyperlink ref="Q6" r:id="rId9" display="https://www.jpcdirect.com/product/fischer-panda-12000x-generator/"/>
    <hyperlink ref="R6" r:id="rId10" display="https://www.onefischerpanda.com/marine/marine-generators/xseries-generators/panda-12000x-pms/"/>
    <hyperlink ref="Q7" r:id="rId11" display="https://www.jpcdirect.com/product/kohler-12-kilowatt-generator/"/>
    <hyperlink ref="R7" r:id="rId12" display="https://techcomm.rehlko.com/techcomm/pdf/g2186.pdf"/>
    <hyperlink ref="Q8" r:id="rId13" display="https://www.manelservice.com/it/gruppi-elettrogeni-marini/3925-vte-paguro-12000-v-ap12023050m0.html"/>
    <hyperlink ref="R8" r:id="rId14" display="https://www.volpitecno.com/portfolio/paguro-12000-v-10-kw-2000-%C3%B7-3000-g-1/"/>
    <hyperlink ref="Q9" r:id="rId15" display="https://mmarineonline.com/products/kohler-marine-diesel-generator-24v-12efkozd-ss-50hz-with-sound-shield"/>
    <hyperlink ref="R9" r:id="rId16" display="https://techcomm.rehlko.com/techcomm/pdf/g2186.pdf"/>
    <hyperlink ref="Q10" r:id="rId17" display="https://www.svb.de/de/victron-wechselrichter-ladegeraet-multiplus-ii-24-v-3000-va-70-a.html"/>
    <hyperlink ref="R10" r:id="rId18" display="https://www.victronenergy.com/media/pg/MultiPlus-II_230V/en/technical-specifications-mp-ii-230v.html"/>
    <hyperlink ref="Q11" r:id="rId19" display="https://www.svb.de/de/victron-wechselrichter-ladegeraet-multiplus-ii-gx-24-v-3000-va-70-a.html"/>
    <hyperlink ref="R11" r:id="rId20" display="https://www.victronenergy.com/media/pg/MultiPlus-II_GX/en/technical-specifications-mp-ii-gx-230v.html"/>
    <hyperlink ref="Q12" r:id="rId21" display="https://www.svb.de/de/mastervolt-wechselrichter-ladegeraet-combimaster-24-v-3000-va-60-a.html?question_sort=oldest"/>
    <hyperlink ref="R12" r:id="rId22" display="https://www.mastervolt.com/products/combimaster/combimaster-24-3000-60-230-v/"/>
    <hyperlink ref="Q13" r:id="rId23" display="https://www.svb24.com/en/p/victron-isolation-transformer-3600-w-115-230-v.html"/>
    <hyperlink ref="R13" r:id="rId24" display="https://www.victronenergy.com/upload/documents/Datasheet-Isolation-Transformers-EN.pdf"/>
    <hyperlink ref="Q14" r:id="rId25" display="https://www.svb24.com/en/mastervolt-mass-gi-3-5-isolation-transformer-16-a-3-5-kw.html"/>
    <hyperlink ref="R14" r:id="rId26" display="https://www.mastervolt.com/products/mass-gi/mass-gi-35-kva-16a-lightweight/"/>
    <hyperlink ref="Q15" r:id="rId27" display="https://www.hansenautic.de/36377/wp-gi-compact-galvanic-isolation-transformator-230v-16a-120v-32a/"/>
    <hyperlink ref="R15" r:id="rId28" display="https://www.whisperpower.com/gi-3600-compact-galvanic-isolation-transformer"/>
    <hyperlink ref="Q16" r:id="rId29" display="https://online-batterien.de/a/exide-er550-dual-versorgungsbatterie-starterbatterie-12v-115ah-550wh/400440"/>
    <hyperlink ref="R16" r:id="rId30" display="https://www.exidegroup.com/en/document/ml-brochure-2022"/>
    <hyperlink ref="Q17" r:id="rId31" display="https://www.nothnagel-marine.de/product_info.php?info=p3857_aquamot---power-battery--dc-battery-als12115-12v-115ah-agm-deep-cycle-battery.html&amp;language=en"/>
    <hyperlink ref="R17" r:id="rId32" display="https://aquamot.at/wp-content/uploads/2018/02/Die-Batterie-Aquamot.pdf"/>
    <hyperlink ref="Q18" r:id="rId33" display="https://ab-marineservice.com/product/12v-115ah-agm-telecom-batt-m8/"/>
    <hyperlink ref="R18" r:id="rId34" display="https://www.victronenergy.com/upload/documents/Datasheet-Telecom-batteries-EN.pdf"/>
    <hyperlink ref="Q19" r:id="rId35" display="https://www.dynastart.nl/lyn060102000-lynx-distributor-m8"/>
    <hyperlink ref="R19" r:id="rId36" display="https://www.victronenergy.com/media/pg/Lynx_Distributor/en/technical-specifications-lynx-distributor.html"/>
    <hyperlink ref="Q20" r:id="rId37" display="https://www.svb24.com/en/philippi-stv207-power-distribution-panel-configurable.html"/>
    <hyperlink ref="R20" r:id="rId38" display="https://www.philippi-online.de/en/collections/serie_200-marine/products/stv-207"/>
    <hyperlink ref="Q21" r:id="rId39" display="https://www.svb24.com/en/philippi-lae-113-shore-connection-unit.html"/>
    <hyperlink ref="R21" r:id="rId40" display="https://www.philippi-online.de/en/products/lae-113"/>
    <hyperlink ref="Q22" r:id="rId41" display="https://www.svb24.com/en/blue-sea-hd-remote-battery-switch-24v.html"/>
    <hyperlink ref="R22" r:id="rId42" display="https://www.bluesea.com/products/7702/ML-RBS_Remote_Battery_Switch_with_Manual_Control_-_24V_DC_500A"/>
    <hyperlink ref="Q23" r:id="rId43" display="https://www.svb24.com/en/blue-sea-universal-solenoid-switch-24-v.html"/>
    <hyperlink ref="R23" r:id="rId44" display="https://d2pyqm2yd3fw2i.cloudfront.net/files/resources/instructions/990180170-006.pdf"/>
    <hyperlink ref="Q27" r:id="rId45" display="https://www.aquatec-watermaker.de/wassermacher-produkt-ac150-ac240.html"/>
    <hyperlink ref="R27" r:id="rId46" display="https://www.aquatec-watermaker.de/wassermacher-produkt-ac150-ac240.html"/>
    <hyperlink ref="Q28" r:id="rId47" display="https://mar-nautic.com/schenker-watermaker-zen-150"/>
    <hyperlink ref="R28" r:id="rId48" display="https://schenkerwatermakers.com/wp-content/uploads/2025/03/ZEN150_datasheet_v4.pdf"/>
    <hyperlink ref="Q29" r:id="rId49" display="https://www.manelservice.com/en/marine-desalination-systems/17102-osmosea-new12-150c-nautical-watermaker-150-lth.html"/>
    <hyperlink ref="R29" r:id="rId50" display="https://osmosea.it/en/new-12/"/>
    <hyperlink ref="Q30" r:id="rId51" display="https://www.comptoirnautique.com/groupe-d-eau-a-pressostat/53022-cem-elettromeccanica-autoclave-cem-vase-expansion-inox-20l-24v-50-l-min.html"/>
    <hyperlink ref="R30" r:id="rId52" display="https://cempumps.com/wp-content/uploads/2024/10/Autoclavi_20L-20X.pdf"/>
    <hyperlink ref="Q31" r:id="rId53" display="https://www.comptoirnautique.com/groupe-d-eau-hydrophore/22947-gianneschi-groupe-d-eau-ecoinox-1-avec-reservoir-20l-24v-45lmin-7024.html"/>
    <hyperlink ref="R31" r:id="rId54" display="https://www.gianneschipumps.com/GIANNESCHI_Brochure-web.pdf"/>
    <hyperlink ref="Q32" r:id="rId55" display="https://www.enag.fr/english/wp-content/uploads/sites/5/2022/11/FC-GH-EN-C.pdf"/>
    <hyperlink ref="R32" r:id="rId56" display="https://www.enag.fr/english/wp-content/uploads/sites/5/2022/11/FC-GH-EN-C.pdf"/>
    <hyperlink ref="Q33" r:id="rId57" display="https://cempumps.com/wp-content/uploads/2024/10/Autoclavi_20L-20X.pdf"/>
    <hyperlink ref="R33" r:id="rId58" display="https://cempumps.com/wp-content/uploads/2024/10/Autoclavi_20L-20X.pdf"/>
    <hyperlink ref="Q34" r:id="rId59" display="https://www.tyboat.com/achat/P-57388-gianneschi-groupe-d-eau-ecoinox2-3-5-bars-0-45-kw-55-litres-minute-reservoir-20-litres-230-volts.html"/>
    <hyperlink ref="R34" r:id="rId60" display="https://www.gianneschipumps.com/GIANNESCHI_Brochure-web.pdf"/>
    <hyperlink ref="Q35" r:id="rId61" display="https://www.enag.fr/english/wp-content/uploads/sites/5/2022/11/FC-GH-EN-C.pdf"/>
    <hyperlink ref="R35" r:id="rId62" display="https://www.enag.fr/english/wp-content/uploads/sites/5/2022/11/FC-GH-EN-C.pdf"/>
    <hyperlink ref="Q36" r:id="rId63" display="https://www.esconet.fi/shop/uc16h-thermowell-uc16h-ilmastointilaite-chiller-230v-16000btu-27518"/>
    <hyperlink ref="R36" r:id="rId64" display="https://www.thermowellmarine.com/wp-content/uploads/2023/04/THERMOWELL-2023_rev1_apr_web.pdf"/>
    <hyperlink ref="Q37" r:id="rId65" display="https://mdislandsupply.com/en/climma/879-cws-aquacontrol-161-rc-230150-climma.html"/>
    <hyperlink ref="R37" r:id="rId66" display="https://www.veco.net/en/prodotti/climma-cws-aquacontrol-chillers/"/>
    <hyperlink ref="Q38" r:id="rId67" display="https://www.nauticsale.com/en/airconditioning/bluecool-chiller-systems/bluecool-c-series-chillers/"/>
    <hyperlink ref="R38" r:id="rId68" display="https://www.webasto.com/en-us/cooling/marine-chiller-air-conditioning-units/bluecool-c-series.html"/>
    <hyperlink ref="Q39" r:id="rId69" display="https://www.tyboat.com/achat/P-8889-quick-chauffe-eau-cylindrique-b3-40-litres-220-volts-1200-watts.html"/>
    <hyperlink ref="R39" r:id="rId70" display="https://www.quickitaly.com/it/prodotti/scalda-acqua/scalda-acqua/nautic-boiler-b3/"/>
    <hyperlink ref="Q40" r:id="rId71" display="https://www.tyboat.com/achat/P-8880-quick-chauffe-eau-cylindrique-bx-40-litres-220-volts-1200-watts.html"/>
    <hyperlink ref="R40" r:id="rId72" display="https://www.quickitaly.com/it/prodotti/scalda-acqua/scalda-acqua/nautic-boiler-bx/"/>
    <hyperlink ref="Q41" r:id="rId73" display="https://www.tyboat.com/achat/P-18237-quick-chauffe-eau-cube-inox-bxs-40-litres-220-volts-1200-watts.html"/>
    <hyperlink ref="R41" r:id="rId74" display="https://www.quickitaly.com/it/prodotti/scalda-acqua/scalda-acqua/nautic-boiler-bxs/"/>
    <hyperlink ref="Q42" r:id="rId75" display="https://www.comptoirnautique.com/climatisation-bateau/91819-frigomar-pompes-a-entrainement-magnetique.html"/>
    <hyperlink ref="R42" r:id="rId76" display="https://www.frigomar.com/en/product-line/"/>
    <hyperlink ref="Q43" r:id="rId77" display="https://www.kent-marine.com/fr/produit/35262/chauffe-eau-cylindrique-40l-220v-1200w.html"/>
    <hyperlink ref="R43" r:id="rId78" display="https://www.quickitaly.com/it/prodotti/scalda-acqua/"/>
    <hyperlink ref="Q44" r:id="rId79" display="https://www.marine-impact.com/groupe-d-eau/313-filtre-en-ligne-pumpgard-o13-mm-jabsco.html"/>
    <hyperlink ref="R44" r:id="rId80" display="https://www.xylem.com/siteassets/brand/jabsco/resources/manual/36800-technical-data-sheet.pdf"/>
    <hyperlink ref="Q45" r:id="rId81" display="https://www.vetus-shop.com/aluminium-hydraulic-tank-70-incl-ht1013-p-2024.html"/>
    <hyperlink ref="R45" r:id="rId82" display="https://webshop.vetus.com/nl/products/power-hydraulics/hydraulische-tanks"/>
    <hyperlink ref="Q46" r:id="rId83" display="https://www.vetus-shop.com/vetus-power-hydraulics-c-21_210.html"/>
    <hyperlink ref="Q47" r:id="rId84" display="https://www.vetus-shop.com/aluminium-hydraulic-tank-70-incl-ht1013-p-2024.html"/>
    <hyperlink ref="Q48" r:id="rId85" display="https://www.vetus-shop.com/aluminium-hydraulic-tank-70-incl-ht1013-p-2024.html"/>
    <hyperlink ref="Q49" r:id="rId86" display="https://www.vetus-shop.com/vetus-power-hydraulics-c-21_210.html"/>
    <hyperlink ref="Q50" r:id="rId87" display="https://www.vetus-shop.com/aluminium-hydraulic-tank-70-incl-ht1013-p-2024.html"/>
    <hyperlink ref="R51" r:id="rId88" display="https://info.sleipnergroup.com/hubfs/Side-Power_Hydraulic_AC_Thrusters_2020.pdf"/>
    <hyperlink ref="R52" r:id="rId89" display="https://gallery.harken.com/gallery/3d369089-1f35-489d-8b71-ab3020e962a1.pdf"/>
    <hyperlink ref="Q53" r:id="rId90" display="https://racorshop.de/product/racor-75500maxm30-turbine-filter-marine/"/>
    <hyperlink ref="R53" r:id="rId91" display="https://www.parker.com/content/dam/Parker-com/Literature/Racor-Europe/FDRB544UK_BRO_Distribution_Solution_Brochure-_Racor_Europe.pdf"/>
    <hyperlink ref="Q54" r:id="rId92" display="https://www.vetus-shop.com/vetus-raw-water-strainer-type-330-and21632mm-p-1026.html"/>
    <hyperlink ref="Q55" r:id="rId93" display="https://www.mediawinkel.eu/nl/heavy-duty-waterfilter-32-mm.html"/>
    <hyperlink ref="Q56" r:id="rId94" display="https://www.mackengineering.co.uk/rule-2000-gph-bilge-pump-24v.html"/>
    <hyperlink ref="R56" r:id="rId95" display="https://www.xylem.com/siteassets/brand/rule/resources/technical-brochure/standard-bilge-pumps-model-number-table.pdf"/>
    <hyperlink ref="Q57" r:id="rId96" display="https://www.mackengineering.co.uk/bp9005-whale-gusher-urchin-hand-pump.html"/>
    <hyperlink ref="Q58" r:id="rId97" display="https://www.mackengineering.co.uk/rule-2000-gph-bilge-pump-24v.html"/>
    <hyperlink ref="Q59" r:id="rId98" display="https://www.mackengineering.co.uk/35770-0094-24v-flexmount-blower.html"/>
    <hyperlink ref="R59" r:id="rId99" display="https://www.xylem.com/siteassets/brand/jabsco/resources/manual/357x0-technical-data-sheet.pdf"/>
    <hyperlink ref="Q60" r:id="rId100" display="https://www.mackengineering.co.uk/marco-up3-oil-pump-24v.html"/>
    <hyperlink ref="R60" r:id="rId101" display="https://items.marco.it/en/md_productpdf/index/generate/product/253/store/2/"/>
    <hyperlink ref="Q61" r:id="rId102" display="https://www.vetus-shop.com/vetus-fuel-tank-quickfit-diesel-40-litre-8mm-p-1786.html"/>
    <hyperlink ref="Q62" r:id="rId103" display="https://www.vetus-shop.com/vetus-fuel-tank-quickfit-diesel-40-litre-8mm-p-1786.html"/>
    <hyperlink ref="Q63" r:id="rId104" display="https://www.cactusnav.com/jabsco-macerator-pump-p-37922.html"/>
    <hyperlink ref="Q64" r:id="rId105" display="https://www.oltrevela.com/en/31-620-55-fireboy-ma-series-automatic-manual-fire-extinguisher-13-4-kg-for-engine-rooms-and-motor-compartments-up-to-51m-uscg-and-iso-rina-approved-fireboy-4"/>
    <hyperlink ref="R64" r:id="rId106" display="https://fireboy.com/ma2-fire-extinguisher/"/>
    <hyperlink ref="Q65" r:id="rId107" display="https://www.standkachel.nu/webasto-air-and-water-heaters-and/webasto-waterkachels-thermotop-spheros-dbw-valeo/webasto-marine-waterheaters-for-thermo-pro-90-24-volt/webasto-thermo-chiller--pro-90-marine-24-volt-"/>
    <hyperlink ref="Q66" r:id="rId108" display="https://www.butlertechnik.com/item/Webasto/Thermo-Pro-90-24v-Marine-Kit-With-Switch-91kW-4111185A/5G7"/>
    <hyperlink ref="R66" r:id="rId109" display="https://www.butlertechnik.com/downloads/cms/7432/webasto-thermo-pro-90-marine-installation-manual.pdf"/>
    <hyperlink ref="Q67" r:id="rId110" display="https://www.abma-sneek.nl/yanmar/engines-gears-drives/powerboat-engines?prod_id=650436"/>
    <hyperlink ref="R67" r:id="rId111" display="https://www.yanmar.com/marine/product/engines/8lv320/"/>
    <hyperlink ref="Q68" r:id="rId112" display="https://useddieselenginecenter.nl/yanmar-6lpam-stp2-6-lpam-stp-2-bobtail"/>
    <hyperlink ref="R68" r:id="rId113" display="https://www.yanmar.com/marine/product/engines/6lpa-stp2-6lpa-stc/"/>
    <hyperlink ref="R69" r:id="rId114" display="https://www.yanmar.com/marine/product/engines/6ly2m-wdt/"/>
    <hyperlink ref="Q70" r:id="rId115" display="https://www.jpcdirect.com/product/fischer-panda-12000x-generator/"/>
    <hyperlink ref="R70" r:id="rId116" display="https://www.onefischerpanda.com/fileadmin/content/product-information/marine-generators-compact-power/12000x/Panda_12000x_PMS_-_EN.pdf"/>
    <hyperlink ref="Q71" r:id="rId117" display="https://www.nautiradar.pt/en/products/fischer-panda/panda-12000x-230v-pms-12kva-fixed-engine-speed-marine-generator"/>
    <hyperlink ref="R71" r:id="rId118" display="https://www.onefischerpanda.com/fileadmin/content/product-information/marine-generators-compact-power/12000x/Panda_12000x_PMS_-_EN.pdf"/>
    <hyperlink ref="Q72" r:id="rId119" display="https://www.nautiradar.pt/en/products/fischer-panda/panda-15000i-230v-pms-12kw-230v-variable-speed-marine-generator"/>
    <hyperlink ref="R72" r:id="rId120" display="https://www.fischerpanda.co.uk/res/Fischer%20Panda%20Marine%20Generators%202026%20-%20FP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6" min="5" style="0" width="23"/>
    <col collapsed="false" customWidth="true" hidden="false" outlineLevel="0" max="7" min="7" style="0" width="48"/>
    <col collapsed="false" customWidth="true" hidden="false" outlineLevel="0" max="9" min="8" style="0" width="23"/>
    <col collapsed="false" customWidth="true" hidden="false" outlineLevel="0" max="10" min="10" style="0" width="40"/>
    <col collapsed="false" customWidth="true" hidden="false" outlineLevel="0" max="11" min="11" style="0" width="30"/>
    <col collapsed="false" customWidth="true" hidden="false" outlineLevel="0" max="12" min="12" style="0" width="110"/>
  </cols>
  <sheetData>
    <row r="1" customFormat="false" ht="45" hidden="false" customHeight="true" outlineLevel="0" collapsed="false">
      <c r="A1" s="1" t="s">
        <v>675</v>
      </c>
      <c r="B1" s="1" t="s">
        <v>676</v>
      </c>
      <c r="C1" s="1" t="s">
        <v>677</v>
      </c>
      <c r="D1" s="1" t="s">
        <v>134</v>
      </c>
      <c r="E1" s="1" t="s">
        <v>14</v>
      </c>
      <c r="F1" s="1" t="s">
        <v>139</v>
      </c>
      <c r="G1" s="1" t="s">
        <v>678</v>
      </c>
      <c r="H1" s="1" t="s">
        <v>145</v>
      </c>
      <c r="I1" s="1" t="s">
        <v>679</v>
      </c>
      <c r="J1" s="1" t="s">
        <v>146</v>
      </c>
      <c r="K1" s="1" t="s">
        <v>680</v>
      </c>
      <c r="L1" s="1" t="s">
        <v>681</v>
      </c>
    </row>
    <row r="2" customFormat="false" ht="66" hidden="false" customHeight="true" outlineLevel="0" collapsed="false">
      <c r="A2" s="2" t="s">
        <v>682</v>
      </c>
      <c r="B2" s="2" t="s">
        <v>683</v>
      </c>
      <c r="C2" s="2" t="s">
        <v>40</v>
      </c>
      <c r="D2" s="9" t="s">
        <v>174</v>
      </c>
      <c r="E2" s="10" t="n">
        <v>1</v>
      </c>
      <c r="F2" s="9" t="s">
        <v>161</v>
      </c>
      <c r="G2" s="5" t="str">
        <f aca="false">IFERROR(IF(INDEX(02_Цены!$D$2:$D$1000,MATCH(D2,02_Цены!$A$2:$A$1000,0))="","",INDEX(02_Цены!$D$2:$D$1000,MATCH(D2,02_Цены!$A$2:$A$1000,0))),"")</f>
        <v>D4-300 I + HS85A</v>
      </c>
      <c r="H2" s="5" t="n">
        <f aca="false">IFERROR(IF(INDEX(02_Цены!$L$2:$L$1000,MATCH(D2,02_Цены!$A$2:$A$1000,0))="","",INDEX(02_Цены!$L$2:$L$1000,MATCH(D2,02_Цены!$A$2:$A$1000,0))),"")</f>
        <v>45977</v>
      </c>
      <c r="I2" s="5" t="n">
        <f aca="false">IF(AND(ISNUMBER(E2),E2&gt;=0,ISNUMBER(H2)),ROUND(E2*H2,2),"")</f>
        <v>45977</v>
      </c>
      <c r="J2" s="5" t="str">
        <f aca="false">IFERROR(IF(INDEX(02_Цены!$M$2:$M$1000,MATCH(D2,02_Цены!$A$2:$A$1000,0))="","",INDEX(02_Цены!$M$2:$M$1000,MATCH(D2,02_Цены!$A$2:$A$1000,0))),"")</f>
        <v>HISTORICAL_NOT_CURRENT</v>
      </c>
      <c r="K2" s="5" t="str">
        <f aca="false">IF(AND(ISNUMBER(I2),J2="OBSERVED_NET_CONDITIONAL_SCOPE",OR(IFERROR(IF(INDEX(02_Цены!$E$2:$E$1000,MATCH(D2,02_Цены!$A$2:$A$1000,0))="","",INDEX(02_Цены!$E$2:$E$1000,MATCH(D2,02_Цены!$A$2:$A$1000,0))),"")="",E2=IFERROR(IF(INDEX(02_Цены!$E$2:$E$1000,MATCH(D2,02_Цены!$A$2:$A$1000,0))="","",INDEX(02_Цены!$E$2:$E$1000,MATCH(D2,02_Цены!$A$2:$A$1000,0))),""))),"PRICE_OBSERVED","BLOCK")</f>
        <v>BLOCK</v>
      </c>
      <c r="L2" s="9" t="s">
        <v>177</v>
      </c>
    </row>
    <row r="3" customFormat="false" ht="66" hidden="false" customHeight="true" outlineLevel="0" collapsed="false">
      <c r="A3" s="3" t="s">
        <v>684</v>
      </c>
      <c r="B3" s="3" t="s">
        <v>685</v>
      </c>
      <c r="C3" s="3" t="s">
        <v>626</v>
      </c>
      <c r="D3" s="9" t="s">
        <v>625</v>
      </c>
      <c r="E3" s="10" t="n">
        <v>1</v>
      </c>
      <c r="F3" s="9" t="s">
        <v>161</v>
      </c>
      <c r="G3" s="5" t="str">
        <f aca="false">IFERROR(IF(INDEX(02_Цены!$D$2:$D$1000,MATCH(D3,02_Цены!$A$2:$A$1000,0))="","",INDEX(02_Цены!$D$2:$D$1000,MATCH(D3,02_Цены!$A$2:$A$1000,0))),"")</f>
        <v>8LV320E-KMH50A + VC20</v>
      </c>
      <c r="H3" s="5" t="str">
        <f aca="false">IFERROR(IF(INDEX(02_Цены!$L$2:$L$1000,MATCH(D3,02_Цены!$A$2:$A$1000,0))="","",INDEX(02_Цены!$L$2:$L$1000,MATCH(D3,02_Цены!$A$2:$A$1000,0))),"")</f>
        <v/>
      </c>
      <c r="I3" s="5" t="str">
        <f aca="false">IF(AND(ISNUMBER(E3),E3&gt;=0,ISNUMBER(H3)),ROUND(E3*H3,2),"")</f>
        <v/>
      </c>
      <c r="J3" s="5" t="str">
        <f aca="false">IFERROR(IF(INDEX(02_Цены!$M$2:$M$1000,MATCH(D3,02_Цены!$A$2:$A$1000,0))="","",INDEX(02_Цены!$M$2:$M$1000,MATCH(D3,02_Цены!$A$2:$A$1000,0))),"")</f>
        <v>NO_VERIFIED_NET</v>
      </c>
      <c r="K3" s="5" t="str">
        <f aca="false">IF(AND(ISNUMBER(I3),J3="OBSERVED_NET_CONDITIONAL_SCOPE",OR(IFERROR(IF(INDEX(02_Цены!$E$2:$E$1000,MATCH(D3,02_Цены!$A$2:$A$1000,0))="","",INDEX(02_Цены!$E$2:$E$1000,MATCH(D3,02_Цены!$A$2:$A$1000,0))),"")="",E3=IFERROR(IF(INDEX(02_Цены!$E$2:$E$1000,MATCH(D3,02_Цены!$A$2:$A$1000,0))="","",INDEX(02_Цены!$E$2:$E$1000,MATCH(D3,02_Цены!$A$2:$A$1000,0))),""))),"PRICE_OBSERVED","BLOCK")</f>
        <v>BLOCK</v>
      </c>
      <c r="L3" s="9" t="s">
        <v>634</v>
      </c>
    </row>
    <row r="4" customFormat="false" ht="66" hidden="false" customHeight="true" outlineLevel="0" collapsed="false">
      <c r="A4" s="2" t="s">
        <v>686</v>
      </c>
      <c r="B4" s="2" t="s">
        <v>687</v>
      </c>
      <c r="C4" s="2" t="s">
        <v>40</v>
      </c>
      <c r="D4" s="9" t="s">
        <v>183</v>
      </c>
      <c r="E4" s="10" t="n">
        <v>1</v>
      </c>
      <c r="F4" s="9" t="s">
        <v>161</v>
      </c>
      <c r="G4" s="5" t="str">
        <f aca="false">IFERROR(IF(INDEX(02_Цены!$D$2:$D$1000,MATCH(D4,02_Цены!$A$2:$A$1000,0))="","",INDEX(02_Цены!$D$2:$D$1000,MATCH(D4,02_Цены!$A$2:$A$1000,0))),"")</f>
        <v>C90 410 rating D 300hp + gearbox RFQ</v>
      </c>
      <c r="H4" s="5" t="str">
        <f aca="false">IFERROR(IF(INDEX(02_Цены!$L$2:$L$1000,MATCH(D4,02_Цены!$A$2:$A$1000,0))="","",INDEX(02_Цены!$L$2:$L$1000,MATCH(D4,02_Цены!$A$2:$A$1000,0))),"")</f>
        <v/>
      </c>
      <c r="I4" s="5" t="str">
        <f aca="false">IF(AND(ISNUMBER(E4),E4&gt;=0,ISNUMBER(H4)),ROUND(E4*H4,2),"")</f>
        <v/>
      </c>
      <c r="J4" s="5" t="str">
        <f aca="false">IFERROR(IF(INDEX(02_Цены!$M$2:$M$1000,MATCH(D4,02_Цены!$A$2:$A$1000,0))="","",INDEX(02_Цены!$M$2:$M$1000,MATCH(D4,02_Цены!$A$2:$A$1000,0))),"")</f>
        <v>NO_VERIFIED_NET</v>
      </c>
      <c r="K4" s="5" t="str">
        <f aca="false">IF(AND(ISNUMBER(I4),J4="OBSERVED_NET_CONDITIONAL_SCOPE",OR(IFERROR(IF(INDEX(02_Цены!$E$2:$E$1000,MATCH(D4,02_Цены!$A$2:$A$1000,0))="","",INDEX(02_Цены!$E$2:$E$1000,MATCH(D4,02_Цены!$A$2:$A$1000,0))),"")="",E4=IFERROR(IF(INDEX(02_Цены!$E$2:$E$1000,MATCH(D4,02_Цены!$A$2:$A$1000,0))="","",INDEX(02_Цены!$E$2:$E$1000,MATCH(D4,02_Цены!$A$2:$A$1000,0))),""))),"PRICE_OBSERVED","BLOCK")</f>
        <v>BLOCK</v>
      </c>
      <c r="L4" s="9" t="s">
        <v>193</v>
      </c>
    </row>
    <row r="5" customFormat="false" ht="66" hidden="false" customHeight="true" outlineLevel="0" collapsed="false">
      <c r="A5" s="3" t="s">
        <v>688</v>
      </c>
      <c r="B5" s="3" t="s">
        <v>689</v>
      </c>
      <c r="C5" s="3" t="s">
        <v>196</v>
      </c>
      <c r="D5" s="9" t="s">
        <v>217</v>
      </c>
      <c r="E5" s="10" t="n">
        <v>2</v>
      </c>
      <c r="F5" s="9" t="s">
        <v>161</v>
      </c>
      <c r="G5" s="5" t="str">
        <f aca="false">IFERROR(IF(INDEX(02_Цены!$D$2:$D$1000,MATCH(D5,02_Цены!$A$2:$A$1000,0))="","",INDEX(02_Цены!$D$2:$D$1000,MATCH(D5,02_Цены!$A$2:$A$1000,0))),"")</f>
        <v>Paguro12000V AP12023050M0</v>
      </c>
      <c r="H5" s="5" t="n">
        <f aca="false">IFERROR(IF(INDEX(02_Цены!$L$2:$L$1000,MATCH(D5,02_Цены!$A$2:$A$1000,0))="","",INDEX(02_Цены!$L$2:$L$1000,MATCH(D5,02_Цены!$A$2:$A$1000,0))),"")</f>
        <v>12446.5</v>
      </c>
      <c r="I5" s="5" t="n">
        <f aca="false">IF(AND(ISNUMBER(E5),E5&gt;=0,ISNUMBER(H5)),ROUND(E5*H5,2),"")</f>
        <v>24893</v>
      </c>
      <c r="J5" s="5" t="str">
        <f aca="false">IFERROR(IF(INDEX(02_Цены!$M$2:$M$1000,MATCH(D5,02_Цены!$A$2:$A$1000,0))="","",INDEX(02_Цены!$M$2:$M$1000,MATCH(D5,02_Цены!$A$2:$A$1000,0))),"")</f>
        <v>OBSERVED_NET_CONDITIONAL_SCOPE</v>
      </c>
      <c r="K5" s="5" t="str">
        <f aca="false">IF(AND(ISNUMBER(I5),J5="OBSERVED_NET_CONDITIONAL_SCOPE",OR(IFERROR(IF(INDEX(02_Цены!$E$2:$E$1000,MATCH(D5,02_Цены!$A$2:$A$1000,0))="","",INDEX(02_Цены!$E$2:$E$1000,MATCH(D5,02_Цены!$A$2:$A$1000,0))),"")="",E5=IFERROR(IF(INDEX(02_Цены!$E$2:$E$1000,MATCH(D5,02_Цены!$A$2:$A$1000,0))="","",INDEX(02_Цены!$E$2:$E$1000,MATCH(D5,02_Цены!$A$2:$A$1000,0))),""))),"PRICE_OBSERVED","BLOCK")</f>
        <v>PRICE_OBSERVED</v>
      </c>
      <c r="L5" s="9" t="s">
        <v>225</v>
      </c>
    </row>
    <row r="6" customFormat="false" ht="66" hidden="false" customHeight="true" outlineLevel="0" collapsed="false">
      <c r="A6" s="2" t="s">
        <v>690</v>
      </c>
      <c r="B6" s="2" t="s">
        <v>691</v>
      </c>
      <c r="C6" s="2" t="s">
        <v>196</v>
      </c>
      <c r="D6" s="9" t="s">
        <v>662</v>
      </c>
      <c r="E6" s="10" t="n">
        <v>2</v>
      </c>
      <c r="F6" s="9" t="s">
        <v>161</v>
      </c>
      <c r="G6" s="5" t="str">
        <f aca="false">IFERROR(IF(INDEX(02_Цены!$D$2:$D$1000,MATCH(D6,02_Цены!$A$2:$A$1000,0))="","",INDEX(02_Цены!$D$2:$D$1000,MATCH(D6,02_Цены!$A$2:$A$1000,0))),"")</f>
        <v>12000x-230V PMS NautiRadar0028284</v>
      </c>
      <c r="H6" s="5" t="n">
        <f aca="false">IFERROR(IF(INDEX(02_Цены!$L$2:$L$1000,MATCH(D6,02_Цены!$A$2:$A$1000,0))="","",INDEX(02_Цены!$L$2:$L$1000,MATCH(D6,02_Цены!$A$2:$A$1000,0))),"")</f>
        <v>17451.22</v>
      </c>
      <c r="I6" s="5" t="n">
        <f aca="false">IF(AND(ISNUMBER(E6),E6&gt;=0,ISNUMBER(H6)),ROUND(E6*H6,2),"")</f>
        <v>34902.44</v>
      </c>
      <c r="J6" s="5" t="str">
        <f aca="false">IFERROR(IF(INDEX(02_Цены!$M$2:$M$1000,MATCH(D6,02_Цены!$A$2:$A$1000,0))="","",INDEX(02_Цены!$M$2:$M$1000,MATCH(D6,02_Цены!$A$2:$A$1000,0))),"")</f>
        <v>OBSERVED_NET_CONDITIONAL_SCOPE</v>
      </c>
      <c r="K6" s="5" t="str">
        <f aca="false">IF(AND(ISNUMBER(I6),J6="OBSERVED_NET_CONDITIONAL_SCOPE",OR(IFERROR(IF(INDEX(02_Цены!$E$2:$E$1000,MATCH(D6,02_Цены!$A$2:$A$1000,0))="","",INDEX(02_Цены!$E$2:$E$1000,MATCH(D6,02_Цены!$A$2:$A$1000,0))),"")="",E6=IFERROR(IF(INDEX(02_Цены!$E$2:$E$1000,MATCH(D6,02_Цены!$A$2:$A$1000,0))="","",INDEX(02_Цены!$E$2:$E$1000,MATCH(D6,02_Цены!$A$2:$A$1000,0))),""))),"PRICE_OBSERVED","BLOCK")</f>
        <v>PRICE_OBSERVED</v>
      </c>
      <c r="L6" s="9" t="s">
        <v>666</v>
      </c>
    </row>
    <row r="7" customFormat="false" ht="66" hidden="false" customHeight="true" outlineLevel="0" collapsed="false">
      <c r="A7" s="3" t="s">
        <v>692</v>
      </c>
      <c r="B7" s="3" t="s">
        <v>693</v>
      </c>
      <c r="C7" s="3" t="s">
        <v>196</v>
      </c>
      <c r="D7" s="9" t="s">
        <v>208</v>
      </c>
      <c r="E7" s="10" t="n">
        <v>2</v>
      </c>
      <c r="F7" s="9" t="s">
        <v>161</v>
      </c>
      <c r="G7" s="5" t="str">
        <f aca="false">IFERROR(IF(INDEX(02_Цены!$D$2:$D$1000,MATCH(D7,02_Цены!$A$2:$A$1000,0))="","",INDEX(02_Цены!$D$2:$D$1000,MATCH(D7,02_Цены!$A$2:$A$1000,0))),"")</f>
        <v>12EFKOZD</v>
      </c>
      <c r="H7" s="5" t="n">
        <f aca="false">IFERROR(IF(INDEX(02_Цены!$L$2:$L$1000,MATCH(D7,02_Цены!$A$2:$A$1000,0))="","",INDEX(02_Цены!$L$2:$L$1000,MATCH(D7,02_Цены!$A$2:$A$1000,0))),"")</f>
        <v>17929.12</v>
      </c>
      <c r="I7" s="5" t="n">
        <f aca="false">IF(AND(ISNUMBER(E7),E7&gt;=0,ISNUMBER(H7)),ROUND(E7*H7,2),"")</f>
        <v>35858.24</v>
      </c>
      <c r="J7" s="5" t="str">
        <f aca="false">IFERROR(IF(INDEX(02_Цены!$M$2:$M$1000,MATCH(D7,02_Цены!$A$2:$A$1000,0))="","",INDEX(02_Цены!$M$2:$M$1000,MATCH(D7,02_Цены!$A$2:$A$1000,0))),"")</f>
        <v>OBSERVED_NET_CONDITIONAL_SCOPE</v>
      </c>
      <c r="K7" s="5" t="str">
        <f aca="false">IF(AND(ISNUMBER(I7),J7="OBSERVED_NET_CONDITIONAL_SCOPE",OR(IFERROR(IF(INDEX(02_Цены!$E$2:$E$1000,MATCH(D7,02_Цены!$A$2:$A$1000,0))="","",INDEX(02_Цены!$E$2:$E$1000,MATCH(D7,02_Цены!$A$2:$A$1000,0))),"")="",E7=IFERROR(IF(INDEX(02_Цены!$E$2:$E$1000,MATCH(D7,02_Цены!$A$2:$A$1000,0))="","",INDEX(02_Цены!$E$2:$E$1000,MATCH(D7,02_Цены!$A$2:$A$1000,0))),""))),"PRICE_OBSERVED","BLOCK")</f>
        <v>PRICE_OBSERVED</v>
      </c>
      <c r="L7" s="9" t="s">
        <v>215</v>
      </c>
    </row>
    <row r="8" customFormat="false" ht="66" hidden="false" customHeight="true" outlineLevel="0" collapsed="false">
      <c r="A8" s="2" t="s">
        <v>694</v>
      </c>
      <c r="B8" s="2" t="s">
        <v>695</v>
      </c>
      <c r="C8" s="2" t="s">
        <v>236</v>
      </c>
      <c r="D8" s="9" t="s">
        <v>235</v>
      </c>
      <c r="E8" s="10" t="n">
        <v>2</v>
      </c>
      <c r="F8" s="9" t="s">
        <v>239</v>
      </c>
      <c r="G8" s="5" t="str">
        <f aca="false">IFERROR(IF(INDEX(02_Цены!$D$2:$D$1000,MATCH(D8,02_Цены!$A$2:$A$1000,0))="","",INDEX(02_Цены!$D$2:$D$1000,MATCH(D8,02_Цены!$A$2:$A$1000,0))),"")</f>
        <v>MultiPlus-II 24/3000/70-32 PMP242305010</v>
      </c>
      <c r="H8" s="5" t="n">
        <f aca="false">IFERROR(IF(INDEX(02_Цены!$L$2:$L$1000,MATCH(D8,02_Цены!$A$2:$A$1000,0))="","",INDEX(02_Цены!$L$2:$L$1000,MATCH(D8,02_Цены!$A$2:$A$1000,0))),"")</f>
        <v>739.45</v>
      </c>
      <c r="I8" s="5" t="n">
        <f aca="false">IF(AND(ISNUMBER(E8),E8&gt;=0,ISNUMBER(H8)),ROUND(E8*H8,2),"")</f>
        <v>1478.9</v>
      </c>
      <c r="J8" s="5" t="str">
        <f aca="false">IFERROR(IF(INDEX(02_Цены!$M$2:$M$1000,MATCH(D8,02_Цены!$A$2:$A$1000,0))="","",INDEX(02_Цены!$M$2:$M$1000,MATCH(D8,02_Цены!$A$2:$A$1000,0))),"")</f>
        <v>OBSERVED_NET_CONDITIONAL_SCOPE</v>
      </c>
      <c r="K8" s="5" t="str">
        <f aca="false">IF(AND(ISNUMBER(I8),J8="OBSERVED_NET_CONDITIONAL_SCOPE",OR(IFERROR(IF(INDEX(02_Цены!$E$2:$E$1000,MATCH(D8,02_Цены!$A$2:$A$1000,0))="","",INDEX(02_Цены!$E$2:$E$1000,MATCH(D8,02_Цены!$A$2:$A$1000,0))),"")="",E8=IFERROR(IF(INDEX(02_Цены!$E$2:$E$1000,MATCH(D8,02_Цены!$A$2:$A$1000,0))="","",INDEX(02_Цены!$E$2:$E$1000,MATCH(D8,02_Цены!$A$2:$A$1000,0))),""))),"PRICE_OBSERVED","BLOCK")</f>
        <v>PRICE_OBSERVED</v>
      </c>
      <c r="L8" s="9" t="s">
        <v>245</v>
      </c>
    </row>
    <row r="9" customFormat="false" ht="66" hidden="false" customHeight="true" outlineLevel="0" collapsed="false">
      <c r="A9" s="3" t="s">
        <v>696</v>
      </c>
      <c r="B9" s="3" t="s">
        <v>695</v>
      </c>
      <c r="C9" s="3" t="s">
        <v>263</v>
      </c>
      <c r="D9" s="9" t="s">
        <v>262</v>
      </c>
      <c r="E9" s="9"/>
      <c r="F9" s="9" t="s">
        <v>239</v>
      </c>
      <c r="G9" s="5" t="str">
        <f aca="false">IFERROR(IF(INDEX(02_Цены!$D$2:$D$1000,MATCH(D9,02_Цены!$A$2:$A$1000,0))="","",INDEX(02_Цены!$D$2:$D$1000,MATCH(D9,02_Цены!$A$2:$A$1000,0))),"")</f>
        <v>3600 ITR040362042</v>
      </c>
      <c r="H9" s="5" t="n">
        <f aca="false">IFERROR(IF(INDEX(02_Цены!$L$2:$L$1000,MATCH(D9,02_Цены!$A$2:$A$1000,0))="","",INDEX(02_Цены!$L$2:$L$1000,MATCH(D9,02_Цены!$A$2:$A$1000,0))),"")</f>
        <v>436.93</v>
      </c>
      <c r="I9" s="5" t="str">
        <f aca="false">IF(AND(ISNUMBER(E9),E9&gt;=0,ISNUMBER(H9)),ROUND(E9*H9,2),"")</f>
        <v/>
      </c>
      <c r="J9" s="5" t="str">
        <f aca="false">IFERROR(IF(INDEX(02_Цены!$M$2:$M$1000,MATCH(D9,02_Цены!$A$2:$A$1000,0))="","",INDEX(02_Цены!$M$2:$M$1000,MATCH(D9,02_Цены!$A$2:$A$1000,0))),"")</f>
        <v>OBSERVED_NET_CONDITIONAL_SCOPE</v>
      </c>
      <c r="K9" s="5" t="str">
        <f aca="false">IF(AND(ISNUMBER(I9),J9="OBSERVED_NET_CONDITIONAL_SCOPE",OR(IFERROR(IF(INDEX(02_Цены!$E$2:$E$1000,MATCH(D9,02_Цены!$A$2:$A$1000,0))="","",INDEX(02_Цены!$E$2:$E$1000,MATCH(D9,02_Цены!$A$2:$A$1000,0))),"")="",E9=IFERROR(IF(INDEX(02_Цены!$E$2:$E$1000,MATCH(D9,02_Цены!$A$2:$A$1000,0))="","",INDEX(02_Цены!$E$2:$E$1000,MATCH(D9,02_Цены!$A$2:$A$1000,0))),""))),"PRICE_OBSERVED","BLOCK")</f>
        <v>BLOCK</v>
      </c>
      <c r="L9" s="9" t="s">
        <v>270</v>
      </c>
    </row>
    <row r="10" customFormat="false" ht="66" hidden="false" customHeight="true" outlineLevel="0" collapsed="false">
      <c r="A10" s="2" t="s">
        <v>697</v>
      </c>
      <c r="B10" s="2" t="s">
        <v>698</v>
      </c>
      <c r="C10" s="2" t="s">
        <v>236</v>
      </c>
      <c r="D10" s="9" t="s">
        <v>247</v>
      </c>
      <c r="E10" s="10" t="n">
        <v>2</v>
      </c>
      <c r="F10" s="9" t="s">
        <v>239</v>
      </c>
      <c r="G10" s="5" t="str">
        <f aca="false">IFERROR(IF(INDEX(02_Цены!$D$2:$D$1000,MATCH(D10,02_Цены!$A$2:$A$1000,0))="","",INDEX(02_Цены!$D$2:$D$1000,MATCH(D10,02_Цены!$A$2:$A$1000,0))),"")</f>
        <v>MultiPlus-II GX 24/3000/70-32 PMP242306000</v>
      </c>
      <c r="H10" s="5" t="n">
        <f aca="false">IFERROR(IF(INDEX(02_Цены!$L$2:$L$1000,MATCH(D10,02_Цены!$A$2:$A$1000,0))="","",INDEX(02_Цены!$L$2:$L$1000,MATCH(D10,02_Цены!$A$2:$A$1000,0))),"")</f>
        <v>840.29</v>
      </c>
      <c r="I10" s="5" t="n">
        <f aca="false">IF(AND(ISNUMBER(E10),E10&gt;=0,ISNUMBER(H10)),ROUND(E10*H10,2),"")</f>
        <v>1680.58</v>
      </c>
      <c r="J10" s="5" t="str">
        <f aca="false">IFERROR(IF(INDEX(02_Цены!$M$2:$M$1000,MATCH(D10,02_Цены!$A$2:$A$1000,0))="","",INDEX(02_Цены!$M$2:$M$1000,MATCH(D10,02_Цены!$A$2:$A$1000,0))),"")</f>
        <v>OBSERVED_NET_CONDITIONAL_SCOPE</v>
      </c>
      <c r="K10" s="5" t="str">
        <f aca="false">IF(AND(ISNUMBER(I10),J10="OBSERVED_NET_CONDITIONAL_SCOPE",OR(IFERROR(IF(INDEX(02_Цены!$E$2:$E$1000,MATCH(D10,02_Цены!$A$2:$A$1000,0))="","",INDEX(02_Цены!$E$2:$E$1000,MATCH(D10,02_Цены!$A$2:$A$1000,0))),"")="",E10=IFERROR(IF(INDEX(02_Цены!$E$2:$E$1000,MATCH(D10,02_Цены!$A$2:$A$1000,0))="","",INDEX(02_Цены!$E$2:$E$1000,MATCH(D10,02_Цены!$A$2:$A$1000,0))),""))),"PRICE_OBSERVED","BLOCK")</f>
        <v>PRICE_OBSERVED</v>
      </c>
      <c r="L10" s="9" t="s">
        <v>252</v>
      </c>
    </row>
    <row r="11" customFormat="false" ht="66" hidden="false" customHeight="true" outlineLevel="0" collapsed="false">
      <c r="A11" s="3" t="s">
        <v>699</v>
      </c>
      <c r="B11" s="3" t="s">
        <v>698</v>
      </c>
      <c r="C11" s="3" t="s">
        <v>263</v>
      </c>
      <c r="D11" s="9" t="s">
        <v>271</v>
      </c>
      <c r="E11" s="9"/>
      <c r="F11" s="9" t="s">
        <v>239</v>
      </c>
      <c r="G11" s="5" t="str">
        <f aca="false">IFERROR(IF(INDEX(02_Цены!$D$2:$D$1000,MATCH(D11,02_Цены!$A$2:$A$1000,0))="","",INDEX(02_Цены!$D$2:$D$1000,MATCH(D11,02_Цены!$A$2:$A$1000,0))),"")</f>
        <v>Mass GI3.5 88000355</v>
      </c>
      <c r="H11" s="5" t="n">
        <f aca="false">IFERROR(IF(INDEX(02_Цены!$L$2:$L$1000,MATCH(D11,02_Цены!$A$2:$A$1000,0))="","",INDEX(02_Цены!$L$2:$L$1000,MATCH(D11,02_Цены!$A$2:$A$1000,0))),"")</f>
        <v>1008.36</v>
      </c>
      <c r="I11" s="5" t="str">
        <f aca="false">IF(AND(ISNUMBER(E11),E11&gt;=0,ISNUMBER(H11)),ROUND(E11*H11,2),"")</f>
        <v/>
      </c>
      <c r="J11" s="5" t="str">
        <f aca="false">IFERROR(IF(INDEX(02_Цены!$M$2:$M$1000,MATCH(D11,02_Цены!$A$2:$A$1000,0))="","",INDEX(02_Цены!$M$2:$M$1000,MATCH(D11,02_Цены!$A$2:$A$1000,0))),"")</f>
        <v>OBSERVED_NET_CONDITIONAL_SCOPE</v>
      </c>
      <c r="K11" s="5" t="str">
        <f aca="false">IF(AND(ISNUMBER(I11),J11="OBSERVED_NET_CONDITIONAL_SCOPE",OR(IFERROR(IF(INDEX(02_Цены!$E$2:$E$1000,MATCH(D11,02_Цены!$A$2:$A$1000,0))="","",INDEX(02_Цены!$E$2:$E$1000,MATCH(D11,02_Цены!$A$2:$A$1000,0))),"")="",E11=IFERROR(IF(INDEX(02_Цены!$E$2:$E$1000,MATCH(D11,02_Цены!$A$2:$A$1000,0))="","",INDEX(02_Цены!$E$2:$E$1000,MATCH(D11,02_Цены!$A$2:$A$1000,0))),""))),"PRICE_OBSERVED","BLOCK")</f>
        <v>BLOCK</v>
      </c>
      <c r="L11" s="9" t="s">
        <v>277</v>
      </c>
    </row>
    <row r="12" customFormat="false" ht="66" hidden="false" customHeight="true" outlineLevel="0" collapsed="false">
      <c r="A12" s="2" t="s">
        <v>700</v>
      </c>
      <c r="B12" s="2" t="s">
        <v>701</v>
      </c>
      <c r="C12" s="2" t="s">
        <v>236</v>
      </c>
      <c r="D12" s="9" t="s">
        <v>254</v>
      </c>
      <c r="E12" s="10" t="n">
        <v>2</v>
      </c>
      <c r="F12" s="9" t="s">
        <v>239</v>
      </c>
      <c r="G12" s="5" t="str">
        <f aca="false">IFERROR(IF(INDEX(02_Цены!$D$2:$D$1000,MATCH(D12,02_Цены!$A$2:$A$1000,0))="","",INDEX(02_Цены!$D$2:$D$1000,MATCH(D12,02_Цены!$A$2:$A$1000,0))),"")</f>
        <v>CombiMaster 24/3000-60 230V 35023000</v>
      </c>
      <c r="H12" s="5" t="n">
        <f aca="false">IFERROR(IF(INDEX(02_Цены!$L$2:$L$1000,MATCH(D12,02_Цены!$A$2:$A$1000,0))="","",INDEX(02_Цены!$L$2:$L$1000,MATCH(D12,02_Цены!$A$2:$A$1000,0))),"")</f>
        <v>1344.5</v>
      </c>
      <c r="I12" s="5" t="n">
        <f aca="false">IF(AND(ISNUMBER(E12),E12&gt;=0,ISNUMBER(H12)),ROUND(E12*H12,2),"")</f>
        <v>2689</v>
      </c>
      <c r="J12" s="5" t="str">
        <f aca="false">IFERROR(IF(INDEX(02_Цены!$M$2:$M$1000,MATCH(D12,02_Цены!$A$2:$A$1000,0))="","",INDEX(02_Цены!$M$2:$M$1000,MATCH(D12,02_Цены!$A$2:$A$1000,0))),"")</f>
        <v>OBSERVED_NET_CONDITIONAL_SCOPE</v>
      </c>
      <c r="K12" s="5" t="str">
        <f aca="false">IF(AND(ISNUMBER(I12),J12="OBSERVED_NET_CONDITIONAL_SCOPE",OR(IFERROR(IF(INDEX(02_Цены!$E$2:$E$1000,MATCH(D12,02_Цены!$A$2:$A$1000,0))="","",INDEX(02_Цены!$E$2:$E$1000,MATCH(D12,02_Цены!$A$2:$A$1000,0))),"")="",E12=IFERROR(IF(INDEX(02_Цены!$E$2:$E$1000,MATCH(D12,02_Цены!$A$2:$A$1000,0))="","",INDEX(02_Цены!$E$2:$E$1000,MATCH(D12,02_Цены!$A$2:$A$1000,0))),""))),"PRICE_OBSERVED","BLOCK")</f>
        <v>PRICE_OBSERVED</v>
      </c>
      <c r="L12" s="9" t="s">
        <v>261</v>
      </c>
    </row>
    <row r="13" customFormat="false" ht="66" hidden="false" customHeight="true" outlineLevel="0" collapsed="false">
      <c r="A13" s="3" t="s">
        <v>702</v>
      </c>
      <c r="B13" s="3" t="s">
        <v>701</v>
      </c>
      <c r="C13" s="3" t="s">
        <v>263</v>
      </c>
      <c r="D13" s="9" t="s">
        <v>271</v>
      </c>
      <c r="E13" s="9"/>
      <c r="F13" s="9" t="s">
        <v>239</v>
      </c>
      <c r="G13" s="5" t="str">
        <f aca="false">IFERROR(IF(INDEX(02_Цены!$D$2:$D$1000,MATCH(D13,02_Цены!$A$2:$A$1000,0))="","",INDEX(02_Цены!$D$2:$D$1000,MATCH(D13,02_Цены!$A$2:$A$1000,0))),"")</f>
        <v>Mass GI3.5 88000355</v>
      </c>
      <c r="H13" s="5" t="n">
        <f aca="false">IFERROR(IF(INDEX(02_Цены!$L$2:$L$1000,MATCH(D13,02_Цены!$A$2:$A$1000,0))="","",INDEX(02_Цены!$L$2:$L$1000,MATCH(D13,02_Цены!$A$2:$A$1000,0))),"")</f>
        <v>1008.36</v>
      </c>
      <c r="I13" s="5" t="str">
        <f aca="false">IF(AND(ISNUMBER(E13),E13&gt;=0,ISNUMBER(H13)),ROUND(E13*H13,2),"")</f>
        <v/>
      </c>
      <c r="J13" s="5" t="str">
        <f aca="false">IFERROR(IF(INDEX(02_Цены!$M$2:$M$1000,MATCH(D13,02_Цены!$A$2:$A$1000,0))="","",INDEX(02_Цены!$M$2:$M$1000,MATCH(D13,02_Цены!$A$2:$A$1000,0))),"")</f>
        <v>OBSERVED_NET_CONDITIONAL_SCOPE</v>
      </c>
      <c r="K13" s="5" t="str">
        <f aca="false">IF(AND(ISNUMBER(I13),J13="OBSERVED_NET_CONDITIONAL_SCOPE",OR(IFERROR(IF(INDEX(02_Цены!$E$2:$E$1000,MATCH(D13,02_Цены!$A$2:$A$1000,0))="","",INDEX(02_Цены!$E$2:$E$1000,MATCH(D13,02_Цены!$A$2:$A$1000,0))),"")="",E13=IFERROR(IF(INDEX(02_Цены!$E$2:$E$1000,MATCH(D13,02_Цены!$A$2:$A$1000,0))="","",INDEX(02_Цены!$E$2:$E$1000,MATCH(D13,02_Цены!$A$2:$A$1000,0))),""))),"PRICE_OBSERVED","BLOCK")</f>
        <v>BLOCK</v>
      </c>
      <c r="L13" s="9" t="s">
        <v>277</v>
      </c>
    </row>
    <row r="14" customFormat="false" ht="66" hidden="false" customHeight="true" outlineLevel="0" collapsed="false">
      <c r="A14" s="2" t="s">
        <v>703</v>
      </c>
      <c r="B14" s="2" t="s">
        <v>704</v>
      </c>
      <c r="C14" s="2" t="s">
        <v>290</v>
      </c>
      <c r="D14" s="9" t="s">
        <v>289</v>
      </c>
      <c r="E14" s="10" t="n">
        <v>6</v>
      </c>
      <c r="F14" s="9" t="s">
        <v>239</v>
      </c>
      <c r="G14" s="5" t="str">
        <f aca="false">IFERROR(IF(INDEX(02_Цены!$D$2:$D$1000,MATCH(D14,02_Цены!$A$2:$A$1000,0))="","",INDEX(02_Цены!$D$2:$D$1000,MATCH(D14,02_Цены!$A$2:$A$1000,0))),"")</f>
        <v>ER550 12V115Ah</v>
      </c>
      <c r="H14" s="5" t="n">
        <f aca="false">IFERROR(IF(INDEX(02_Цены!$L$2:$L$1000,MATCH(D14,02_Цены!$A$2:$A$1000,0))="","",INDEX(02_Цены!$L$2:$L$1000,MATCH(D14,02_Цены!$A$2:$A$1000,0))),"")</f>
        <v>140.24</v>
      </c>
      <c r="I14" s="5" t="n">
        <f aca="false">IF(AND(ISNUMBER(E14),E14&gt;=0,ISNUMBER(H14)),ROUND(E14*H14,2),"")</f>
        <v>841.44</v>
      </c>
      <c r="J14" s="5" t="str">
        <f aca="false">IFERROR(IF(INDEX(02_Цены!$M$2:$M$1000,MATCH(D14,02_Цены!$A$2:$A$1000,0))="","",INDEX(02_Цены!$M$2:$M$1000,MATCH(D14,02_Цены!$A$2:$A$1000,0))),"")</f>
        <v>OBSERVED_NET_CONDITIONAL_SCOPE</v>
      </c>
      <c r="K14" s="5" t="str">
        <f aca="false">IF(AND(ISNUMBER(I14),J14="OBSERVED_NET_CONDITIONAL_SCOPE",OR(IFERROR(IF(INDEX(02_Цены!$E$2:$E$1000,MATCH(D14,02_Цены!$A$2:$A$1000,0))="","",INDEX(02_Цены!$E$2:$E$1000,MATCH(D14,02_Цены!$A$2:$A$1000,0))),"")="",E14=IFERROR(IF(INDEX(02_Цены!$E$2:$E$1000,MATCH(D14,02_Цены!$A$2:$A$1000,0))="","",INDEX(02_Цены!$E$2:$E$1000,MATCH(D14,02_Цены!$A$2:$A$1000,0))),""))),"PRICE_OBSERVED","BLOCK")</f>
        <v>PRICE_OBSERVED</v>
      </c>
      <c r="L14" s="9" t="s">
        <v>297</v>
      </c>
    </row>
    <row r="15" customFormat="false" ht="66" hidden="false" customHeight="true" outlineLevel="0" collapsed="false">
      <c r="A15" s="3" t="s">
        <v>705</v>
      </c>
      <c r="B15" s="3" t="s">
        <v>704</v>
      </c>
      <c r="C15" s="3" t="s">
        <v>357</v>
      </c>
      <c r="D15" s="9" t="s">
        <v>356</v>
      </c>
      <c r="E15" s="10" t="n">
        <v>1</v>
      </c>
      <c r="F15" s="9" t="s">
        <v>239</v>
      </c>
      <c r="G15" s="5" t="str">
        <f aca="false">IFERROR(IF(INDEX(02_Цены!$D$2:$D$1000,MATCH(D15,02_Цены!$A$2:$A$1000,0))="","",INDEX(02_Цены!$D$2:$D$1000,MATCH(D15,02_Цены!$A$2:$A$1000,0))),"")</f>
        <v>UNSIZED</v>
      </c>
      <c r="H15" s="5" t="str">
        <f aca="false">IFERROR(IF(INDEX(02_Цены!$L$2:$L$1000,MATCH(D15,02_Цены!$A$2:$A$1000,0))="","",INDEX(02_Цены!$L$2:$L$1000,MATCH(D15,02_Цены!$A$2:$A$1000,0))),"")</f>
        <v/>
      </c>
      <c r="I15" s="5" t="str">
        <f aca="false">IF(AND(ISNUMBER(E15),E15&gt;=0,ISNUMBER(H15)),ROUND(E15*H15,2),"")</f>
        <v/>
      </c>
      <c r="J15" s="5" t="str">
        <f aca="false">IFERROR(IF(INDEX(02_Цены!$M$2:$M$1000,MATCH(D15,02_Цены!$A$2:$A$1000,0))="","",INDEX(02_Цены!$M$2:$M$1000,MATCH(D15,02_Цены!$A$2:$A$1000,0))),"")</f>
        <v>NO_VERIFIED_NET</v>
      </c>
      <c r="K15" s="5" t="str">
        <f aca="false">IF(AND(ISNUMBER(I15),J15="OBSERVED_NET_CONDITIONAL_SCOPE",OR(IFERROR(IF(INDEX(02_Цены!$E$2:$E$1000,MATCH(D15,02_Цены!$A$2:$A$1000,0))="","",INDEX(02_Цены!$E$2:$E$1000,MATCH(D15,02_Цены!$A$2:$A$1000,0))),"")="",E15=IFERROR(IF(INDEX(02_Цены!$E$2:$E$1000,MATCH(D15,02_Цены!$A$2:$A$1000,0))="","",INDEX(02_Цены!$E$2:$E$1000,MATCH(D15,02_Цены!$A$2:$A$1000,0))),""))),"PRICE_OBSERVED","BLOCK")</f>
        <v>BLOCK</v>
      </c>
      <c r="L15" s="9" t="s">
        <v>359</v>
      </c>
    </row>
    <row r="16" customFormat="false" ht="66" hidden="false" customHeight="true" outlineLevel="0" collapsed="false">
      <c r="A16" s="2" t="s">
        <v>706</v>
      </c>
      <c r="B16" s="2" t="s">
        <v>704</v>
      </c>
      <c r="C16" s="2" t="s">
        <v>361</v>
      </c>
      <c r="D16" s="9" t="s">
        <v>360</v>
      </c>
      <c r="E16" s="10" t="n">
        <v>2</v>
      </c>
      <c r="F16" s="9" t="s">
        <v>239</v>
      </c>
      <c r="G16" s="5" t="str">
        <f aca="false">IFERROR(IF(INDEX(02_Цены!$D$2:$D$1000,MATCH(D16,02_Цены!$A$2:$A$1000,0))="","",INDEX(02_Цены!$D$2:$D$1000,MATCH(D16,02_Цены!$A$2:$A$1000,0))),"")</f>
        <v>UNSIZED</v>
      </c>
      <c r="H16" s="5" t="str">
        <f aca="false">IFERROR(IF(INDEX(02_Цены!$L$2:$L$1000,MATCH(D16,02_Цены!$A$2:$A$1000,0))="","",INDEX(02_Цены!$L$2:$L$1000,MATCH(D16,02_Цены!$A$2:$A$1000,0))),"")</f>
        <v/>
      </c>
      <c r="I16" s="5" t="str">
        <f aca="false">IF(AND(ISNUMBER(E16),E16&gt;=0,ISNUMBER(H16)),ROUND(E16*H16,2),"")</f>
        <v/>
      </c>
      <c r="J16" s="5" t="str">
        <f aca="false">IFERROR(IF(INDEX(02_Цены!$M$2:$M$1000,MATCH(D16,02_Цены!$A$2:$A$1000,0))="","",INDEX(02_Цены!$M$2:$M$1000,MATCH(D16,02_Цены!$A$2:$A$1000,0))),"")</f>
        <v>NO_VERIFIED_NET</v>
      </c>
      <c r="K16" s="5" t="str">
        <f aca="false">IF(AND(ISNUMBER(I16),J16="OBSERVED_NET_CONDITIONAL_SCOPE",OR(IFERROR(IF(INDEX(02_Цены!$E$2:$E$1000,MATCH(D16,02_Цены!$A$2:$A$1000,0))="","",INDEX(02_Цены!$E$2:$E$1000,MATCH(D16,02_Цены!$A$2:$A$1000,0))),"")="",E16=IFERROR(IF(INDEX(02_Цены!$E$2:$E$1000,MATCH(D16,02_Цены!$A$2:$A$1000,0))="","",INDEX(02_Цены!$E$2:$E$1000,MATCH(D16,02_Цены!$A$2:$A$1000,0))),""))),"PRICE_OBSERVED","BLOCK")</f>
        <v>BLOCK</v>
      </c>
      <c r="L16" s="9" t="s">
        <v>362</v>
      </c>
    </row>
    <row r="17" customFormat="false" ht="66" hidden="false" customHeight="true" outlineLevel="0" collapsed="false">
      <c r="A17" s="3" t="s">
        <v>707</v>
      </c>
      <c r="B17" s="3" t="s">
        <v>704</v>
      </c>
      <c r="C17" s="3" t="s">
        <v>337</v>
      </c>
      <c r="D17" s="9" t="s">
        <v>336</v>
      </c>
      <c r="E17" s="9"/>
      <c r="F17" s="9" t="s">
        <v>239</v>
      </c>
      <c r="G17" s="5" t="str">
        <f aca="false">IFERROR(IF(INDEX(02_Цены!$D$2:$D$1000,MATCH(D17,02_Цены!$A$2:$A$1000,0))="","",INDEX(02_Цены!$D$2:$D$1000,MATCH(D17,02_Цены!$A$2:$A$1000,0))),"")</f>
        <v>ML-RBS7702 24V</v>
      </c>
      <c r="H17" s="5" t="n">
        <f aca="false">IFERROR(IF(INDEX(02_Цены!$L$2:$L$1000,MATCH(D17,02_Цены!$A$2:$A$1000,0))="","",INDEX(02_Цены!$L$2:$L$1000,MATCH(D17,02_Цены!$A$2:$A$1000,0))),"")</f>
        <v>239.45</v>
      </c>
      <c r="I17" s="5" t="str">
        <f aca="false">IF(AND(ISNUMBER(E17),E17&gt;=0,ISNUMBER(H17)),ROUND(E17*H17,2),"")</f>
        <v/>
      </c>
      <c r="J17" s="5" t="str">
        <f aca="false">IFERROR(IF(INDEX(02_Цены!$M$2:$M$1000,MATCH(D17,02_Цены!$A$2:$A$1000,0))="","",INDEX(02_Цены!$M$2:$M$1000,MATCH(D17,02_Цены!$A$2:$A$1000,0))),"")</f>
        <v>OBSERVED_NET_CONDITIONAL_SCOPE</v>
      </c>
      <c r="K17" s="5" t="str">
        <f aca="false">IF(AND(ISNUMBER(I17),J17="OBSERVED_NET_CONDITIONAL_SCOPE",OR(IFERROR(IF(INDEX(02_Цены!$E$2:$E$1000,MATCH(D17,02_Цены!$A$2:$A$1000,0))="","",INDEX(02_Цены!$E$2:$E$1000,MATCH(D17,02_Цены!$A$2:$A$1000,0))),"")="",E17=IFERROR(IF(INDEX(02_Цены!$E$2:$E$1000,MATCH(D17,02_Цены!$A$2:$A$1000,0))="","",INDEX(02_Цены!$E$2:$E$1000,MATCH(D17,02_Цены!$A$2:$A$1000,0))),""))),"PRICE_OBSERVED","BLOCK")</f>
        <v>BLOCK</v>
      </c>
      <c r="L17" s="9" t="s">
        <v>342</v>
      </c>
    </row>
    <row r="18" customFormat="false" ht="66" hidden="false" customHeight="true" outlineLevel="0" collapsed="false">
      <c r="A18" s="2" t="s">
        <v>708</v>
      </c>
      <c r="B18" s="2" t="s">
        <v>709</v>
      </c>
      <c r="C18" s="2" t="s">
        <v>290</v>
      </c>
      <c r="D18" s="9" t="s">
        <v>299</v>
      </c>
      <c r="E18" s="10" t="n">
        <v>6</v>
      </c>
      <c r="F18" s="9" t="s">
        <v>239</v>
      </c>
      <c r="G18" s="5" t="str">
        <f aca="false">IFERROR(IF(INDEX(02_Цены!$D$2:$D$1000,MATCH(D18,02_Цены!$A$2:$A$1000,0))="","",INDEX(02_Цены!$D$2:$D$1000,MATCH(D18,02_Цены!$A$2:$A$1000,0))),"")</f>
        <v>ALS12115 12V115Ah</v>
      </c>
      <c r="H18" s="5" t="n">
        <f aca="false">IFERROR(IF(INDEX(02_Цены!$L$2:$L$1000,MATCH(D18,02_Цены!$A$2:$A$1000,0))="","",INDEX(02_Цены!$L$2:$L$1000,MATCH(D18,02_Цены!$A$2:$A$1000,0))),"")</f>
        <v>268.07</v>
      </c>
      <c r="I18" s="5" t="n">
        <f aca="false">IF(AND(ISNUMBER(E18),E18&gt;=0,ISNUMBER(H18)),ROUND(E18*H18,2),"")</f>
        <v>1608.42</v>
      </c>
      <c r="J18" s="5" t="str">
        <f aca="false">IFERROR(IF(INDEX(02_Цены!$M$2:$M$1000,MATCH(D18,02_Цены!$A$2:$A$1000,0))="","",INDEX(02_Цены!$M$2:$M$1000,MATCH(D18,02_Цены!$A$2:$A$1000,0))),"")</f>
        <v>OBSERVED_NET_CONDITIONAL_SCOPE</v>
      </c>
      <c r="K18" s="5" t="str">
        <f aca="false">IF(AND(ISNUMBER(I18),J18="OBSERVED_NET_CONDITIONAL_SCOPE",OR(IFERROR(IF(INDEX(02_Цены!$E$2:$E$1000,MATCH(D18,02_Цены!$A$2:$A$1000,0))="","",INDEX(02_Цены!$E$2:$E$1000,MATCH(D18,02_Цены!$A$2:$A$1000,0))),"")="",E18=IFERROR(IF(INDEX(02_Цены!$E$2:$E$1000,MATCH(D18,02_Цены!$A$2:$A$1000,0))="","",INDEX(02_Цены!$E$2:$E$1000,MATCH(D18,02_Цены!$A$2:$A$1000,0))),""))),"PRICE_OBSERVED","BLOCK")</f>
        <v>PRICE_OBSERVED</v>
      </c>
      <c r="L18" s="9" t="s">
        <v>305</v>
      </c>
    </row>
    <row r="19" customFormat="false" ht="66" hidden="false" customHeight="true" outlineLevel="0" collapsed="false">
      <c r="A19" s="3" t="s">
        <v>710</v>
      </c>
      <c r="B19" s="3" t="s">
        <v>709</v>
      </c>
      <c r="C19" s="3" t="s">
        <v>357</v>
      </c>
      <c r="D19" s="9" t="s">
        <v>356</v>
      </c>
      <c r="E19" s="10" t="n">
        <v>1</v>
      </c>
      <c r="F19" s="9" t="s">
        <v>239</v>
      </c>
      <c r="G19" s="5" t="str">
        <f aca="false">IFERROR(IF(INDEX(02_Цены!$D$2:$D$1000,MATCH(D19,02_Цены!$A$2:$A$1000,0))="","",INDEX(02_Цены!$D$2:$D$1000,MATCH(D19,02_Цены!$A$2:$A$1000,0))),"")</f>
        <v>UNSIZED</v>
      </c>
      <c r="H19" s="5" t="str">
        <f aca="false">IFERROR(IF(INDEX(02_Цены!$L$2:$L$1000,MATCH(D19,02_Цены!$A$2:$A$1000,0))="","",INDEX(02_Цены!$L$2:$L$1000,MATCH(D19,02_Цены!$A$2:$A$1000,0))),"")</f>
        <v/>
      </c>
      <c r="I19" s="5" t="str">
        <f aca="false">IF(AND(ISNUMBER(E19),E19&gt;=0,ISNUMBER(H19)),ROUND(E19*H19,2),"")</f>
        <v/>
      </c>
      <c r="J19" s="5" t="str">
        <f aca="false">IFERROR(IF(INDEX(02_Цены!$M$2:$M$1000,MATCH(D19,02_Цены!$A$2:$A$1000,0))="","",INDEX(02_Цены!$M$2:$M$1000,MATCH(D19,02_Цены!$A$2:$A$1000,0))),"")</f>
        <v>NO_VERIFIED_NET</v>
      </c>
      <c r="K19" s="5" t="str">
        <f aca="false">IF(AND(ISNUMBER(I19),J19="OBSERVED_NET_CONDITIONAL_SCOPE",OR(IFERROR(IF(INDEX(02_Цены!$E$2:$E$1000,MATCH(D19,02_Цены!$A$2:$A$1000,0))="","",INDEX(02_Цены!$E$2:$E$1000,MATCH(D19,02_Цены!$A$2:$A$1000,0))),"")="",E19=IFERROR(IF(INDEX(02_Цены!$E$2:$E$1000,MATCH(D19,02_Цены!$A$2:$A$1000,0))="","",INDEX(02_Цены!$E$2:$E$1000,MATCH(D19,02_Цены!$A$2:$A$1000,0))),""))),"PRICE_OBSERVED","BLOCK")</f>
        <v>BLOCK</v>
      </c>
      <c r="L19" s="9" t="s">
        <v>359</v>
      </c>
    </row>
    <row r="20" customFormat="false" ht="66" hidden="false" customHeight="true" outlineLevel="0" collapsed="false">
      <c r="A20" s="2" t="s">
        <v>711</v>
      </c>
      <c r="B20" s="2" t="s">
        <v>709</v>
      </c>
      <c r="C20" s="2" t="s">
        <v>361</v>
      </c>
      <c r="D20" s="9" t="s">
        <v>360</v>
      </c>
      <c r="E20" s="10" t="n">
        <v>2</v>
      </c>
      <c r="F20" s="9" t="s">
        <v>239</v>
      </c>
      <c r="G20" s="5" t="str">
        <f aca="false">IFERROR(IF(INDEX(02_Цены!$D$2:$D$1000,MATCH(D20,02_Цены!$A$2:$A$1000,0))="","",INDEX(02_Цены!$D$2:$D$1000,MATCH(D20,02_Цены!$A$2:$A$1000,0))),"")</f>
        <v>UNSIZED</v>
      </c>
      <c r="H20" s="5" t="str">
        <f aca="false">IFERROR(IF(INDEX(02_Цены!$L$2:$L$1000,MATCH(D20,02_Цены!$A$2:$A$1000,0))="","",INDEX(02_Цены!$L$2:$L$1000,MATCH(D20,02_Цены!$A$2:$A$1000,0))),"")</f>
        <v/>
      </c>
      <c r="I20" s="5" t="str">
        <f aca="false">IF(AND(ISNUMBER(E20),E20&gt;=0,ISNUMBER(H20)),ROUND(E20*H20,2),"")</f>
        <v/>
      </c>
      <c r="J20" s="5" t="str">
        <f aca="false">IFERROR(IF(INDEX(02_Цены!$M$2:$M$1000,MATCH(D20,02_Цены!$A$2:$A$1000,0))="","",INDEX(02_Цены!$M$2:$M$1000,MATCH(D20,02_Цены!$A$2:$A$1000,0))),"")</f>
        <v>NO_VERIFIED_NET</v>
      </c>
      <c r="K20" s="5" t="str">
        <f aca="false">IF(AND(ISNUMBER(I20),J20="OBSERVED_NET_CONDITIONAL_SCOPE",OR(IFERROR(IF(INDEX(02_Цены!$E$2:$E$1000,MATCH(D20,02_Цены!$A$2:$A$1000,0))="","",INDEX(02_Цены!$E$2:$E$1000,MATCH(D20,02_Цены!$A$2:$A$1000,0))),"")="",E20=IFERROR(IF(INDEX(02_Цены!$E$2:$E$1000,MATCH(D20,02_Цены!$A$2:$A$1000,0))="","",INDEX(02_Цены!$E$2:$E$1000,MATCH(D20,02_Цены!$A$2:$A$1000,0))),""))),"PRICE_OBSERVED","BLOCK")</f>
        <v>BLOCK</v>
      </c>
      <c r="L20" s="9" t="s">
        <v>362</v>
      </c>
    </row>
    <row r="21" customFormat="false" ht="66" hidden="false" customHeight="true" outlineLevel="0" collapsed="false">
      <c r="A21" s="3" t="s">
        <v>712</v>
      </c>
      <c r="B21" s="3" t="s">
        <v>709</v>
      </c>
      <c r="C21" s="3" t="s">
        <v>337</v>
      </c>
      <c r="D21" s="9" t="s">
        <v>336</v>
      </c>
      <c r="E21" s="9"/>
      <c r="F21" s="9" t="s">
        <v>239</v>
      </c>
      <c r="G21" s="5" t="str">
        <f aca="false">IFERROR(IF(INDEX(02_Цены!$D$2:$D$1000,MATCH(D21,02_Цены!$A$2:$A$1000,0))="","",INDEX(02_Цены!$D$2:$D$1000,MATCH(D21,02_Цены!$A$2:$A$1000,0))),"")</f>
        <v>ML-RBS7702 24V</v>
      </c>
      <c r="H21" s="5" t="n">
        <f aca="false">IFERROR(IF(INDEX(02_Цены!$L$2:$L$1000,MATCH(D21,02_Цены!$A$2:$A$1000,0))="","",INDEX(02_Цены!$L$2:$L$1000,MATCH(D21,02_Цены!$A$2:$A$1000,0))),"")</f>
        <v>239.45</v>
      </c>
      <c r="I21" s="5" t="str">
        <f aca="false">IF(AND(ISNUMBER(E21),E21&gt;=0,ISNUMBER(H21)),ROUND(E21*H21,2),"")</f>
        <v/>
      </c>
      <c r="J21" s="5" t="str">
        <f aca="false">IFERROR(IF(INDEX(02_Цены!$M$2:$M$1000,MATCH(D21,02_Цены!$A$2:$A$1000,0))="","",INDEX(02_Цены!$M$2:$M$1000,MATCH(D21,02_Цены!$A$2:$A$1000,0))),"")</f>
        <v>OBSERVED_NET_CONDITIONAL_SCOPE</v>
      </c>
      <c r="K21" s="5" t="str">
        <f aca="false">IF(AND(ISNUMBER(I21),J21="OBSERVED_NET_CONDITIONAL_SCOPE",OR(IFERROR(IF(INDEX(02_Цены!$E$2:$E$1000,MATCH(D21,02_Цены!$A$2:$A$1000,0))="","",INDEX(02_Цены!$E$2:$E$1000,MATCH(D21,02_Цены!$A$2:$A$1000,0))),"")="",E21=IFERROR(IF(INDEX(02_Цены!$E$2:$E$1000,MATCH(D21,02_Цены!$A$2:$A$1000,0))="","",INDEX(02_Цены!$E$2:$E$1000,MATCH(D21,02_Цены!$A$2:$A$1000,0))),""))),"PRICE_OBSERVED","BLOCK")</f>
        <v>BLOCK</v>
      </c>
      <c r="L21" s="9" t="s">
        <v>342</v>
      </c>
    </row>
    <row r="22" customFormat="false" ht="66" hidden="false" customHeight="true" outlineLevel="0" collapsed="false">
      <c r="A22" s="2" t="s">
        <v>713</v>
      </c>
      <c r="B22" s="2" t="s">
        <v>714</v>
      </c>
      <c r="C22" s="2" t="s">
        <v>290</v>
      </c>
      <c r="D22" s="9" t="s">
        <v>307</v>
      </c>
      <c r="E22" s="10" t="n">
        <v>6</v>
      </c>
      <c r="F22" s="9" t="s">
        <v>239</v>
      </c>
      <c r="G22" s="5" t="str">
        <f aca="false">IFERROR(IF(INDEX(02_Цены!$D$2:$D$1000,MATCH(D22,02_Цены!$A$2:$A$1000,0))="","",INDEX(02_Цены!$D$2:$D$1000,MATCH(D22,02_Цены!$A$2:$A$1000,0))),"")</f>
        <v>AGM Telecom115Ah M8 BAT412105164</v>
      </c>
      <c r="H22" s="5" t="n">
        <f aca="false">IFERROR(IF(INDEX(02_Цены!$L$2:$L$1000,MATCH(D22,02_Цены!$A$2:$A$1000,0))="","",INDEX(02_Цены!$L$2:$L$1000,MATCH(D22,02_Цены!$A$2:$A$1000,0))),"")</f>
        <v>272.69</v>
      </c>
      <c r="I22" s="5" t="n">
        <f aca="false">IF(AND(ISNUMBER(E22),E22&gt;=0,ISNUMBER(H22)),ROUND(E22*H22,2),"")</f>
        <v>1636.14</v>
      </c>
      <c r="J22" s="5" t="str">
        <f aca="false">IFERROR(IF(INDEX(02_Цены!$M$2:$M$1000,MATCH(D22,02_Цены!$A$2:$A$1000,0))="","",INDEX(02_Цены!$M$2:$M$1000,MATCH(D22,02_Цены!$A$2:$A$1000,0))),"")</f>
        <v>OBSERVED_NET_CONDITIONAL_SCOPE</v>
      </c>
      <c r="K22" s="5" t="str">
        <f aca="false">IF(AND(ISNUMBER(I22),J22="OBSERVED_NET_CONDITIONAL_SCOPE",OR(IFERROR(IF(INDEX(02_Цены!$E$2:$E$1000,MATCH(D22,02_Цены!$A$2:$A$1000,0))="","",INDEX(02_Цены!$E$2:$E$1000,MATCH(D22,02_Цены!$A$2:$A$1000,0))),"")="",E22=IFERROR(IF(INDEX(02_Цены!$E$2:$E$1000,MATCH(D22,02_Цены!$A$2:$A$1000,0))="","",INDEX(02_Цены!$E$2:$E$1000,MATCH(D22,02_Цены!$A$2:$A$1000,0))),""))),"PRICE_OBSERVED","BLOCK")</f>
        <v>PRICE_OBSERVED</v>
      </c>
      <c r="L22" s="9" t="s">
        <v>312</v>
      </c>
    </row>
    <row r="23" customFormat="false" ht="66" hidden="false" customHeight="true" outlineLevel="0" collapsed="false">
      <c r="A23" s="3" t="s">
        <v>715</v>
      </c>
      <c r="B23" s="3" t="s">
        <v>714</v>
      </c>
      <c r="C23" s="3" t="s">
        <v>357</v>
      </c>
      <c r="D23" s="9" t="s">
        <v>356</v>
      </c>
      <c r="E23" s="10" t="n">
        <v>1</v>
      </c>
      <c r="F23" s="9" t="s">
        <v>239</v>
      </c>
      <c r="G23" s="5" t="str">
        <f aca="false">IFERROR(IF(INDEX(02_Цены!$D$2:$D$1000,MATCH(D23,02_Цены!$A$2:$A$1000,0))="","",INDEX(02_Цены!$D$2:$D$1000,MATCH(D23,02_Цены!$A$2:$A$1000,0))),"")</f>
        <v>UNSIZED</v>
      </c>
      <c r="H23" s="5" t="str">
        <f aca="false">IFERROR(IF(INDEX(02_Цены!$L$2:$L$1000,MATCH(D23,02_Цены!$A$2:$A$1000,0))="","",INDEX(02_Цены!$L$2:$L$1000,MATCH(D23,02_Цены!$A$2:$A$1000,0))),"")</f>
        <v/>
      </c>
      <c r="I23" s="5" t="str">
        <f aca="false">IF(AND(ISNUMBER(E23),E23&gt;=0,ISNUMBER(H23)),ROUND(E23*H23,2),"")</f>
        <v/>
      </c>
      <c r="J23" s="5" t="str">
        <f aca="false">IFERROR(IF(INDEX(02_Цены!$M$2:$M$1000,MATCH(D23,02_Цены!$A$2:$A$1000,0))="","",INDEX(02_Цены!$M$2:$M$1000,MATCH(D23,02_Цены!$A$2:$A$1000,0))),"")</f>
        <v>NO_VERIFIED_NET</v>
      </c>
      <c r="K23" s="5" t="str">
        <f aca="false">IF(AND(ISNUMBER(I23),J23="OBSERVED_NET_CONDITIONAL_SCOPE",OR(IFERROR(IF(INDEX(02_Цены!$E$2:$E$1000,MATCH(D23,02_Цены!$A$2:$A$1000,0))="","",INDEX(02_Цены!$E$2:$E$1000,MATCH(D23,02_Цены!$A$2:$A$1000,0))),"")="",E23=IFERROR(IF(INDEX(02_Цены!$E$2:$E$1000,MATCH(D23,02_Цены!$A$2:$A$1000,0))="","",INDEX(02_Цены!$E$2:$E$1000,MATCH(D23,02_Цены!$A$2:$A$1000,0))),""))),"PRICE_OBSERVED","BLOCK")</f>
        <v>BLOCK</v>
      </c>
      <c r="L23" s="9" t="s">
        <v>359</v>
      </c>
    </row>
    <row r="24" customFormat="false" ht="66" hidden="false" customHeight="true" outlineLevel="0" collapsed="false">
      <c r="A24" s="2" t="s">
        <v>716</v>
      </c>
      <c r="B24" s="2" t="s">
        <v>714</v>
      </c>
      <c r="C24" s="2" t="s">
        <v>361</v>
      </c>
      <c r="D24" s="9" t="s">
        <v>360</v>
      </c>
      <c r="E24" s="10" t="n">
        <v>2</v>
      </c>
      <c r="F24" s="9" t="s">
        <v>239</v>
      </c>
      <c r="G24" s="5" t="str">
        <f aca="false">IFERROR(IF(INDEX(02_Цены!$D$2:$D$1000,MATCH(D24,02_Цены!$A$2:$A$1000,0))="","",INDEX(02_Цены!$D$2:$D$1000,MATCH(D24,02_Цены!$A$2:$A$1000,0))),"")</f>
        <v>UNSIZED</v>
      </c>
      <c r="H24" s="5" t="str">
        <f aca="false">IFERROR(IF(INDEX(02_Цены!$L$2:$L$1000,MATCH(D24,02_Цены!$A$2:$A$1000,0))="","",INDEX(02_Цены!$L$2:$L$1000,MATCH(D24,02_Цены!$A$2:$A$1000,0))),"")</f>
        <v/>
      </c>
      <c r="I24" s="5" t="str">
        <f aca="false">IF(AND(ISNUMBER(E24),E24&gt;=0,ISNUMBER(H24)),ROUND(E24*H24,2),"")</f>
        <v/>
      </c>
      <c r="J24" s="5" t="str">
        <f aca="false">IFERROR(IF(INDEX(02_Цены!$M$2:$M$1000,MATCH(D24,02_Цены!$A$2:$A$1000,0))="","",INDEX(02_Цены!$M$2:$M$1000,MATCH(D24,02_Цены!$A$2:$A$1000,0))),"")</f>
        <v>NO_VERIFIED_NET</v>
      </c>
      <c r="K24" s="5" t="str">
        <f aca="false">IF(AND(ISNUMBER(I24),J24="OBSERVED_NET_CONDITIONAL_SCOPE",OR(IFERROR(IF(INDEX(02_Цены!$E$2:$E$1000,MATCH(D24,02_Цены!$A$2:$A$1000,0))="","",INDEX(02_Цены!$E$2:$E$1000,MATCH(D24,02_Цены!$A$2:$A$1000,0))),"")="",E24=IFERROR(IF(INDEX(02_Цены!$E$2:$E$1000,MATCH(D24,02_Цены!$A$2:$A$1000,0))="","",INDEX(02_Цены!$E$2:$E$1000,MATCH(D24,02_Цены!$A$2:$A$1000,0))),""))),"PRICE_OBSERVED","BLOCK")</f>
        <v>BLOCK</v>
      </c>
      <c r="L24" s="9" t="s">
        <v>362</v>
      </c>
    </row>
    <row r="25" customFormat="false" ht="66" hidden="false" customHeight="true" outlineLevel="0" collapsed="false">
      <c r="A25" s="3" t="s">
        <v>717</v>
      </c>
      <c r="B25" s="3" t="s">
        <v>714</v>
      </c>
      <c r="C25" s="3" t="s">
        <v>337</v>
      </c>
      <c r="D25" s="9" t="s">
        <v>336</v>
      </c>
      <c r="E25" s="9"/>
      <c r="F25" s="9" t="s">
        <v>239</v>
      </c>
      <c r="G25" s="5" t="str">
        <f aca="false">IFERROR(IF(INDEX(02_Цены!$D$2:$D$1000,MATCH(D25,02_Цены!$A$2:$A$1000,0))="","",INDEX(02_Цены!$D$2:$D$1000,MATCH(D25,02_Цены!$A$2:$A$1000,0))),"")</f>
        <v>ML-RBS7702 24V</v>
      </c>
      <c r="H25" s="5" t="n">
        <f aca="false">IFERROR(IF(INDEX(02_Цены!$L$2:$L$1000,MATCH(D25,02_Цены!$A$2:$A$1000,0))="","",INDEX(02_Цены!$L$2:$L$1000,MATCH(D25,02_Цены!$A$2:$A$1000,0))),"")</f>
        <v>239.45</v>
      </c>
      <c r="I25" s="5" t="str">
        <f aca="false">IF(AND(ISNUMBER(E25),E25&gt;=0,ISNUMBER(H25)),ROUND(E25*H25,2),"")</f>
        <v/>
      </c>
      <c r="J25" s="5" t="str">
        <f aca="false">IFERROR(IF(INDEX(02_Цены!$M$2:$M$1000,MATCH(D25,02_Цены!$A$2:$A$1000,0))="","",INDEX(02_Цены!$M$2:$M$1000,MATCH(D25,02_Цены!$A$2:$A$1000,0))),"")</f>
        <v>OBSERVED_NET_CONDITIONAL_SCOPE</v>
      </c>
      <c r="K25" s="5" t="str">
        <f aca="false">IF(AND(ISNUMBER(I25),J25="OBSERVED_NET_CONDITIONAL_SCOPE",OR(IFERROR(IF(INDEX(02_Цены!$E$2:$E$1000,MATCH(D25,02_Цены!$A$2:$A$1000,0))="","",INDEX(02_Цены!$E$2:$E$1000,MATCH(D25,02_Цены!$A$2:$A$1000,0))),"")="",E25=IFERROR(IF(INDEX(02_Цены!$E$2:$E$1000,MATCH(D25,02_Цены!$A$2:$A$1000,0))="","",INDEX(02_Цены!$E$2:$E$1000,MATCH(D25,02_Цены!$A$2:$A$1000,0))),""))),"PRICE_OBSERVED","BLOCK")</f>
        <v>BLOCK</v>
      </c>
      <c r="L25" s="9" t="s">
        <v>342</v>
      </c>
    </row>
    <row r="26" customFormat="false" ht="66" hidden="false" customHeight="true" outlineLevel="0" collapsed="false">
      <c r="A26" s="2" t="s">
        <v>718</v>
      </c>
      <c r="B26" s="2" t="s">
        <v>719</v>
      </c>
      <c r="C26" s="2" t="s">
        <v>389</v>
      </c>
      <c r="D26" s="9" t="s">
        <v>388</v>
      </c>
      <c r="E26" s="10" t="n">
        <v>1</v>
      </c>
      <c r="F26" s="9" t="s">
        <v>366</v>
      </c>
      <c r="G26" s="5" t="str">
        <f aca="false">IFERROR(IF(INDEX(02_Цены!$D$2:$D$1000,MATCH(D26,02_Цены!$A$2:$A$1000,0))="","",INDEX(02_Цены!$D$2:$D$1000,MATCH(D26,02_Цены!$A$2:$A$1000,0))),"")</f>
        <v>OSC-16.062.24 / OEM identity reconcile</v>
      </c>
      <c r="H26" s="5" t="n">
        <f aca="false">IFERROR(IF(INDEX(02_Цены!$L$2:$L$1000,MATCH(D26,02_Цены!$A$2:$A$1000,0))="","",INDEX(02_Цены!$L$2:$L$1000,MATCH(D26,02_Цены!$A$2:$A$1000,0))),"")</f>
        <v>1024.92</v>
      </c>
      <c r="I26" s="5" t="n">
        <f aca="false">IF(AND(ISNUMBER(E26),E26&gt;=0,ISNUMBER(H26)),ROUND(E26*H26,2),"")</f>
        <v>1024.92</v>
      </c>
      <c r="J26" s="5" t="str">
        <f aca="false">IFERROR(IF(INDEX(02_Цены!$M$2:$M$1000,MATCH(D26,02_Цены!$A$2:$A$1000,0))="","",INDEX(02_Цены!$M$2:$M$1000,MATCH(D26,02_Цены!$A$2:$A$1000,0))),"")</f>
        <v>OBSERVED_NET_CONDITIONAL_SCOPE</v>
      </c>
      <c r="K26" s="5" t="str">
        <f aca="false">IF(AND(ISNUMBER(I26),J26="OBSERVED_NET_CONDITIONAL_SCOPE",OR(IFERROR(IF(INDEX(02_Цены!$E$2:$E$1000,MATCH(D26,02_Цены!$A$2:$A$1000,0))="","",INDEX(02_Цены!$E$2:$E$1000,MATCH(D26,02_Цены!$A$2:$A$1000,0))),"")="",E26=IFERROR(IF(INDEX(02_Цены!$E$2:$E$1000,MATCH(D26,02_Цены!$A$2:$A$1000,0))="","",INDEX(02_Цены!$E$2:$E$1000,MATCH(D26,02_Цены!$A$2:$A$1000,0))),""))),"PRICE_OBSERVED","BLOCK")</f>
        <v>PRICE_OBSERVED</v>
      </c>
      <c r="L26" s="9" t="s">
        <v>396</v>
      </c>
    </row>
    <row r="27" customFormat="false" ht="66" hidden="false" customHeight="true" outlineLevel="0" collapsed="false">
      <c r="A27" s="3" t="s">
        <v>720</v>
      </c>
      <c r="B27" s="3" t="s">
        <v>719</v>
      </c>
      <c r="C27" s="3" t="s">
        <v>413</v>
      </c>
      <c r="D27" s="9" t="s">
        <v>412</v>
      </c>
      <c r="E27" s="10" t="n">
        <v>1</v>
      </c>
      <c r="F27" s="9" t="s">
        <v>366</v>
      </c>
      <c r="G27" s="5" t="str">
        <f aca="false">IFERROR(IF(INDEX(02_Цены!$D$2:$D$1000,MATCH(D27,02_Цены!$A$2:$A$1000,0))="","",INDEX(02_Цены!$D$2:$D$1000,MATCH(D27,02_Цены!$A$2:$A$1000,0))),"")</f>
        <v>J-INOX/20X 230M</v>
      </c>
      <c r="H27" s="5" t="str">
        <f aca="false">IFERROR(IF(INDEX(02_Цены!$L$2:$L$1000,MATCH(D27,02_Цены!$A$2:$A$1000,0))="","",INDEX(02_Цены!$L$2:$L$1000,MATCH(D27,02_Цены!$A$2:$A$1000,0))),"")</f>
        <v/>
      </c>
      <c r="I27" s="5" t="str">
        <f aca="false">IF(AND(ISNUMBER(E27),E27&gt;=0,ISNUMBER(H27)),ROUND(E27*H27,2),"")</f>
        <v/>
      </c>
      <c r="J27" s="5" t="str">
        <f aca="false">IFERROR(IF(INDEX(02_Цены!$M$2:$M$1000,MATCH(D27,02_Цены!$A$2:$A$1000,0))="","",INDEX(02_Цены!$M$2:$M$1000,MATCH(D27,02_Цены!$A$2:$A$1000,0))),"")</f>
        <v>NO_VERIFIED_NET</v>
      </c>
      <c r="K27" s="5" t="str">
        <f aca="false">IF(AND(ISNUMBER(I27),J27="OBSERVED_NET_CONDITIONAL_SCOPE",OR(IFERROR(IF(INDEX(02_Цены!$E$2:$E$1000,MATCH(D27,02_Цены!$A$2:$A$1000,0))="","",INDEX(02_Цены!$E$2:$E$1000,MATCH(D27,02_Цены!$A$2:$A$1000,0))),"")="",E27=IFERROR(IF(INDEX(02_Цены!$E$2:$E$1000,MATCH(D27,02_Цены!$A$2:$A$1000,0))="","",INDEX(02_Цены!$E$2:$E$1000,MATCH(D27,02_Цены!$A$2:$A$1000,0))),""))),"PRICE_OBSERVED","BLOCK")</f>
        <v>BLOCK</v>
      </c>
      <c r="L27" s="9" t="s">
        <v>416</v>
      </c>
    </row>
    <row r="28" customFormat="false" ht="66" hidden="false" customHeight="true" outlineLevel="0" collapsed="false">
      <c r="A28" s="2" t="s">
        <v>721</v>
      </c>
      <c r="B28" s="2" t="s">
        <v>722</v>
      </c>
      <c r="C28" s="2" t="s">
        <v>389</v>
      </c>
      <c r="D28" s="9" t="s">
        <v>398</v>
      </c>
      <c r="E28" s="10" t="n">
        <v>1</v>
      </c>
      <c r="F28" s="9" t="s">
        <v>366</v>
      </c>
      <c r="G28" s="5" t="str">
        <f aca="false">IFERROR(IF(INDEX(02_Цены!$D$2:$D$1000,MATCH(D28,02_Цены!$A$2:$A$1000,0))="","",INDEX(02_Цены!$D$2:$D$1000,MATCH(D28,02_Цены!$A$2:$A$1000,0))),"")</f>
        <v>EcoInox1 GE011 24V20L</v>
      </c>
      <c r="H28" s="5" t="n">
        <f aca="false">IFERROR(IF(INDEX(02_Цены!$L$2:$L$1000,MATCH(D28,02_Цены!$A$2:$A$1000,0))="","",INDEX(02_Цены!$L$2:$L$1000,MATCH(D28,02_Цены!$A$2:$A$1000,0))),"")</f>
        <v>1093.25</v>
      </c>
      <c r="I28" s="5" t="n">
        <f aca="false">IF(AND(ISNUMBER(E28),E28&gt;=0,ISNUMBER(H28)),ROUND(E28*H28,2),"")</f>
        <v>1093.25</v>
      </c>
      <c r="J28" s="5" t="str">
        <f aca="false">IFERROR(IF(INDEX(02_Цены!$M$2:$M$1000,MATCH(D28,02_Цены!$A$2:$A$1000,0))="","",INDEX(02_Цены!$M$2:$M$1000,MATCH(D28,02_Цены!$A$2:$A$1000,0))),"")</f>
        <v>OBSERVED_NET_CONDITIONAL_SCOPE</v>
      </c>
      <c r="K28" s="5" t="str">
        <f aca="false">IF(AND(ISNUMBER(I28),J28="OBSERVED_NET_CONDITIONAL_SCOPE",OR(IFERROR(IF(INDEX(02_Цены!$E$2:$E$1000,MATCH(D28,02_Цены!$A$2:$A$1000,0))="","",INDEX(02_Цены!$E$2:$E$1000,MATCH(D28,02_Цены!$A$2:$A$1000,0))),"")="",E28=IFERROR(IF(INDEX(02_Цены!$E$2:$E$1000,MATCH(D28,02_Цены!$A$2:$A$1000,0))="","",INDEX(02_Цены!$E$2:$E$1000,MATCH(D28,02_Цены!$A$2:$A$1000,0))),""))),"PRICE_OBSERVED","BLOCK")</f>
        <v>PRICE_OBSERVED</v>
      </c>
      <c r="L28" s="9" t="s">
        <v>404</v>
      </c>
    </row>
    <row r="29" customFormat="false" ht="66" hidden="false" customHeight="true" outlineLevel="0" collapsed="false">
      <c r="A29" s="3" t="s">
        <v>723</v>
      </c>
      <c r="B29" s="3" t="s">
        <v>722</v>
      </c>
      <c r="C29" s="3" t="s">
        <v>413</v>
      </c>
      <c r="D29" s="9" t="s">
        <v>417</v>
      </c>
      <c r="E29" s="10" t="n">
        <v>1</v>
      </c>
      <c r="F29" s="9" t="s">
        <v>366</v>
      </c>
      <c r="G29" s="5" t="str">
        <f aca="false">IFERROR(IF(INDEX(02_Цены!$D$2:$D$1000,MATCH(D29,02_Цены!$A$2:$A$1000,0))="","",INDEX(02_Цены!$D$2:$D$1000,MATCH(D29,02_Цены!$A$2:$A$1000,0))),"")</f>
        <v>EcoInox2 GE017 230V20L</v>
      </c>
      <c r="H29" s="5" t="n">
        <f aca="false">IFERROR(IF(INDEX(02_Цены!$L$2:$L$1000,MATCH(D29,02_Цены!$A$2:$A$1000,0))="","",INDEX(02_Цены!$L$2:$L$1000,MATCH(D29,02_Цены!$A$2:$A$1000,0))),"")</f>
        <v>1052.5</v>
      </c>
      <c r="I29" s="5" t="n">
        <f aca="false">IF(AND(ISNUMBER(E29),E29&gt;=0,ISNUMBER(H29)),ROUND(E29*H29,2),"")</f>
        <v>1052.5</v>
      </c>
      <c r="J29" s="5" t="str">
        <f aca="false">IFERROR(IF(INDEX(02_Цены!$M$2:$M$1000,MATCH(D29,02_Цены!$A$2:$A$1000,0))="","",INDEX(02_Цены!$M$2:$M$1000,MATCH(D29,02_Цены!$A$2:$A$1000,0))),"")</f>
        <v>OBSERVED_NET_CONDITIONAL_SCOPE</v>
      </c>
      <c r="K29" s="5" t="str">
        <f aca="false">IF(AND(ISNUMBER(I29),J29="OBSERVED_NET_CONDITIONAL_SCOPE",OR(IFERROR(IF(INDEX(02_Цены!$E$2:$E$1000,MATCH(D29,02_Цены!$A$2:$A$1000,0))="","",INDEX(02_Цены!$E$2:$E$1000,MATCH(D29,02_Цены!$A$2:$A$1000,0))),"")="",E29=IFERROR(IF(INDEX(02_Цены!$E$2:$E$1000,MATCH(D29,02_Цены!$A$2:$A$1000,0))="","",INDEX(02_Цены!$E$2:$E$1000,MATCH(D29,02_Цены!$A$2:$A$1000,0))),""))),"PRICE_OBSERVED","BLOCK")</f>
        <v>PRICE_OBSERVED</v>
      </c>
      <c r="L29" s="9" t="s">
        <v>421</v>
      </c>
    </row>
    <row r="30" customFormat="false" ht="66" hidden="false" customHeight="true" outlineLevel="0" collapsed="false">
      <c r="A30" s="2" t="s">
        <v>724</v>
      </c>
      <c r="B30" s="2" t="s">
        <v>725</v>
      </c>
      <c r="C30" s="2" t="s">
        <v>389</v>
      </c>
      <c r="D30" s="9" t="s">
        <v>406</v>
      </c>
      <c r="E30" s="10" t="n">
        <v>1</v>
      </c>
      <c r="F30" s="9" t="s">
        <v>366</v>
      </c>
      <c r="G30" s="5" t="str">
        <f aca="false">IFERROR(IF(INDEX(02_Цены!$D$2:$D$1000,MATCH(D30,02_Цены!$A$2:$A$1000,0))="","",INDEX(02_Цены!$D$2:$D$1000,MATCH(D30,02_Цены!$A$2:$A$1000,0))),"")</f>
        <v>GH24-0.37-24L-OT RB18-ED</v>
      </c>
      <c r="H30" s="5" t="str">
        <f aca="false">IFERROR(IF(INDEX(02_Цены!$L$2:$L$1000,MATCH(D30,02_Цены!$A$2:$A$1000,0))="","",INDEX(02_Цены!$L$2:$L$1000,MATCH(D30,02_Цены!$A$2:$A$1000,0))),"")</f>
        <v/>
      </c>
      <c r="I30" s="5" t="str">
        <f aca="false">IF(AND(ISNUMBER(E30),E30&gt;=0,ISNUMBER(H30)),ROUND(E30*H30,2),"")</f>
        <v/>
      </c>
      <c r="J30" s="5" t="str">
        <f aca="false">IFERROR(IF(INDEX(02_Цены!$M$2:$M$1000,MATCH(D30,02_Цены!$A$2:$A$1000,0))="","",INDEX(02_Цены!$M$2:$M$1000,MATCH(D30,02_Цены!$A$2:$A$1000,0))),"")</f>
        <v>NO_VERIFIED_NET</v>
      </c>
      <c r="K30" s="5" t="str">
        <f aca="false">IF(AND(ISNUMBER(I30),J30="OBSERVED_NET_CONDITIONAL_SCOPE",OR(IFERROR(IF(INDEX(02_Цены!$E$2:$E$1000,MATCH(D30,02_Цены!$A$2:$A$1000,0))="","",INDEX(02_Цены!$E$2:$E$1000,MATCH(D30,02_Цены!$A$2:$A$1000,0))),"")="",E30=IFERROR(IF(INDEX(02_Цены!$E$2:$E$1000,MATCH(D30,02_Цены!$A$2:$A$1000,0))="","",INDEX(02_Цены!$E$2:$E$1000,MATCH(D30,02_Цены!$A$2:$A$1000,0))),""))),"PRICE_OBSERVED","BLOCK")</f>
        <v>BLOCK</v>
      </c>
      <c r="L30" s="9" t="s">
        <v>411</v>
      </c>
    </row>
    <row r="31" customFormat="false" ht="66" hidden="false" customHeight="true" outlineLevel="0" collapsed="false">
      <c r="A31" s="3" t="s">
        <v>726</v>
      </c>
      <c r="B31" s="3" t="s">
        <v>725</v>
      </c>
      <c r="C31" s="3" t="s">
        <v>413</v>
      </c>
      <c r="D31" s="9" t="s">
        <v>423</v>
      </c>
      <c r="E31" s="10" t="n">
        <v>1</v>
      </c>
      <c r="F31" s="9" t="s">
        <v>366</v>
      </c>
      <c r="G31" s="5" t="str">
        <f aca="false">IFERROR(IF(INDEX(02_Цены!$D$2:$D$1000,MATCH(D31,02_Цены!$A$2:$A$1000,0))="","",INDEX(02_Цены!$D$2:$D$1000,MATCH(D31,02_Цены!$A$2:$A$1000,0))),"")</f>
        <v>GH230mono-0.37-24L-JET M-ED</v>
      </c>
      <c r="H31" s="5" t="str">
        <f aca="false">IFERROR(IF(INDEX(02_Цены!$L$2:$L$1000,MATCH(D31,02_Цены!$A$2:$A$1000,0))="","",INDEX(02_Цены!$L$2:$L$1000,MATCH(D31,02_Цены!$A$2:$A$1000,0))),"")</f>
        <v/>
      </c>
      <c r="I31" s="5" t="str">
        <f aca="false">IF(AND(ISNUMBER(E31),E31&gt;=0,ISNUMBER(H31)),ROUND(E31*H31,2),"")</f>
        <v/>
      </c>
      <c r="J31" s="5" t="str">
        <f aca="false">IFERROR(IF(INDEX(02_Цены!$M$2:$M$1000,MATCH(D31,02_Цены!$A$2:$A$1000,0))="","",INDEX(02_Цены!$M$2:$M$1000,MATCH(D31,02_Цены!$A$2:$A$1000,0))),"")</f>
        <v>NO_VERIFIED_NET</v>
      </c>
      <c r="K31" s="5" t="str">
        <f aca="false">IF(AND(ISNUMBER(I31),J31="OBSERVED_NET_CONDITIONAL_SCOPE",OR(IFERROR(IF(INDEX(02_Цены!$E$2:$E$1000,MATCH(D31,02_Цены!$A$2:$A$1000,0))="","",INDEX(02_Цены!$E$2:$E$1000,MATCH(D31,02_Цены!$A$2:$A$1000,0))),"")="",E31=IFERROR(IF(INDEX(02_Цены!$E$2:$E$1000,MATCH(D31,02_Цены!$A$2:$A$1000,0))="","",INDEX(02_Цены!$E$2:$E$1000,MATCH(D31,02_Цены!$A$2:$A$1000,0))),""))),"PRICE_OBSERVED","BLOCK")</f>
        <v>BLOCK</v>
      </c>
      <c r="L31" s="9" t="s">
        <v>425</v>
      </c>
    </row>
    <row r="32" customFormat="false" ht="66" hidden="false" customHeight="true" outlineLevel="0" collapsed="false">
      <c r="A32" s="2" t="s">
        <v>727</v>
      </c>
      <c r="B32" s="2" t="s">
        <v>728</v>
      </c>
      <c r="C32" s="2" t="s">
        <v>80</v>
      </c>
      <c r="D32" s="9" t="s">
        <v>363</v>
      </c>
      <c r="E32" s="10" t="n">
        <v>1</v>
      </c>
      <c r="F32" s="9" t="s">
        <v>366</v>
      </c>
      <c r="G32" s="5" t="str">
        <f aca="false">IFERROR(IF(INDEX(02_Цены!$D$2:$D$1000,MATCH(D32,02_Цены!$A$2:$A$1000,0))="","",INDEX(02_Цены!$D$2:$D$1000,MATCH(D32,02_Цены!$A$2:$A$1000,0))),"")</f>
        <v>AC150 230V single phase</v>
      </c>
      <c r="H32" s="5" t="n">
        <f aca="false">IFERROR(IF(INDEX(02_Цены!$L$2:$L$1000,MATCH(D32,02_Цены!$A$2:$A$1000,0))="","",INDEX(02_Цены!$L$2:$L$1000,MATCH(D32,02_Цены!$A$2:$A$1000,0))),"")</f>
        <v>6335.29</v>
      </c>
      <c r="I32" s="5" t="n">
        <f aca="false">IF(AND(ISNUMBER(E32),E32&gt;=0,ISNUMBER(H32)),ROUND(E32*H32,2),"")</f>
        <v>6335.29</v>
      </c>
      <c r="J32" s="5" t="str">
        <f aca="false">IFERROR(IF(INDEX(02_Цены!$M$2:$M$1000,MATCH(D32,02_Цены!$A$2:$A$1000,0))="","",INDEX(02_Цены!$M$2:$M$1000,MATCH(D32,02_Цены!$A$2:$A$1000,0))),"")</f>
        <v>OBSERVED_NET_CONDITIONAL_SCOPE</v>
      </c>
      <c r="K32" s="5" t="str">
        <f aca="false">IF(AND(ISNUMBER(I32),J32="OBSERVED_NET_CONDITIONAL_SCOPE",OR(IFERROR(IF(INDEX(02_Цены!$E$2:$E$1000,MATCH(D32,02_Цены!$A$2:$A$1000,0))="","",INDEX(02_Цены!$E$2:$E$1000,MATCH(D32,02_Цены!$A$2:$A$1000,0))),"")="",E32=IFERROR(IF(INDEX(02_Цены!$E$2:$E$1000,MATCH(D32,02_Цены!$A$2:$A$1000,0))="","",INDEX(02_Цены!$E$2:$E$1000,MATCH(D32,02_Цены!$A$2:$A$1000,0))),""))),"PRICE_OBSERVED","BLOCK")</f>
        <v>PRICE_OBSERVED</v>
      </c>
      <c r="L32" s="9" t="s">
        <v>370</v>
      </c>
    </row>
    <row r="33" customFormat="false" ht="66" hidden="false" customHeight="true" outlineLevel="0" collapsed="false">
      <c r="A33" s="3" t="s">
        <v>729</v>
      </c>
      <c r="B33" s="3" t="s">
        <v>730</v>
      </c>
      <c r="C33" s="3" t="s">
        <v>80</v>
      </c>
      <c r="D33" s="9" t="s">
        <v>371</v>
      </c>
      <c r="E33" s="10" t="n">
        <v>1</v>
      </c>
      <c r="F33" s="9" t="s">
        <v>366</v>
      </c>
      <c r="G33" s="5" t="str">
        <f aca="false">IFERROR(IF(INDEX(02_Цены!$D$2:$D$1000,MATCH(D33,02_Цены!$A$2:$A$1000,0))="","",INDEX(02_Цены!$D$2:$D$1000,MATCH(D33,02_Цены!$A$2:$A$1000,0))),"")</f>
        <v>ZEN150 24V/230V Touch plus salinity/reject</v>
      </c>
      <c r="H33" s="5" t="n">
        <f aca="false">IFERROR(IF(INDEX(02_Цены!$L$2:$L$1000,MATCH(D33,02_Цены!$A$2:$A$1000,0))="","",INDEX(02_Цены!$L$2:$L$1000,MATCH(D33,02_Цены!$A$2:$A$1000,0))),"")</f>
        <v>10683.5</v>
      </c>
      <c r="I33" s="5" t="n">
        <f aca="false">IF(AND(ISNUMBER(E33),E33&gt;=0,ISNUMBER(H33)),ROUND(E33*H33,2),"")</f>
        <v>10683.5</v>
      </c>
      <c r="J33" s="5" t="str">
        <f aca="false">IFERROR(IF(INDEX(02_Цены!$M$2:$M$1000,MATCH(D33,02_Цены!$A$2:$A$1000,0))="","",INDEX(02_Цены!$M$2:$M$1000,MATCH(D33,02_Цены!$A$2:$A$1000,0))),"")</f>
        <v>FROM_INCOMPLETE_CONFIGURATION</v>
      </c>
      <c r="K33" s="5" t="str">
        <f aca="false">IF(AND(ISNUMBER(I33),J33="OBSERVED_NET_CONDITIONAL_SCOPE",OR(IFERROR(IF(INDEX(02_Цены!$E$2:$E$1000,MATCH(D33,02_Цены!$A$2:$A$1000,0))="","",INDEX(02_Цены!$E$2:$E$1000,MATCH(D33,02_Цены!$A$2:$A$1000,0))),"")="",E33=IFERROR(IF(INDEX(02_Цены!$E$2:$E$1000,MATCH(D33,02_Цены!$A$2:$A$1000,0))="","",INDEX(02_Цены!$E$2:$E$1000,MATCH(D33,02_Цены!$A$2:$A$1000,0))),""))),"PRICE_OBSERVED","BLOCK")</f>
        <v>BLOCK</v>
      </c>
      <c r="L33" s="9" t="s">
        <v>379</v>
      </c>
    </row>
    <row r="34" customFormat="false" ht="66" hidden="false" customHeight="true" outlineLevel="0" collapsed="false">
      <c r="A34" s="2" t="s">
        <v>731</v>
      </c>
      <c r="B34" s="2" t="s">
        <v>732</v>
      </c>
      <c r="C34" s="2" t="s">
        <v>80</v>
      </c>
      <c r="D34" s="9" t="s">
        <v>381</v>
      </c>
      <c r="E34" s="10" t="n">
        <v>1</v>
      </c>
      <c r="F34" s="9" t="s">
        <v>366</v>
      </c>
      <c r="G34" s="5" t="str">
        <f aca="false">IFERROR(IF(INDEX(02_Цены!$D$2:$D$1000,MATCH(D34,02_Цены!$A$2:$A$1000,0))="","",INDEX(02_Цены!$D$2:$D$1000,MATCH(D34,02_Цены!$A$2:$A$1000,0))),"")</f>
        <v>NEW12 150C 24V</v>
      </c>
      <c r="H34" s="5" t="str">
        <f aca="false">IFERROR(IF(INDEX(02_Цены!$L$2:$L$1000,MATCH(D34,02_Цены!$A$2:$A$1000,0))="","",INDEX(02_Цены!$L$2:$L$1000,MATCH(D34,02_Цены!$A$2:$A$1000,0))),"")</f>
        <v/>
      </c>
      <c r="I34" s="5" t="str">
        <f aca="false">IF(AND(ISNUMBER(E34),E34&gt;=0,ISNUMBER(H34)),ROUND(E34*H34,2),"")</f>
        <v/>
      </c>
      <c r="J34" s="5" t="str">
        <f aca="false">IFERROR(IF(INDEX(02_Цены!$M$2:$M$1000,MATCH(D34,02_Цены!$A$2:$A$1000,0))="","",INDEX(02_Цены!$M$2:$M$1000,MATCH(D34,02_Цены!$A$2:$A$1000,0))),"")</f>
        <v>NO_VERIFIED_NET</v>
      </c>
      <c r="K34" s="5" t="str">
        <f aca="false">IF(AND(ISNUMBER(I34),J34="OBSERVED_NET_CONDITIONAL_SCOPE",OR(IFERROR(IF(INDEX(02_Цены!$E$2:$E$1000,MATCH(D34,02_Цены!$A$2:$A$1000,0))="","",INDEX(02_Цены!$E$2:$E$1000,MATCH(D34,02_Цены!$A$2:$A$1000,0))),"")="",E34=IFERROR(IF(INDEX(02_Цены!$E$2:$E$1000,MATCH(D34,02_Цены!$A$2:$A$1000,0))="","",INDEX(02_Цены!$E$2:$E$1000,MATCH(D34,02_Цены!$A$2:$A$1000,0))),""))),"PRICE_OBSERVED","BLOCK")</f>
        <v>BLOCK</v>
      </c>
      <c r="L34" s="9" t="s">
        <v>387</v>
      </c>
    </row>
    <row r="35" customFormat="false" ht="66" hidden="false" customHeight="true" outlineLevel="0" collapsed="false">
      <c r="A35" s="3" t="s">
        <v>733</v>
      </c>
      <c r="B35" s="3" t="s">
        <v>734</v>
      </c>
      <c r="C35" s="3" t="s">
        <v>88</v>
      </c>
      <c r="D35" s="9" t="s">
        <v>454</v>
      </c>
      <c r="E35" s="9"/>
      <c r="F35" s="9" t="s">
        <v>366</v>
      </c>
      <c r="G35" s="5" t="str">
        <f aca="false">IFERROR(IF(INDEX(02_Цены!$D$2:$D$1000,MATCH(D35,02_Цены!$A$2:$A$1000,0))="","",INDEX(02_Цены!$D$2:$D$1000,MATCH(D35,02_Цены!$A$2:$A$1000,0))),"")</f>
        <v>B3 40L1200W FLB34012S000A00</v>
      </c>
      <c r="H35" s="5" t="n">
        <f aca="false">IFERROR(IF(INDEX(02_Цены!$L$2:$L$1000,MATCH(D35,02_Цены!$A$2:$A$1000,0))="","",INDEX(02_Цены!$L$2:$L$1000,MATCH(D35,02_Цены!$A$2:$A$1000,0))),"")</f>
        <v>614.17</v>
      </c>
      <c r="I35" s="5" t="str">
        <f aca="false">IF(AND(ISNUMBER(E35),E35&gt;=0,ISNUMBER(H35)),ROUND(E35*H35,2),"")</f>
        <v/>
      </c>
      <c r="J35" s="5" t="str">
        <f aca="false">IFERROR(IF(INDEX(02_Цены!$M$2:$M$1000,MATCH(D35,02_Цены!$A$2:$A$1000,0))="","",INDEX(02_Цены!$M$2:$M$1000,MATCH(D35,02_Цены!$A$2:$A$1000,0))),"")</f>
        <v>OBSERVED_NET_CONDITIONAL_SCOPE</v>
      </c>
      <c r="K35" s="5" t="str">
        <f aca="false">IF(AND(ISNUMBER(I35),J35="OBSERVED_NET_CONDITIONAL_SCOPE",OR(IFERROR(IF(INDEX(02_Цены!$E$2:$E$1000,MATCH(D35,02_Цены!$A$2:$A$1000,0))="","",INDEX(02_Цены!$E$2:$E$1000,MATCH(D35,02_Цены!$A$2:$A$1000,0))),"")="",E35=IFERROR(IF(INDEX(02_Цены!$E$2:$E$1000,MATCH(D35,02_Цены!$A$2:$A$1000,0))="","",INDEX(02_Цены!$E$2:$E$1000,MATCH(D35,02_Цены!$A$2:$A$1000,0))),""))),"PRICE_OBSERVED","BLOCK")</f>
        <v>BLOCK</v>
      </c>
      <c r="L35" s="9" t="s">
        <v>460</v>
      </c>
    </row>
    <row r="36" customFormat="false" ht="66" hidden="false" customHeight="true" outlineLevel="0" collapsed="false">
      <c r="A36" s="2" t="s">
        <v>735</v>
      </c>
      <c r="B36" s="2" t="s">
        <v>736</v>
      </c>
      <c r="C36" s="2" t="s">
        <v>88</v>
      </c>
      <c r="D36" s="9" t="s">
        <v>461</v>
      </c>
      <c r="E36" s="9"/>
      <c r="F36" s="9" t="s">
        <v>366</v>
      </c>
      <c r="G36" s="5" t="str">
        <f aca="false">IFERROR(IF(INDEX(02_Цены!$D$2:$D$1000,MATCH(D36,02_Цены!$A$2:$A$1000,0))="","",INDEX(02_Цены!$D$2:$D$1000,MATCH(D36,02_Цены!$A$2:$A$1000,0))),"")</f>
        <v>BX 40L1200W FLBX4012S000A00</v>
      </c>
      <c r="H36" s="5" t="n">
        <f aca="false">IFERROR(IF(INDEX(02_Цены!$L$2:$L$1000,MATCH(D36,02_Цены!$A$2:$A$1000,0))="","",INDEX(02_Цены!$L$2:$L$1000,MATCH(D36,02_Цены!$A$2:$A$1000,0))),"")</f>
        <v>690.83</v>
      </c>
      <c r="I36" s="5" t="str">
        <f aca="false">IF(AND(ISNUMBER(E36),E36&gt;=0,ISNUMBER(H36)),ROUND(E36*H36,2),"")</f>
        <v/>
      </c>
      <c r="J36" s="5" t="str">
        <f aca="false">IFERROR(IF(INDEX(02_Цены!$M$2:$M$1000,MATCH(D36,02_Цены!$A$2:$A$1000,0))="","",INDEX(02_Цены!$M$2:$M$1000,MATCH(D36,02_Цены!$A$2:$A$1000,0))),"")</f>
        <v>OBSERVED_NET_CONDITIONAL_SCOPE</v>
      </c>
      <c r="K36" s="5" t="str">
        <f aca="false">IF(AND(ISNUMBER(I36),J36="OBSERVED_NET_CONDITIONAL_SCOPE",OR(IFERROR(IF(INDEX(02_Цены!$E$2:$E$1000,MATCH(D36,02_Цены!$A$2:$A$1000,0))="","",INDEX(02_Цены!$E$2:$E$1000,MATCH(D36,02_Цены!$A$2:$A$1000,0))),"")="",E36=IFERROR(IF(INDEX(02_Цены!$E$2:$E$1000,MATCH(D36,02_Цены!$A$2:$A$1000,0))="","",INDEX(02_Цены!$E$2:$E$1000,MATCH(D36,02_Цены!$A$2:$A$1000,0))),""))),"PRICE_OBSERVED","BLOCK")</f>
        <v>BLOCK</v>
      </c>
      <c r="L36" s="9" t="s">
        <v>460</v>
      </c>
    </row>
    <row r="37" customFormat="false" ht="66" hidden="false" customHeight="true" outlineLevel="0" collapsed="false">
      <c r="A37" s="3" t="s">
        <v>737</v>
      </c>
      <c r="B37" s="3" t="s">
        <v>738</v>
      </c>
      <c r="C37" s="3" t="s">
        <v>88</v>
      </c>
      <c r="D37" s="9" t="s">
        <v>465</v>
      </c>
      <c r="E37" s="9"/>
      <c r="F37" s="9" t="s">
        <v>366</v>
      </c>
      <c r="G37" s="5" t="str">
        <f aca="false">IFERROR(IF(INDEX(02_Цены!$D$2:$D$1000,MATCH(D37,02_Цены!$A$2:$A$1000,0))="","",INDEX(02_Цены!$D$2:$D$1000,MATCH(D37,02_Цены!$A$2:$A$1000,0))),"")</f>
        <v>BXS 40L1200W FLBXS4012S00A00</v>
      </c>
      <c r="H37" s="5" t="n">
        <f aca="false">IFERROR(IF(INDEX(02_Цены!$L$2:$L$1000,MATCH(D37,02_Цены!$A$2:$A$1000,0))="","",INDEX(02_Цены!$L$2:$L$1000,MATCH(D37,02_Цены!$A$2:$A$1000,0))),"")</f>
        <v>757.5</v>
      </c>
      <c r="I37" s="5" t="str">
        <f aca="false">IF(AND(ISNUMBER(E37),E37&gt;=0,ISNUMBER(H37)),ROUND(E37*H37,2),"")</f>
        <v/>
      </c>
      <c r="J37" s="5" t="str">
        <f aca="false">IFERROR(IF(INDEX(02_Цены!$M$2:$M$1000,MATCH(D37,02_Цены!$A$2:$A$1000,0))="","",INDEX(02_Цены!$M$2:$M$1000,MATCH(D37,02_Цены!$A$2:$A$1000,0))),"")</f>
        <v>OBSERVED_NET_CONDITIONAL_SCOPE</v>
      </c>
      <c r="K37" s="5" t="str">
        <f aca="false">IF(AND(ISNUMBER(I37),J37="OBSERVED_NET_CONDITIONAL_SCOPE",OR(IFERROR(IF(INDEX(02_Цены!$E$2:$E$1000,MATCH(D37,02_Цены!$A$2:$A$1000,0))="","",INDEX(02_Цены!$E$2:$E$1000,MATCH(D37,02_Цены!$A$2:$A$1000,0))),"")="",E37=IFERROR(IF(INDEX(02_Цены!$E$2:$E$1000,MATCH(D37,02_Цены!$A$2:$A$1000,0))="","",INDEX(02_Цены!$E$2:$E$1000,MATCH(D37,02_Цены!$A$2:$A$1000,0))),""))),"PRICE_OBSERVED","BLOCK")</f>
        <v>BLOCK</v>
      </c>
      <c r="L37" s="9" t="s">
        <v>460</v>
      </c>
    </row>
    <row r="38" customFormat="false" ht="66" hidden="false" customHeight="true" outlineLevel="0" collapsed="false">
      <c r="A38" s="2" t="s">
        <v>739</v>
      </c>
      <c r="B38" s="2" t="s">
        <v>740</v>
      </c>
      <c r="C38" s="2" t="s">
        <v>427</v>
      </c>
      <c r="D38" s="9" t="s">
        <v>426</v>
      </c>
      <c r="E38" s="10" t="n">
        <v>2</v>
      </c>
      <c r="F38" s="9" t="s">
        <v>366</v>
      </c>
      <c r="G38" s="5" t="str">
        <f aca="false">IFERROR(IF(INDEX(02_Цены!$D$2:$D$1000,MATCH(D38,02_Цены!$A$2:$A$1000,0))="","",INDEX(02_Цены!$D$2:$D$1000,MATCH(D38,02_Цены!$A$2:$A$1000,0))),"")</f>
        <v>UC16H</v>
      </c>
      <c r="H38" s="5" t="n">
        <f aca="false">IFERROR(IF(INDEX(02_Цены!$L$2:$L$1000,MATCH(D38,02_Цены!$A$2:$A$1000,0))="","",INDEX(02_Цены!$L$2:$L$1000,MATCH(D38,02_Цены!$A$2:$A$1000,0))),"")</f>
        <v>3621</v>
      </c>
      <c r="I38" s="5" t="n">
        <f aca="false">IF(AND(ISNUMBER(E38),E38&gt;=0,ISNUMBER(H38)),ROUND(E38*H38,2),"")</f>
        <v>7242</v>
      </c>
      <c r="J38" s="5" t="str">
        <f aca="false">IFERROR(IF(INDEX(02_Цены!$M$2:$M$1000,MATCH(D38,02_Цены!$A$2:$A$1000,0))="","",INDEX(02_Цены!$M$2:$M$1000,MATCH(D38,02_Цены!$A$2:$A$1000,0))),"")</f>
        <v>OBSERVED_NET_CONDITIONAL_SCOPE</v>
      </c>
      <c r="K38" s="5" t="str">
        <f aca="false">IF(AND(ISNUMBER(I38),J38="OBSERVED_NET_CONDITIONAL_SCOPE",OR(IFERROR(IF(INDEX(02_Цены!$E$2:$E$1000,MATCH(D38,02_Цены!$A$2:$A$1000,0))="","",INDEX(02_Цены!$E$2:$E$1000,MATCH(D38,02_Цены!$A$2:$A$1000,0))),"")="",E38=IFERROR(IF(INDEX(02_Цены!$E$2:$E$1000,MATCH(D38,02_Цены!$A$2:$A$1000,0))="","",INDEX(02_Цены!$E$2:$E$1000,MATCH(D38,02_Цены!$A$2:$A$1000,0))),""))),"PRICE_OBSERVED","BLOCK")</f>
        <v>PRICE_OBSERVED</v>
      </c>
      <c r="L38" s="9" t="s">
        <v>435</v>
      </c>
    </row>
    <row r="39" customFormat="false" ht="66" hidden="false" customHeight="true" outlineLevel="0" collapsed="false">
      <c r="A39" s="3" t="s">
        <v>741</v>
      </c>
      <c r="B39" s="3" t="s">
        <v>740</v>
      </c>
      <c r="C39" s="3" t="s">
        <v>470</v>
      </c>
      <c r="D39" s="9" t="s">
        <v>469</v>
      </c>
      <c r="E39" s="9"/>
      <c r="F39" s="9" t="s">
        <v>366</v>
      </c>
      <c r="G39" s="5" t="str">
        <f aca="false">IFERROR(IF(INDEX(02_Цены!$D$2:$D$1000,MATCH(D39,02_Цены!$A$2:$A$1000,0))="","",INDEX(02_Цены!$D$2:$D$1000,MATCH(D39,02_Цены!$A$2:$A$1000,0))),"")</f>
        <v>NH150PS SWM0150230</v>
      </c>
      <c r="H39" s="5" t="n">
        <f aca="false">IFERROR(IF(INDEX(02_Цены!$L$2:$L$1000,MATCH(D39,02_Цены!$A$2:$A$1000,0))="","",INDEX(02_Цены!$L$2:$L$1000,MATCH(D39,02_Цены!$A$2:$A$1000,0))),"")</f>
        <v>663.25</v>
      </c>
      <c r="I39" s="5" t="str">
        <f aca="false">IF(AND(ISNUMBER(E39),E39&gt;=0,ISNUMBER(H39)),ROUND(E39*H39,2),"")</f>
        <v/>
      </c>
      <c r="J39" s="5" t="str">
        <f aca="false">IFERROR(IF(INDEX(02_Цены!$M$2:$M$1000,MATCH(D39,02_Цены!$A$2:$A$1000,0))="","",INDEX(02_Цены!$M$2:$M$1000,MATCH(D39,02_Цены!$A$2:$A$1000,0))),"")</f>
        <v>OBSERVED_NET_CONDITIONAL_SCOPE</v>
      </c>
      <c r="K39" s="5" t="str">
        <f aca="false">IF(AND(ISNUMBER(I39),J39="OBSERVED_NET_CONDITIONAL_SCOPE",OR(IFERROR(IF(INDEX(02_Цены!$E$2:$E$1000,MATCH(D39,02_Цены!$A$2:$A$1000,0))="","",INDEX(02_Цены!$E$2:$E$1000,MATCH(D39,02_Цены!$A$2:$A$1000,0))),"")="",E39=IFERROR(IF(INDEX(02_Цены!$E$2:$E$1000,MATCH(D39,02_Цены!$A$2:$A$1000,0))="","",INDEX(02_Цены!$E$2:$E$1000,MATCH(D39,02_Цены!$A$2:$A$1000,0))),""))),"PRICE_OBSERVED","BLOCK")</f>
        <v>BLOCK</v>
      </c>
      <c r="L39" s="9" t="s">
        <v>476</v>
      </c>
    </row>
    <row r="40" customFormat="false" ht="66" hidden="false" customHeight="true" outlineLevel="0" collapsed="false">
      <c r="A40" s="2" t="s">
        <v>742</v>
      </c>
      <c r="B40" s="2" t="s">
        <v>743</v>
      </c>
      <c r="C40" s="2" t="s">
        <v>427</v>
      </c>
      <c r="D40" s="9" t="s">
        <v>437</v>
      </c>
      <c r="E40" s="10" t="n">
        <v>2</v>
      </c>
      <c r="F40" s="9" t="s">
        <v>366</v>
      </c>
      <c r="G40" s="5" t="str">
        <f aca="false">IFERROR(IF(INDEX(02_Цены!$D$2:$D$1000,MATCH(D40,02_Цены!$A$2:$A$1000,0))="","",INDEX(02_Цены!$D$2:$D$1000,MATCH(D40,02_Цены!$A$2:$A$1000,0))),"")</f>
        <v>CWS Aquacontrol161RC 230/1/50</v>
      </c>
      <c r="H40" s="5" t="n">
        <f aca="false">IFERROR(IF(INDEX(02_Цены!$L$2:$L$1000,MATCH(D40,02_Цены!$A$2:$A$1000,0))="","",INDEX(02_Цены!$L$2:$L$1000,MATCH(D40,02_Цены!$A$2:$A$1000,0))),"")</f>
        <v>4155.3</v>
      </c>
      <c r="I40" s="5" t="n">
        <f aca="false">IF(AND(ISNUMBER(E40),E40&gt;=0,ISNUMBER(H40)),ROUND(E40*H40,2),"")</f>
        <v>8310.6</v>
      </c>
      <c r="J40" s="5" t="str">
        <f aca="false">IFERROR(IF(INDEX(02_Цены!$M$2:$M$1000,MATCH(D40,02_Цены!$A$2:$A$1000,0))="","",INDEX(02_Цены!$M$2:$M$1000,MATCH(D40,02_Цены!$A$2:$A$1000,0))),"")</f>
        <v>OBSERVED_NET_CONDITIONAL_SCOPE</v>
      </c>
      <c r="K40" s="5" t="str">
        <f aca="false">IF(AND(ISNUMBER(I40),J40="OBSERVED_NET_CONDITIONAL_SCOPE",OR(IFERROR(IF(INDEX(02_Цены!$E$2:$E$1000,MATCH(D40,02_Цены!$A$2:$A$1000,0))="","",INDEX(02_Цены!$E$2:$E$1000,MATCH(D40,02_Цены!$A$2:$A$1000,0))),"")="",E40=IFERROR(IF(INDEX(02_Цены!$E$2:$E$1000,MATCH(D40,02_Цены!$A$2:$A$1000,0))="","",INDEX(02_Цены!$E$2:$E$1000,MATCH(D40,02_Цены!$A$2:$A$1000,0))),""))),"PRICE_OBSERVED","BLOCK")</f>
        <v>PRICE_OBSERVED</v>
      </c>
      <c r="L40" s="9" t="s">
        <v>444</v>
      </c>
    </row>
    <row r="41" customFormat="false" ht="66" hidden="false" customHeight="true" outlineLevel="0" collapsed="false">
      <c r="A41" s="3" t="s">
        <v>744</v>
      </c>
      <c r="B41" s="3" t="s">
        <v>743</v>
      </c>
      <c r="C41" s="3" t="s">
        <v>470</v>
      </c>
      <c r="D41" s="9" t="s">
        <v>469</v>
      </c>
      <c r="E41" s="9"/>
      <c r="F41" s="9" t="s">
        <v>366</v>
      </c>
      <c r="G41" s="5" t="str">
        <f aca="false">IFERROR(IF(INDEX(02_Цены!$D$2:$D$1000,MATCH(D41,02_Цены!$A$2:$A$1000,0))="","",INDEX(02_Цены!$D$2:$D$1000,MATCH(D41,02_Цены!$A$2:$A$1000,0))),"")</f>
        <v>NH150PS SWM0150230</v>
      </c>
      <c r="H41" s="5" t="n">
        <f aca="false">IFERROR(IF(INDEX(02_Цены!$L$2:$L$1000,MATCH(D41,02_Цены!$A$2:$A$1000,0))="","",INDEX(02_Цены!$L$2:$L$1000,MATCH(D41,02_Цены!$A$2:$A$1000,0))),"")</f>
        <v>663.25</v>
      </c>
      <c r="I41" s="5" t="str">
        <f aca="false">IF(AND(ISNUMBER(E41),E41&gt;=0,ISNUMBER(H41)),ROUND(E41*H41,2),"")</f>
        <v/>
      </c>
      <c r="J41" s="5" t="str">
        <f aca="false">IFERROR(IF(INDEX(02_Цены!$M$2:$M$1000,MATCH(D41,02_Цены!$A$2:$A$1000,0))="","",INDEX(02_Цены!$M$2:$M$1000,MATCH(D41,02_Цены!$A$2:$A$1000,0))),"")</f>
        <v>OBSERVED_NET_CONDITIONAL_SCOPE</v>
      </c>
      <c r="K41" s="5" t="str">
        <f aca="false">IF(AND(ISNUMBER(I41),J41="OBSERVED_NET_CONDITIONAL_SCOPE",OR(IFERROR(IF(INDEX(02_Цены!$E$2:$E$1000,MATCH(D41,02_Цены!$A$2:$A$1000,0))="","",INDEX(02_Цены!$E$2:$E$1000,MATCH(D41,02_Цены!$A$2:$A$1000,0))),"")="",E41=IFERROR(IF(INDEX(02_Цены!$E$2:$E$1000,MATCH(D41,02_Цены!$A$2:$A$1000,0))="","",INDEX(02_Цены!$E$2:$E$1000,MATCH(D41,02_Цены!$A$2:$A$1000,0))),""))),"PRICE_OBSERVED","BLOCK")</f>
        <v>BLOCK</v>
      </c>
      <c r="L41" s="9" t="s">
        <v>476</v>
      </c>
    </row>
    <row r="42" customFormat="false" ht="66" hidden="false" customHeight="true" outlineLevel="0" collapsed="false">
      <c r="A42" s="2" t="s">
        <v>745</v>
      </c>
      <c r="B42" s="2" t="s">
        <v>746</v>
      </c>
      <c r="C42" s="2" t="s">
        <v>427</v>
      </c>
      <c r="D42" s="9" t="s">
        <v>446</v>
      </c>
      <c r="E42" s="10" t="n">
        <v>2</v>
      </c>
      <c r="F42" s="9" t="s">
        <v>366</v>
      </c>
      <c r="G42" s="5" t="str">
        <f aca="false">IFERROR(IF(INDEX(02_Цены!$D$2:$D$1000,MATCH(D42,02_Цены!$A$2:$A$1000,0))="","",INDEX(02_Цены!$D$2:$D$1000,MATCH(D42,02_Цены!$A$2:$A$1000,0))),"")</f>
        <v>BlueCool C16M</v>
      </c>
      <c r="H42" s="5" t="str">
        <f aca="false">IFERROR(IF(INDEX(02_Цены!$L$2:$L$1000,MATCH(D42,02_Цены!$A$2:$A$1000,0))="","",INDEX(02_Цены!$L$2:$L$1000,MATCH(D42,02_Цены!$A$2:$A$1000,0))),"")</f>
        <v/>
      </c>
      <c r="I42" s="5" t="str">
        <f aca="false">IF(AND(ISNUMBER(E42),E42&gt;=0,ISNUMBER(H42)),ROUND(E42*H42,2),"")</f>
        <v/>
      </c>
      <c r="J42" s="5" t="str">
        <f aca="false">IFERROR(IF(INDEX(02_Цены!$M$2:$M$1000,MATCH(D42,02_Цены!$A$2:$A$1000,0))="","",INDEX(02_Цены!$M$2:$M$1000,MATCH(D42,02_Цены!$A$2:$A$1000,0))),"")</f>
        <v>NO_VERIFIED_NET</v>
      </c>
      <c r="K42" s="5" t="str">
        <f aca="false">IF(AND(ISNUMBER(I42),J42="OBSERVED_NET_CONDITIONAL_SCOPE",OR(IFERROR(IF(INDEX(02_Цены!$E$2:$E$1000,MATCH(D42,02_Цены!$A$2:$A$1000,0))="","",INDEX(02_Цены!$E$2:$E$1000,MATCH(D42,02_Цены!$A$2:$A$1000,0))),"")="",E42=IFERROR(IF(INDEX(02_Цены!$E$2:$E$1000,MATCH(D42,02_Цены!$A$2:$A$1000,0))="","",INDEX(02_Цены!$E$2:$E$1000,MATCH(D42,02_Цены!$A$2:$A$1000,0))),""))),"PRICE_OBSERVED","BLOCK")</f>
        <v>BLOCK</v>
      </c>
      <c r="L42" s="9" t="s">
        <v>453</v>
      </c>
    </row>
    <row r="43" customFormat="false" ht="66" hidden="false" customHeight="true" outlineLevel="0" collapsed="false">
      <c r="A43" s="3" t="s">
        <v>747</v>
      </c>
      <c r="B43" s="3" t="s">
        <v>746</v>
      </c>
      <c r="C43" s="3" t="s">
        <v>470</v>
      </c>
      <c r="D43" s="9" t="s">
        <v>469</v>
      </c>
      <c r="E43" s="9"/>
      <c r="F43" s="9" t="s">
        <v>366</v>
      </c>
      <c r="G43" s="5" t="str">
        <f aca="false">IFERROR(IF(INDEX(02_Цены!$D$2:$D$1000,MATCH(D43,02_Цены!$A$2:$A$1000,0))="","",INDEX(02_Цены!$D$2:$D$1000,MATCH(D43,02_Цены!$A$2:$A$1000,0))),"")</f>
        <v>NH150PS SWM0150230</v>
      </c>
      <c r="H43" s="5" t="n">
        <f aca="false">IFERROR(IF(INDEX(02_Цены!$L$2:$L$1000,MATCH(D43,02_Цены!$A$2:$A$1000,0))="","",INDEX(02_Цены!$L$2:$L$1000,MATCH(D43,02_Цены!$A$2:$A$1000,0))),"")</f>
        <v>663.25</v>
      </c>
      <c r="I43" s="5" t="str">
        <f aca="false">IF(AND(ISNUMBER(E43),E43&gt;=0,ISNUMBER(H43)),ROUND(E43*H43,2),"")</f>
        <v/>
      </c>
      <c r="J43" s="5" t="str">
        <f aca="false">IFERROR(IF(INDEX(02_Цены!$M$2:$M$1000,MATCH(D43,02_Цены!$A$2:$A$1000,0))="","",INDEX(02_Цены!$M$2:$M$1000,MATCH(D43,02_Цены!$A$2:$A$1000,0))),"")</f>
        <v>OBSERVED_NET_CONDITIONAL_SCOPE</v>
      </c>
      <c r="K43" s="5" t="str">
        <f aca="false">IF(AND(ISNUMBER(I43),J43="OBSERVED_NET_CONDITIONAL_SCOPE",OR(IFERROR(IF(INDEX(02_Цены!$E$2:$E$1000,MATCH(D43,02_Цены!$A$2:$A$1000,0))="","",INDEX(02_Цены!$E$2:$E$1000,MATCH(D43,02_Цены!$A$2:$A$1000,0))),"")="",E43=IFERROR(IF(INDEX(02_Цены!$E$2:$E$1000,MATCH(D43,02_Цены!$A$2:$A$1000,0))="","",INDEX(02_Цены!$E$2:$E$1000,MATCH(D43,02_Цены!$A$2:$A$1000,0))),""))),"PRICE_OBSERVED","BLOCK")</f>
        <v>BLOCK</v>
      </c>
      <c r="L43" s="9" t="s">
        <v>476</v>
      </c>
    </row>
    <row r="44" customFormat="false" ht="66" hidden="false" customHeight="true" outlineLevel="0" collapsed="false">
      <c r="A44" s="2" t="s">
        <v>748</v>
      </c>
      <c r="B44" s="2" t="s">
        <v>749</v>
      </c>
      <c r="C44" s="2" t="s">
        <v>536</v>
      </c>
      <c r="D44" s="9" t="s">
        <v>535</v>
      </c>
      <c r="E44" s="9"/>
      <c r="F44" s="9" t="s">
        <v>366</v>
      </c>
      <c r="G44" s="5" t="str">
        <f aca="false">IFERROR(IF(INDEX(02_Цены!$D$2:$D$1000,MATCH(D44,02_Цены!$A$2:$A$1000,0))="","",INDEX(02_Цены!$D$2:$D$1000,MATCH(D44,02_Цены!$A$2:$A$1000,0))),"")</f>
        <v>75500MAXM30</v>
      </c>
      <c r="H44" s="5" t="n">
        <f aca="false">IFERROR(IF(INDEX(02_Цены!$L$2:$L$1000,MATCH(D44,02_Цены!$A$2:$A$1000,0))="","",INDEX(02_Цены!$L$2:$L$1000,MATCH(D44,02_Цены!$A$2:$A$1000,0))),"")</f>
        <v>1848.66</v>
      </c>
      <c r="I44" s="5" t="str">
        <f aca="false">IF(AND(ISNUMBER(E44),E44&gt;=0,ISNUMBER(H44)),ROUND(E44*H44,2),"")</f>
        <v/>
      </c>
      <c r="J44" s="5" t="str">
        <f aca="false">IFERROR(IF(INDEX(02_Цены!$M$2:$M$1000,MATCH(D44,02_Цены!$A$2:$A$1000,0))="","",INDEX(02_Цены!$M$2:$M$1000,MATCH(D44,02_Цены!$A$2:$A$1000,0))),"")</f>
        <v>VARIABLE_PRICE_RECONFIRM</v>
      </c>
      <c r="K44" s="5" t="str">
        <f aca="false">IF(AND(ISNUMBER(I44),J44="OBSERVED_NET_CONDITIONAL_SCOPE",OR(IFERROR(IF(INDEX(02_Цены!$E$2:$E$1000,MATCH(D44,02_Цены!$A$2:$A$1000,0))="","",INDEX(02_Цены!$E$2:$E$1000,MATCH(D44,02_Цены!$A$2:$A$1000,0))),"")="",E44=IFERROR(IF(INDEX(02_Цены!$E$2:$E$1000,MATCH(D44,02_Цены!$A$2:$A$1000,0))="","",INDEX(02_Цены!$E$2:$E$1000,MATCH(D44,02_Цены!$A$2:$A$1000,0))),""))),"PRICE_OBSERVED","BLOCK")</f>
        <v>BLOCK</v>
      </c>
      <c r="L44" s="9" t="s">
        <v>544</v>
      </c>
    </row>
    <row r="45" customFormat="false" ht="66" hidden="false" customHeight="true" outlineLevel="0" collapsed="false">
      <c r="A45" s="3" t="s">
        <v>750</v>
      </c>
      <c r="B45" s="3" t="s">
        <v>749</v>
      </c>
      <c r="C45" s="3" t="s">
        <v>547</v>
      </c>
      <c r="D45" s="9" t="s">
        <v>546</v>
      </c>
      <c r="E45" s="9"/>
      <c r="F45" s="9" t="s">
        <v>366</v>
      </c>
      <c r="G45" s="5" t="str">
        <f aca="false">IFERROR(IF(INDEX(02_Цены!$D$2:$D$1000,MATCH(D45,02_Цены!$A$2:$A$1000,0))="","",INDEX(02_Цены!$D$2:$D$1000,MATCH(D45,02_Цены!$A$2:$A$1000,0))),"")</f>
        <v>FTR330/32</v>
      </c>
      <c r="H45" s="5" t="n">
        <f aca="false">IFERROR(IF(INDEX(02_Цены!$L$2:$L$1000,MATCH(D45,02_Цены!$A$2:$A$1000,0))="","",INDEX(02_Цены!$L$2:$L$1000,MATCH(D45,02_Цены!$A$2:$A$1000,0))),"")</f>
        <v>95.06</v>
      </c>
      <c r="I45" s="5" t="str">
        <f aca="false">IF(AND(ISNUMBER(E45),E45&gt;=0,ISNUMBER(H45)),ROUND(E45*H45,2),"")</f>
        <v/>
      </c>
      <c r="J45" s="5" t="str">
        <f aca="false">IFERROR(IF(INDEX(02_Цены!$M$2:$M$1000,MATCH(D45,02_Цены!$A$2:$A$1000,0))="","",INDEX(02_Цены!$M$2:$M$1000,MATCH(D45,02_Цены!$A$2:$A$1000,0))),"")</f>
        <v>OBSERVED_NET_CONDITIONAL_SCOPE</v>
      </c>
      <c r="K45" s="5" t="str">
        <f aca="false">IF(AND(ISNUMBER(I45),J45="OBSERVED_NET_CONDITIONAL_SCOPE",OR(IFERROR(IF(INDEX(02_Цены!$E$2:$E$1000,MATCH(D45,02_Цены!$A$2:$A$1000,0))="","",INDEX(02_Цены!$E$2:$E$1000,MATCH(D45,02_Цены!$A$2:$A$1000,0))),"")="",E45=IFERROR(IF(INDEX(02_Цены!$E$2:$E$1000,MATCH(D45,02_Цены!$A$2:$A$1000,0))="","",INDEX(02_Цены!$E$2:$E$1000,MATCH(D45,02_Цены!$A$2:$A$1000,0))),""))),"PRICE_OBSERVED","BLOCK")</f>
        <v>BLOCK</v>
      </c>
      <c r="L45" s="9" t="s">
        <v>551</v>
      </c>
    </row>
    <row r="46" customFormat="false" ht="66" hidden="false" customHeight="true" outlineLevel="0" collapsed="false">
      <c r="A46" s="2" t="s">
        <v>751</v>
      </c>
      <c r="B46" s="2" t="s">
        <v>749</v>
      </c>
      <c r="C46" s="2" t="s">
        <v>574</v>
      </c>
      <c r="D46" s="9" t="s">
        <v>573</v>
      </c>
      <c r="E46" s="9"/>
      <c r="F46" s="9" t="s">
        <v>366</v>
      </c>
      <c r="G46" s="5" t="str">
        <f aca="false">IFERROR(IF(INDEX(02_Цены!$D$2:$D$1000,MATCH(D46,02_Цены!$A$2:$A$1000,0))="","",INDEX(02_Цены!$D$2:$D$1000,MATCH(D46,02_Цены!$A$2:$A$1000,0))),"")</f>
        <v>35770-0094 /24V</v>
      </c>
      <c r="H46" s="5" t="str">
        <f aca="false">IFERROR(IF(INDEX(02_Цены!$L$2:$L$1000,MATCH(D46,02_Цены!$A$2:$A$1000,0))="","",INDEX(02_Цены!$L$2:$L$1000,MATCH(D46,02_Цены!$A$2:$A$1000,0))),"")</f>
        <v/>
      </c>
      <c r="I46" s="5" t="str">
        <f aca="false">IF(AND(ISNUMBER(E46),E46&gt;=0,ISNUMBER(H46)),ROUND(E46*H46,2),"")</f>
        <v/>
      </c>
      <c r="J46" s="5" t="str">
        <f aca="false">IFERROR(IF(INDEX(02_Цены!$M$2:$M$1000,MATCH(D46,02_Цены!$A$2:$A$1000,0))="","",INDEX(02_Цены!$M$2:$M$1000,MATCH(D46,02_Цены!$A$2:$A$1000,0))),"")</f>
        <v>NO_VERIFIED_NET</v>
      </c>
      <c r="K46" s="5" t="str">
        <f aca="false">IF(AND(ISNUMBER(I46),J46="OBSERVED_NET_CONDITIONAL_SCOPE",OR(IFERROR(IF(INDEX(02_Цены!$E$2:$E$1000,MATCH(D46,02_Цены!$A$2:$A$1000,0))="","",INDEX(02_Цены!$E$2:$E$1000,MATCH(D46,02_Цены!$A$2:$A$1000,0))),"")="",E46=IFERROR(IF(INDEX(02_Цены!$E$2:$E$1000,MATCH(D46,02_Цены!$A$2:$A$1000,0))="","",INDEX(02_Цены!$E$2:$E$1000,MATCH(D46,02_Цены!$A$2:$A$1000,0))),""))),"PRICE_OBSERVED","BLOCK")</f>
        <v>BLOCK</v>
      </c>
      <c r="L46" s="9" t="s">
        <v>580</v>
      </c>
    </row>
    <row r="47" customFormat="false" ht="66" hidden="false" customHeight="true" outlineLevel="0" collapsed="false">
      <c r="A47" s="3" t="s">
        <v>752</v>
      </c>
      <c r="B47" s="3" t="s">
        <v>749</v>
      </c>
      <c r="C47" s="3" t="s">
        <v>583</v>
      </c>
      <c r="D47" s="9" t="s">
        <v>582</v>
      </c>
      <c r="E47" s="9"/>
      <c r="F47" s="9" t="s">
        <v>366</v>
      </c>
      <c r="G47" s="5" t="str">
        <f aca="false">IFERROR(IF(INDEX(02_Цены!$D$2:$D$1000,MATCH(D47,02_Цены!$A$2:$A$1000,0))="","",INDEX(02_Цены!$D$2:$D$1000,MATCH(D47,02_Цены!$A$2:$A$1000,0))),"")</f>
        <v>UP3/OIL 16402013 /24V</v>
      </c>
      <c r="H47" s="5" t="n">
        <f aca="false">IFERROR(IF(INDEX(02_Цены!$L$2:$L$1000,MATCH(D47,02_Цены!$A$2:$A$1000,0))="","",INDEX(02_Цены!$L$2:$L$1000,MATCH(D47,02_Цены!$A$2:$A$1000,0))),"")</f>
        <v>188.56</v>
      </c>
      <c r="I47" s="5" t="str">
        <f aca="false">IF(AND(ISNUMBER(E47),E47&gt;=0,ISNUMBER(H47)),ROUND(E47*H47,2),"")</f>
        <v/>
      </c>
      <c r="J47" s="5" t="str">
        <f aca="false">IFERROR(IF(INDEX(02_Цены!$M$2:$M$1000,MATCH(D47,02_Цены!$A$2:$A$1000,0))="","",INDEX(02_Цены!$M$2:$M$1000,MATCH(D47,02_Цены!$A$2:$A$1000,0))),"")</f>
        <v>OBSERVED_NET_CONDITIONAL_SCOPE</v>
      </c>
      <c r="K47" s="5" t="str">
        <f aca="false">IF(AND(ISNUMBER(I47),J47="OBSERVED_NET_CONDITIONAL_SCOPE",OR(IFERROR(IF(INDEX(02_Цены!$E$2:$E$1000,MATCH(D47,02_Цены!$A$2:$A$1000,0))="","",INDEX(02_Цены!$E$2:$E$1000,MATCH(D47,02_Цены!$A$2:$A$1000,0))),"")="",E47=IFERROR(IF(INDEX(02_Цены!$E$2:$E$1000,MATCH(D47,02_Цены!$A$2:$A$1000,0))="","",INDEX(02_Цены!$E$2:$E$1000,MATCH(D47,02_Цены!$A$2:$A$1000,0))),""))),"PRICE_OBSERVED","BLOCK")</f>
        <v>BLOCK</v>
      </c>
      <c r="L47" s="9" t="s">
        <v>588</v>
      </c>
    </row>
    <row r="48" customFormat="false" ht="66" hidden="false" customHeight="true" outlineLevel="0" collapsed="false">
      <c r="A48" s="2" t="s">
        <v>753</v>
      </c>
      <c r="B48" s="2" t="s">
        <v>754</v>
      </c>
      <c r="C48" s="2" t="s">
        <v>536</v>
      </c>
      <c r="D48" s="9" t="s">
        <v>535</v>
      </c>
      <c r="E48" s="9"/>
      <c r="F48" s="9" t="s">
        <v>366</v>
      </c>
      <c r="G48" s="5" t="str">
        <f aca="false">IFERROR(IF(INDEX(02_Цены!$D$2:$D$1000,MATCH(D48,02_Цены!$A$2:$A$1000,0))="","",INDEX(02_Цены!$D$2:$D$1000,MATCH(D48,02_Цены!$A$2:$A$1000,0))),"")</f>
        <v>75500MAXM30</v>
      </c>
      <c r="H48" s="5" t="n">
        <f aca="false">IFERROR(IF(INDEX(02_Цены!$L$2:$L$1000,MATCH(D48,02_Цены!$A$2:$A$1000,0))="","",INDEX(02_Цены!$L$2:$L$1000,MATCH(D48,02_Цены!$A$2:$A$1000,0))),"")</f>
        <v>1848.66</v>
      </c>
      <c r="I48" s="5" t="str">
        <f aca="false">IF(AND(ISNUMBER(E48),E48&gt;=0,ISNUMBER(H48)),ROUND(E48*H48,2),"")</f>
        <v/>
      </c>
      <c r="J48" s="5" t="str">
        <f aca="false">IFERROR(IF(INDEX(02_Цены!$M$2:$M$1000,MATCH(D48,02_Цены!$A$2:$A$1000,0))="","",INDEX(02_Цены!$M$2:$M$1000,MATCH(D48,02_Цены!$A$2:$A$1000,0))),"")</f>
        <v>VARIABLE_PRICE_RECONFIRM</v>
      </c>
      <c r="K48" s="5" t="str">
        <f aca="false">IF(AND(ISNUMBER(I48),J48="OBSERVED_NET_CONDITIONAL_SCOPE",OR(IFERROR(IF(INDEX(02_Цены!$E$2:$E$1000,MATCH(D48,02_Цены!$A$2:$A$1000,0))="","",INDEX(02_Цены!$E$2:$E$1000,MATCH(D48,02_Цены!$A$2:$A$1000,0))),"")="",E48=IFERROR(IF(INDEX(02_Цены!$E$2:$E$1000,MATCH(D48,02_Цены!$A$2:$A$1000,0))="","",INDEX(02_Цены!$E$2:$E$1000,MATCH(D48,02_Цены!$A$2:$A$1000,0))),""))),"PRICE_OBSERVED","BLOCK")</f>
        <v>BLOCK</v>
      </c>
      <c r="L48" s="9" t="s">
        <v>544</v>
      </c>
    </row>
    <row r="49" customFormat="false" ht="66" hidden="false" customHeight="true" outlineLevel="0" collapsed="false">
      <c r="A49" s="3" t="s">
        <v>755</v>
      </c>
      <c r="B49" s="3" t="s">
        <v>754</v>
      </c>
      <c r="C49" s="3" t="s">
        <v>547</v>
      </c>
      <c r="D49" s="9" t="s">
        <v>553</v>
      </c>
      <c r="E49" s="9"/>
      <c r="F49" s="9" t="s">
        <v>366</v>
      </c>
      <c r="G49" s="5" t="str">
        <f aca="false">IFERROR(IF(INDEX(02_Цены!$D$2:$D$1000,MATCH(D49,02_Цены!$A$2:$A$1000,0))="","",INDEX(02_Цены!$D$2:$D$1000,MATCH(D49,02_Цены!$A$2:$A$1000,0))),"")</f>
        <v>FTR33032M</v>
      </c>
      <c r="H49" s="5" t="n">
        <f aca="false">IFERROR(IF(INDEX(02_Цены!$L$2:$L$1000,MATCH(D49,02_Цены!$A$2:$A$1000,0))="","",INDEX(02_Цены!$L$2:$L$1000,MATCH(D49,02_Цены!$A$2:$A$1000,0))),"")</f>
        <v>164.46</v>
      </c>
      <c r="I49" s="5" t="str">
        <f aca="false">IF(AND(ISNUMBER(E49),E49&gt;=0,ISNUMBER(H49)),ROUND(E49*H49,2),"")</f>
        <v/>
      </c>
      <c r="J49" s="5" t="str">
        <f aca="false">IFERROR(IF(INDEX(02_Цены!$M$2:$M$1000,MATCH(D49,02_Цены!$A$2:$A$1000,0))="","",INDEX(02_Цены!$M$2:$M$1000,MATCH(D49,02_Цены!$A$2:$A$1000,0))),"")</f>
        <v>OBSERVED_NET_CONDITIONAL_SCOPE</v>
      </c>
      <c r="K49" s="5" t="str">
        <f aca="false">IF(AND(ISNUMBER(I49),J49="OBSERVED_NET_CONDITIONAL_SCOPE",OR(IFERROR(IF(INDEX(02_Цены!$E$2:$E$1000,MATCH(D49,02_Цены!$A$2:$A$1000,0))="","",INDEX(02_Цены!$E$2:$E$1000,MATCH(D49,02_Цены!$A$2:$A$1000,0))),"")="",E49=IFERROR(IF(INDEX(02_Цены!$E$2:$E$1000,MATCH(D49,02_Цены!$A$2:$A$1000,0))="","",INDEX(02_Цены!$E$2:$E$1000,MATCH(D49,02_Цены!$A$2:$A$1000,0))),""))),"PRICE_OBSERVED","BLOCK")</f>
        <v>BLOCK</v>
      </c>
      <c r="L49" s="9" t="s">
        <v>556</v>
      </c>
    </row>
    <row r="50" customFormat="false" ht="66" hidden="false" customHeight="true" outlineLevel="0" collapsed="false">
      <c r="A50" s="2" t="s">
        <v>756</v>
      </c>
      <c r="B50" s="2" t="s">
        <v>754</v>
      </c>
      <c r="C50" s="2" t="s">
        <v>574</v>
      </c>
      <c r="D50" s="9" t="s">
        <v>573</v>
      </c>
      <c r="E50" s="9"/>
      <c r="F50" s="9" t="s">
        <v>366</v>
      </c>
      <c r="G50" s="5" t="str">
        <f aca="false">IFERROR(IF(INDEX(02_Цены!$D$2:$D$1000,MATCH(D50,02_Цены!$A$2:$A$1000,0))="","",INDEX(02_Цены!$D$2:$D$1000,MATCH(D50,02_Цены!$A$2:$A$1000,0))),"")</f>
        <v>35770-0094 /24V</v>
      </c>
      <c r="H50" s="5" t="str">
        <f aca="false">IFERROR(IF(INDEX(02_Цены!$L$2:$L$1000,MATCH(D50,02_Цены!$A$2:$A$1000,0))="","",INDEX(02_Цены!$L$2:$L$1000,MATCH(D50,02_Цены!$A$2:$A$1000,0))),"")</f>
        <v/>
      </c>
      <c r="I50" s="5" t="str">
        <f aca="false">IF(AND(ISNUMBER(E50),E50&gt;=0,ISNUMBER(H50)),ROUND(E50*H50,2),"")</f>
        <v/>
      </c>
      <c r="J50" s="5" t="str">
        <f aca="false">IFERROR(IF(INDEX(02_Цены!$M$2:$M$1000,MATCH(D50,02_Цены!$A$2:$A$1000,0))="","",INDEX(02_Цены!$M$2:$M$1000,MATCH(D50,02_Цены!$A$2:$A$1000,0))),"")</f>
        <v>NO_VERIFIED_NET</v>
      </c>
      <c r="K50" s="5" t="str">
        <f aca="false">IF(AND(ISNUMBER(I50),J50="OBSERVED_NET_CONDITIONAL_SCOPE",OR(IFERROR(IF(INDEX(02_Цены!$E$2:$E$1000,MATCH(D50,02_Цены!$A$2:$A$1000,0))="","",INDEX(02_Цены!$E$2:$E$1000,MATCH(D50,02_Цены!$A$2:$A$1000,0))),"")="",E50=IFERROR(IF(INDEX(02_Цены!$E$2:$E$1000,MATCH(D50,02_Цены!$A$2:$A$1000,0))="","",INDEX(02_Цены!$E$2:$E$1000,MATCH(D50,02_Цены!$A$2:$A$1000,0))),""))),"PRICE_OBSERVED","BLOCK")</f>
        <v>BLOCK</v>
      </c>
      <c r="L50" s="9" t="s">
        <v>580</v>
      </c>
    </row>
    <row r="51" customFormat="false" ht="66" hidden="false" customHeight="true" outlineLevel="0" collapsed="false">
      <c r="A51" s="3" t="s">
        <v>757</v>
      </c>
      <c r="B51" s="3" t="s">
        <v>754</v>
      </c>
      <c r="C51" s="3" t="s">
        <v>583</v>
      </c>
      <c r="D51" s="9" t="s">
        <v>582</v>
      </c>
      <c r="E51" s="9"/>
      <c r="F51" s="9" t="s">
        <v>366</v>
      </c>
      <c r="G51" s="5" t="str">
        <f aca="false">IFERROR(IF(INDEX(02_Цены!$D$2:$D$1000,MATCH(D51,02_Цены!$A$2:$A$1000,0))="","",INDEX(02_Цены!$D$2:$D$1000,MATCH(D51,02_Цены!$A$2:$A$1000,0))),"")</f>
        <v>UP3/OIL 16402013 /24V</v>
      </c>
      <c r="H51" s="5" t="n">
        <f aca="false">IFERROR(IF(INDEX(02_Цены!$L$2:$L$1000,MATCH(D51,02_Цены!$A$2:$A$1000,0))="","",INDEX(02_Цены!$L$2:$L$1000,MATCH(D51,02_Цены!$A$2:$A$1000,0))),"")</f>
        <v>188.56</v>
      </c>
      <c r="I51" s="5" t="str">
        <f aca="false">IF(AND(ISNUMBER(E51),E51&gt;=0,ISNUMBER(H51)),ROUND(E51*H51,2),"")</f>
        <v/>
      </c>
      <c r="J51" s="5" t="str">
        <f aca="false">IFERROR(IF(INDEX(02_Цены!$M$2:$M$1000,MATCH(D51,02_Цены!$A$2:$A$1000,0))="","",INDEX(02_Цены!$M$2:$M$1000,MATCH(D51,02_Цены!$A$2:$A$1000,0))),"")</f>
        <v>OBSERVED_NET_CONDITIONAL_SCOPE</v>
      </c>
      <c r="K51" s="5" t="str">
        <f aca="false">IF(AND(ISNUMBER(I51),J51="OBSERVED_NET_CONDITIONAL_SCOPE",OR(IFERROR(IF(INDEX(02_Цены!$E$2:$E$1000,MATCH(D51,02_Цены!$A$2:$A$1000,0))="","",INDEX(02_Цены!$E$2:$E$1000,MATCH(D51,02_Цены!$A$2:$A$1000,0))),"")="",E51=IFERROR(IF(INDEX(02_Цены!$E$2:$E$1000,MATCH(D51,02_Цены!$A$2:$A$1000,0))="","",INDEX(02_Цены!$E$2:$E$1000,MATCH(D51,02_Цены!$A$2:$A$1000,0))),""))),"PRICE_OBSERVED","BLOCK")</f>
        <v>BLOCK</v>
      </c>
      <c r="L51" s="9" t="s">
        <v>588</v>
      </c>
    </row>
    <row r="52" customFormat="false" ht="66" hidden="false" customHeight="true" outlineLevel="0" collapsed="false">
      <c r="A52" s="2" t="s">
        <v>758</v>
      </c>
      <c r="B52" s="2" t="s">
        <v>759</v>
      </c>
      <c r="C52" s="2" t="s">
        <v>536</v>
      </c>
      <c r="D52" s="9" t="s">
        <v>535</v>
      </c>
      <c r="E52" s="9"/>
      <c r="F52" s="9" t="s">
        <v>366</v>
      </c>
      <c r="G52" s="5" t="str">
        <f aca="false">IFERROR(IF(INDEX(02_Цены!$D$2:$D$1000,MATCH(D52,02_Цены!$A$2:$A$1000,0))="","",INDEX(02_Цены!$D$2:$D$1000,MATCH(D52,02_Цены!$A$2:$A$1000,0))),"")</f>
        <v>75500MAXM30</v>
      </c>
      <c r="H52" s="5" t="n">
        <f aca="false">IFERROR(IF(INDEX(02_Цены!$L$2:$L$1000,MATCH(D52,02_Цены!$A$2:$A$1000,0))="","",INDEX(02_Цены!$L$2:$L$1000,MATCH(D52,02_Цены!$A$2:$A$1000,0))),"")</f>
        <v>1848.66</v>
      </c>
      <c r="I52" s="5" t="str">
        <f aca="false">IF(AND(ISNUMBER(E52),E52&gt;=0,ISNUMBER(H52)),ROUND(E52*H52,2),"")</f>
        <v/>
      </c>
      <c r="J52" s="5" t="str">
        <f aca="false">IFERROR(IF(INDEX(02_Цены!$M$2:$M$1000,MATCH(D52,02_Цены!$A$2:$A$1000,0))="","",INDEX(02_Цены!$M$2:$M$1000,MATCH(D52,02_Цены!$A$2:$A$1000,0))),"")</f>
        <v>VARIABLE_PRICE_RECONFIRM</v>
      </c>
      <c r="K52" s="5" t="str">
        <f aca="false">IF(AND(ISNUMBER(I52),J52="OBSERVED_NET_CONDITIONAL_SCOPE",OR(IFERROR(IF(INDEX(02_Цены!$E$2:$E$1000,MATCH(D52,02_Цены!$A$2:$A$1000,0))="","",INDEX(02_Цены!$E$2:$E$1000,MATCH(D52,02_Цены!$A$2:$A$1000,0))),"")="",E52=IFERROR(IF(INDEX(02_Цены!$E$2:$E$1000,MATCH(D52,02_Цены!$A$2:$A$1000,0))="","",INDEX(02_Цены!$E$2:$E$1000,MATCH(D52,02_Цены!$A$2:$A$1000,0))),""))),"PRICE_OBSERVED","BLOCK")</f>
        <v>BLOCK</v>
      </c>
      <c r="L52" s="9" t="s">
        <v>544</v>
      </c>
    </row>
    <row r="53" customFormat="false" ht="66" hidden="false" customHeight="true" outlineLevel="0" collapsed="false">
      <c r="A53" s="3" t="s">
        <v>760</v>
      </c>
      <c r="B53" s="3" t="s">
        <v>759</v>
      </c>
      <c r="C53" s="3" t="s">
        <v>547</v>
      </c>
      <c r="D53" s="9" t="s">
        <v>553</v>
      </c>
      <c r="E53" s="9"/>
      <c r="F53" s="9" t="s">
        <v>366</v>
      </c>
      <c r="G53" s="5" t="str">
        <f aca="false">IFERROR(IF(INDEX(02_Цены!$D$2:$D$1000,MATCH(D53,02_Цены!$A$2:$A$1000,0))="","",INDEX(02_Цены!$D$2:$D$1000,MATCH(D53,02_Цены!$A$2:$A$1000,0))),"")</f>
        <v>FTR33032M</v>
      </c>
      <c r="H53" s="5" t="n">
        <f aca="false">IFERROR(IF(INDEX(02_Цены!$L$2:$L$1000,MATCH(D53,02_Цены!$A$2:$A$1000,0))="","",INDEX(02_Цены!$L$2:$L$1000,MATCH(D53,02_Цены!$A$2:$A$1000,0))),"")</f>
        <v>164.46</v>
      </c>
      <c r="I53" s="5" t="str">
        <f aca="false">IF(AND(ISNUMBER(E53),E53&gt;=0,ISNUMBER(H53)),ROUND(E53*H53,2),"")</f>
        <v/>
      </c>
      <c r="J53" s="5" t="str">
        <f aca="false">IFERROR(IF(INDEX(02_Цены!$M$2:$M$1000,MATCH(D53,02_Цены!$A$2:$A$1000,0))="","",INDEX(02_Цены!$M$2:$M$1000,MATCH(D53,02_Цены!$A$2:$A$1000,0))),"")</f>
        <v>OBSERVED_NET_CONDITIONAL_SCOPE</v>
      </c>
      <c r="K53" s="5" t="str">
        <f aca="false">IF(AND(ISNUMBER(I53),J53="OBSERVED_NET_CONDITIONAL_SCOPE",OR(IFERROR(IF(INDEX(02_Цены!$E$2:$E$1000,MATCH(D53,02_Цены!$A$2:$A$1000,0))="","",INDEX(02_Цены!$E$2:$E$1000,MATCH(D53,02_Цены!$A$2:$A$1000,0))),"")="",E53=IFERROR(IF(INDEX(02_Цены!$E$2:$E$1000,MATCH(D53,02_Цены!$A$2:$A$1000,0))="","",INDEX(02_Цены!$E$2:$E$1000,MATCH(D53,02_Цены!$A$2:$A$1000,0))),""))),"PRICE_OBSERVED","BLOCK")</f>
        <v>BLOCK</v>
      </c>
      <c r="L53" s="9" t="s">
        <v>556</v>
      </c>
    </row>
    <row r="54" customFormat="false" ht="66" hidden="false" customHeight="true" outlineLevel="0" collapsed="false">
      <c r="A54" s="2" t="s">
        <v>761</v>
      </c>
      <c r="B54" s="2" t="s">
        <v>759</v>
      </c>
      <c r="C54" s="2" t="s">
        <v>574</v>
      </c>
      <c r="D54" s="9" t="s">
        <v>573</v>
      </c>
      <c r="E54" s="9"/>
      <c r="F54" s="9" t="s">
        <v>366</v>
      </c>
      <c r="G54" s="5" t="str">
        <f aca="false">IFERROR(IF(INDEX(02_Цены!$D$2:$D$1000,MATCH(D54,02_Цены!$A$2:$A$1000,0))="","",INDEX(02_Цены!$D$2:$D$1000,MATCH(D54,02_Цены!$A$2:$A$1000,0))),"")</f>
        <v>35770-0094 /24V</v>
      </c>
      <c r="H54" s="5" t="str">
        <f aca="false">IFERROR(IF(INDEX(02_Цены!$L$2:$L$1000,MATCH(D54,02_Цены!$A$2:$A$1000,0))="","",INDEX(02_Цены!$L$2:$L$1000,MATCH(D54,02_Цены!$A$2:$A$1000,0))),"")</f>
        <v/>
      </c>
      <c r="I54" s="5" t="str">
        <f aca="false">IF(AND(ISNUMBER(E54),E54&gt;=0,ISNUMBER(H54)),ROUND(E54*H54,2),"")</f>
        <v/>
      </c>
      <c r="J54" s="5" t="str">
        <f aca="false">IFERROR(IF(INDEX(02_Цены!$M$2:$M$1000,MATCH(D54,02_Цены!$A$2:$A$1000,0))="","",INDEX(02_Цены!$M$2:$M$1000,MATCH(D54,02_Цены!$A$2:$A$1000,0))),"")</f>
        <v>NO_VERIFIED_NET</v>
      </c>
      <c r="K54" s="5" t="str">
        <f aca="false">IF(AND(ISNUMBER(I54),J54="OBSERVED_NET_CONDITIONAL_SCOPE",OR(IFERROR(IF(INDEX(02_Цены!$E$2:$E$1000,MATCH(D54,02_Цены!$A$2:$A$1000,0))="","",INDEX(02_Цены!$E$2:$E$1000,MATCH(D54,02_Цены!$A$2:$A$1000,0))),"")="",E54=IFERROR(IF(INDEX(02_Цены!$E$2:$E$1000,MATCH(D54,02_Цены!$A$2:$A$1000,0))="","",INDEX(02_Цены!$E$2:$E$1000,MATCH(D54,02_Цены!$A$2:$A$1000,0))),""))),"PRICE_OBSERVED","BLOCK")</f>
        <v>BLOCK</v>
      </c>
      <c r="L54" s="9" t="s">
        <v>580</v>
      </c>
    </row>
    <row r="55" customFormat="false" ht="66" hidden="false" customHeight="true" outlineLevel="0" collapsed="false">
      <c r="A55" s="3" t="s">
        <v>762</v>
      </c>
      <c r="B55" s="3" t="s">
        <v>759</v>
      </c>
      <c r="C55" s="3" t="s">
        <v>583</v>
      </c>
      <c r="D55" s="9" t="s">
        <v>582</v>
      </c>
      <c r="E55" s="9"/>
      <c r="F55" s="9" t="s">
        <v>366</v>
      </c>
      <c r="G55" s="5" t="str">
        <f aca="false">IFERROR(IF(INDEX(02_Цены!$D$2:$D$1000,MATCH(D55,02_Цены!$A$2:$A$1000,0))="","",INDEX(02_Цены!$D$2:$D$1000,MATCH(D55,02_Цены!$A$2:$A$1000,0))),"")</f>
        <v>UP3/OIL 16402013 /24V</v>
      </c>
      <c r="H55" s="5" t="n">
        <f aca="false">IFERROR(IF(INDEX(02_Цены!$L$2:$L$1000,MATCH(D55,02_Цены!$A$2:$A$1000,0))="","",INDEX(02_Цены!$L$2:$L$1000,MATCH(D55,02_Цены!$A$2:$A$1000,0))),"")</f>
        <v>188.56</v>
      </c>
      <c r="I55" s="5" t="str">
        <f aca="false">IF(AND(ISNUMBER(E55),E55&gt;=0,ISNUMBER(H55)),ROUND(E55*H55,2),"")</f>
        <v/>
      </c>
      <c r="J55" s="5" t="str">
        <f aca="false">IFERROR(IF(INDEX(02_Цены!$M$2:$M$1000,MATCH(D55,02_Цены!$A$2:$A$1000,0))="","",INDEX(02_Цены!$M$2:$M$1000,MATCH(D55,02_Цены!$A$2:$A$1000,0))),"")</f>
        <v>OBSERVED_NET_CONDITIONAL_SCOPE</v>
      </c>
      <c r="K55" s="5" t="str">
        <f aca="false">IF(AND(ISNUMBER(I55),J55="OBSERVED_NET_CONDITIONAL_SCOPE",OR(IFERROR(IF(INDEX(02_Цены!$E$2:$E$1000,MATCH(D55,02_Цены!$A$2:$A$1000,0))="","",INDEX(02_Цены!$E$2:$E$1000,MATCH(D55,02_Цены!$A$2:$A$1000,0))),"")="",E55=IFERROR(IF(INDEX(02_Цены!$E$2:$E$1000,MATCH(D55,02_Цены!$A$2:$A$1000,0))="","",INDEX(02_Цены!$E$2:$E$1000,MATCH(D55,02_Цены!$A$2:$A$1000,0))),""))),"PRICE_OBSERVED","BLOCK")</f>
        <v>BLOCK</v>
      </c>
      <c r="L55" s="9" t="s">
        <v>588</v>
      </c>
    </row>
    <row r="56" customFormat="false" ht="66" hidden="false" customHeight="true" outlineLevel="0" collapsed="false">
      <c r="A56" s="2" t="s">
        <v>763</v>
      </c>
      <c r="B56" s="2" t="s">
        <v>764</v>
      </c>
      <c r="C56" s="2" t="s">
        <v>558</v>
      </c>
      <c r="D56" s="9" t="s">
        <v>557</v>
      </c>
      <c r="E56" s="9"/>
      <c r="F56" s="9" t="s">
        <v>366</v>
      </c>
      <c r="G56" s="5" t="str">
        <f aca="false">IFERROR(IF(INDEX(02_Цены!$D$2:$D$1000,MATCH(D56,02_Цены!$A$2:$A$1000,0))="","",INDEX(02_Цены!$D$2:$D$1000,MATCH(D56,02_Цены!$A$2:$A$1000,0))),"")</f>
        <v>2000 GPH / model12 /24V</v>
      </c>
      <c r="H56" s="5" t="n">
        <f aca="false">IFERROR(IF(INDEX(02_Цены!$L$2:$L$1000,MATCH(D56,02_Цены!$A$2:$A$1000,0))="","",INDEX(02_Цены!$L$2:$L$1000,MATCH(D56,02_Цены!$A$2:$A$1000,0))),"")</f>
        <v>124.82</v>
      </c>
      <c r="I56" s="5" t="str">
        <f aca="false">IF(AND(ISNUMBER(E56),E56&gt;=0,ISNUMBER(H56)),ROUND(E56*H56,2),"")</f>
        <v/>
      </c>
      <c r="J56" s="5" t="str">
        <f aca="false">IFERROR(IF(INDEX(02_Цены!$M$2:$M$1000,MATCH(D56,02_Цены!$A$2:$A$1000,0))="","",INDEX(02_Цены!$M$2:$M$1000,MATCH(D56,02_Цены!$A$2:$A$1000,0))),"")</f>
        <v>OBSERVED_NET_CONDITIONAL_SCOPE</v>
      </c>
      <c r="K56" s="5" t="str">
        <f aca="false">IF(AND(ISNUMBER(I56),J56="OBSERVED_NET_CONDITIONAL_SCOPE",OR(IFERROR(IF(INDEX(02_Цены!$E$2:$E$1000,MATCH(D56,02_Цены!$A$2:$A$1000,0))="","",INDEX(02_Цены!$E$2:$E$1000,MATCH(D56,02_Цены!$A$2:$A$1000,0))),"")="",E56=IFERROR(IF(INDEX(02_Цены!$E$2:$E$1000,MATCH(D56,02_Цены!$A$2:$A$1000,0))="","",INDEX(02_Цены!$E$2:$E$1000,MATCH(D56,02_Цены!$A$2:$A$1000,0))),""))),"PRICE_OBSERVED","BLOCK")</f>
        <v>BLOCK</v>
      </c>
      <c r="L56" s="9" t="s">
        <v>564</v>
      </c>
    </row>
    <row r="57" customFormat="false" ht="66" hidden="false" customHeight="true" outlineLevel="0" collapsed="false">
      <c r="A57" s="3" t="s">
        <v>765</v>
      </c>
      <c r="B57" s="3" t="s">
        <v>764</v>
      </c>
      <c r="C57" s="3" t="s">
        <v>558</v>
      </c>
      <c r="D57" s="9" t="s">
        <v>565</v>
      </c>
      <c r="E57" s="9"/>
      <c r="F57" s="9" t="s">
        <v>366</v>
      </c>
      <c r="G57" s="5" t="str">
        <f aca="false">IFERROR(IF(INDEX(02_Цены!$D$2:$D$1000,MATCH(D57,02_Цены!$A$2:$A$1000,0))="","",INDEX(02_Цены!$D$2:$D$1000,MATCH(D57,02_Цены!$A$2:$A$1000,0))),"")</f>
        <v>Gusher Urchin BP9005</v>
      </c>
      <c r="H57" s="5" t="n">
        <f aca="false">IFERROR(IF(INDEX(02_Цены!$L$2:$L$1000,MATCH(D57,02_Цены!$A$2:$A$1000,0))="","",INDEX(02_Цены!$L$2:$L$1000,MATCH(D57,02_Цены!$A$2:$A$1000,0))),"")</f>
        <v>64.13</v>
      </c>
      <c r="I57" s="5" t="str">
        <f aca="false">IF(AND(ISNUMBER(E57),E57&gt;=0,ISNUMBER(H57)),ROUND(E57*H57,2),"")</f>
        <v/>
      </c>
      <c r="J57" s="5" t="str">
        <f aca="false">IFERROR(IF(INDEX(02_Цены!$M$2:$M$1000,MATCH(D57,02_Цены!$A$2:$A$1000,0))="","",INDEX(02_Цены!$M$2:$M$1000,MATCH(D57,02_Цены!$A$2:$A$1000,0))),"")</f>
        <v>OBSERVED_NET_CONDITIONAL_SCOPE</v>
      </c>
      <c r="K57" s="5" t="str">
        <f aca="false">IF(AND(ISNUMBER(I57),J57="OBSERVED_NET_CONDITIONAL_SCOPE",OR(IFERROR(IF(INDEX(02_Цены!$E$2:$E$1000,MATCH(D57,02_Цены!$A$2:$A$1000,0))="","",INDEX(02_Цены!$E$2:$E$1000,MATCH(D57,02_Цены!$A$2:$A$1000,0))),"")="",E57=IFERROR(IF(INDEX(02_Цены!$E$2:$E$1000,MATCH(D57,02_Цены!$A$2:$A$1000,0))="","",INDEX(02_Цены!$E$2:$E$1000,MATCH(D57,02_Цены!$A$2:$A$1000,0))),""))),"PRICE_OBSERVED","BLOCK")</f>
        <v>BLOCK</v>
      </c>
      <c r="L57" s="9" t="s">
        <v>569</v>
      </c>
    </row>
    <row r="58" customFormat="false" ht="66" hidden="false" customHeight="true" outlineLevel="0" collapsed="false">
      <c r="A58" s="2" t="s">
        <v>766</v>
      </c>
      <c r="B58" s="2" t="s">
        <v>764</v>
      </c>
      <c r="C58" s="2" t="s">
        <v>558</v>
      </c>
      <c r="D58" s="9" t="s">
        <v>570</v>
      </c>
      <c r="E58" s="9"/>
      <c r="F58" s="9" t="s">
        <v>366</v>
      </c>
      <c r="G58" s="5" t="str">
        <f aca="false">IFERROR(IF(INDEX(02_Цены!$D$2:$D$1000,MATCH(D58,02_Цены!$A$2:$A$1000,0))="","",INDEX(02_Цены!$D$2:$D$1000,MATCH(D58,02_Цены!$A$2:$A$1000,0))),"")</f>
        <v>32ALA /24V</v>
      </c>
      <c r="H58" s="5" t="n">
        <f aca="false">IFERROR(IF(INDEX(02_Цены!$L$2:$L$1000,MATCH(D58,02_Цены!$A$2:$A$1000,0))="","",INDEX(02_Цены!$L$2:$L$1000,MATCH(D58,02_Цены!$A$2:$A$1000,0))),"")</f>
        <v>85.19</v>
      </c>
      <c r="I58" s="5" t="str">
        <f aca="false">IF(AND(ISNUMBER(E58),E58&gt;=0,ISNUMBER(H58)),ROUND(E58*H58,2),"")</f>
        <v/>
      </c>
      <c r="J58" s="5" t="str">
        <f aca="false">IFERROR(IF(INDEX(02_Цены!$M$2:$M$1000,MATCH(D58,02_Цены!$A$2:$A$1000,0))="","",INDEX(02_Цены!$M$2:$M$1000,MATCH(D58,02_Цены!$A$2:$A$1000,0))),"")</f>
        <v>OBSERVED_NET_CONDITIONAL_SCOPE</v>
      </c>
      <c r="K58" s="5" t="str">
        <f aca="false">IF(AND(ISNUMBER(I58),J58="OBSERVED_NET_CONDITIONAL_SCOPE",OR(IFERROR(IF(INDEX(02_Цены!$E$2:$E$1000,MATCH(D58,02_Цены!$A$2:$A$1000,0))="","",INDEX(02_Цены!$E$2:$E$1000,MATCH(D58,02_Цены!$A$2:$A$1000,0))),"")="",E58=IFERROR(IF(INDEX(02_Цены!$E$2:$E$1000,MATCH(D58,02_Цены!$A$2:$A$1000,0))="","",INDEX(02_Цены!$E$2:$E$1000,MATCH(D58,02_Цены!$A$2:$A$1000,0))),""))),"PRICE_OBSERVED","BLOCK")</f>
        <v>BLOCK</v>
      </c>
      <c r="L58" s="9" t="s">
        <v>572</v>
      </c>
    </row>
    <row r="59" customFormat="false" ht="66" hidden="false" customHeight="true" outlineLevel="0" collapsed="false">
      <c r="A59" s="3" t="s">
        <v>767</v>
      </c>
      <c r="B59" s="3" t="s">
        <v>764</v>
      </c>
      <c r="C59" s="3" t="s">
        <v>604</v>
      </c>
      <c r="D59" s="9" t="s">
        <v>603</v>
      </c>
      <c r="E59" s="9"/>
      <c r="F59" s="9" t="s">
        <v>366</v>
      </c>
      <c r="G59" s="5" t="str">
        <f aca="false">IFERROR(IF(INDEX(02_Цены!$D$2:$D$1000,MATCH(D59,02_Цены!$A$2:$A$1000,0))="","",INDEX(02_Цены!$D$2:$D$1000,MATCH(D59,02_Цены!$A$2:$A$1000,0))),"")</f>
        <v>MA series 31.620.55</v>
      </c>
      <c r="H59" s="5" t="str">
        <f aca="false">IFERROR(IF(INDEX(02_Цены!$L$2:$L$1000,MATCH(D59,02_Цены!$A$2:$A$1000,0))="","",INDEX(02_Цены!$L$2:$L$1000,MATCH(D59,02_Цены!$A$2:$A$1000,0))),"")</f>
        <v/>
      </c>
      <c r="I59" s="5" t="str">
        <f aca="false">IF(AND(ISNUMBER(E59),E59&gt;=0,ISNUMBER(H59)),ROUND(E59*H59,2),"")</f>
        <v/>
      </c>
      <c r="J59" s="5" t="str">
        <f aca="false">IFERROR(IF(INDEX(02_Цены!$M$2:$M$1000,MATCH(D59,02_Цены!$A$2:$A$1000,0))="","",INDEX(02_Цены!$M$2:$M$1000,MATCH(D59,02_Цены!$A$2:$A$1000,0))),"")</f>
        <v>NO_VERIFIED_NET</v>
      </c>
      <c r="K59" s="5" t="str">
        <f aca="false">IF(AND(ISNUMBER(I59),J59="OBSERVED_NET_CONDITIONAL_SCOPE",OR(IFERROR(IF(INDEX(02_Цены!$E$2:$E$1000,MATCH(D59,02_Цены!$A$2:$A$1000,0))="","",INDEX(02_Цены!$E$2:$E$1000,MATCH(D59,02_Цены!$A$2:$A$1000,0))),"")="",E59=IFERROR(IF(INDEX(02_Цены!$E$2:$E$1000,MATCH(D59,02_Цены!$A$2:$A$1000,0))="","",INDEX(02_Цены!$E$2:$E$1000,MATCH(D59,02_Цены!$A$2:$A$1000,0))),""))),"PRICE_OBSERVED","BLOCK")</f>
        <v>BLOCK</v>
      </c>
      <c r="L59" s="9" t="s">
        <v>610</v>
      </c>
    </row>
    <row r="60" customFormat="false" ht="66" hidden="false" customHeight="true" outlineLevel="0" collapsed="false">
      <c r="A60" s="2" t="s">
        <v>768</v>
      </c>
      <c r="B60" s="2" t="s">
        <v>769</v>
      </c>
      <c r="C60" s="2" t="s">
        <v>558</v>
      </c>
      <c r="D60" s="9" t="s">
        <v>557</v>
      </c>
      <c r="E60" s="9"/>
      <c r="F60" s="9" t="s">
        <v>366</v>
      </c>
      <c r="G60" s="5" t="str">
        <f aca="false">IFERROR(IF(INDEX(02_Цены!$D$2:$D$1000,MATCH(D60,02_Цены!$A$2:$A$1000,0))="","",INDEX(02_Цены!$D$2:$D$1000,MATCH(D60,02_Цены!$A$2:$A$1000,0))),"")</f>
        <v>2000 GPH / model12 /24V</v>
      </c>
      <c r="H60" s="5" t="n">
        <f aca="false">IFERROR(IF(INDEX(02_Цены!$L$2:$L$1000,MATCH(D60,02_Цены!$A$2:$A$1000,0))="","",INDEX(02_Цены!$L$2:$L$1000,MATCH(D60,02_Цены!$A$2:$A$1000,0))),"")</f>
        <v>124.82</v>
      </c>
      <c r="I60" s="5" t="str">
        <f aca="false">IF(AND(ISNUMBER(E60),E60&gt;=0,ISNUMBER(H60)),ROUND(E60*H60,2),"")</f>
        <v/>
      </c>
      <c r="J60" s="5" t="str">
        <f aca="false">IFERROR(IF(INDEX(02_Цены!$M$2:$M$1000,MATCH(D60,02_Цены!$A$2:$A$1000,0))="","",INDEX(02_Цены!$M$2:$M$1000,MATCH(D60,02_Цены!$A$2:$A$1000,0))),"")</f>
        <v>OBSERVED_NET_CONDITIONAL_SCOPE</v>
      </c>
      <c r="K60" s="5" t="str">
        <f aca="false">IF(AND(ISNUMBER(I60),J60="OBSERVED_NET_CONDITIONAL_SCOPE",OR(IFERROR(IF(INDEX(02_Цены!$E$2:$E$1000,MATCH(D60,02_Цены!$A$2:$A$1000,0))="","",INDEX(02_Цены!$E$2:$E$1000,MATCH(D60,02_Цены!$A$2:$A$1000,0))),"")="",E60=IFERROR(IF(INDEX(02_Цены!$E$2:$E$1000,MATCH(D60,02_Цены!$A$2:$A$1000,0))="","",INDEX(02_Цены!$E$2:$E$1000,MATCH(D60,02_Цены!$A$2:$A$1000,0))),""))),"PRICE_OBSERVED","BLOCK")</f>
        <v>BLOCK</v>
      </c>
      <c r="L60" s="9" t="s">
        <v>564</v>
      </c>
    </row>
    <row r="61" customFormat="false" ht="66" hidden="false" customHeight="true" outlineLevel="0" collapsed="false">
      <c r="A61" s="3" t="s">
        <v>770</v>
      </c>
      <c r="B61" s="3" t="s">
        <v>769</v>
      </c>
      <c r="C61" s="3" t="s">
        <v>558</v>
      </c>
      <c r="D61" s="9" t="s">
        <v>565</v>
      </c>
      <c r="E61" s="9"/>
      <c r="F61" s="9" t="s">
        <v>366</v>
      </c>
      <c r="G61" s="5" t="str">
        <f aca="false">IFERROR(IF(INDEX(02_Цены!$D$2:$D$1000,MATCH(D61,02_Цены!$A$2:$A$1000,0))="","",INDEX(02_Цены!$D$2:$D$1000,MATCH(D61,02_Цены!$A$2:$A$1000,0))),"")</f>
        <v>Gusher Urchin BP9005</v>
      </c>
      <c r="H61" s="5" t="n">
        <f aca="false">IFERROR(IF(INDEX(02_Цены!$L$2:$L$1000,MATCH(D61,02_Цены!$A$2:$A$1000,0))="","",INDEX(02_Цены!$L$2:$L$1000,MATCH(D61,02_Цены!$A$2:$A$1000,0))),"")</f>
        <v>64.13</v>
      </c>
      <c r="I61" s="5" t="str">
        <f aca="false">IF(AND(ISNUMBER(E61),E61&gt;=0,ISNUMBER(H61)),ROUND(E61*H61,2),"")</f>
        <v/>
      </c>
      <c r="J61" s="5" t="str">
        <f aca="false">IFERROR(IF(INDEX(02_Цены!$M$2:$M$1000,MATCH(D61,02_Цены!$A$2:$A$1000,0))="","",INDEX(02_Цены!$M$2:$M$1000,MATCH(D61,02_Цены!$A$2:$A$1000,0))),"")</f>
        <v>OBSERVED_NET_CONDITIONAL_SCOPE</v>
      </c>
      <c r="K61" s="5" t="str">
        <f aca="false">IF(AND(ISNUMBER(I61),J61="OBSERVED_NET_CONDITIONAL_SCOPE",OR(IFERROR(IF(INDEX(02_Цены!$E$2:$E$1000,MATCH(D61,02_Цены!$A$2:$A$1000,0))="","",INDEX(02_Цены!$E$2:$E$1000,MATCH(D61,02_Цены!$A$2:$A$1000,0))),"")="",E61=IFERROR(IF(INDEX(02_Цены!$E$2:$E$1000,MATCH(D61,02_Цены!$A$2:$A$1000,0))="","",INDEX(02_Цены!$E$2:$E$1000,MATCH(D61,02_Цены!$A$2:$A$1000,0))),""))),"PRICE_OBSERVED","BLOCK")</f>
        <v>BLOCK</v>
      </c>
      <c r="L61" s="9" t="s">
        <v>569</v>
      </c>
    </row>
    <row r="62" customFormat="false" ht="66" hidden="false" customHeight="true" outlineLevel="0" collapsed="false">
      <c r="A62" s="2" t="s">
        <v>771</v>
      </c>
      <c r="B62" s="2" t="s">
        <v>769</v>
      </c>
      <c r="C62" s="2" t="s">
        <v>558</v>
      </c>
      <c r="D62" s="9" t="s">
        <v>570</v>
      </c>
      <c r="E62" s="9"/>
      <c r="F62" s="9" t="s">
        <v>366</v>
      </c>
      <c r="G62" s="5" t="str">
        <f aca="false">IFERROR(IF(INDEX(02_Цены!$D$2:$D$1000,MATCH(D62,02_Цены!$A$2:$A$1000,0))="","",INDEX(02_Цены!$D$2:$D$1000,MATCH(D62,02_Цены!$A$2:$A$1000,0))),"")</f>
        <v>32ALA /24V</v>
      </c>
      <c r="H62" s="5" t="n">
        <f aca="false">IFERROR(IF(INDEX(02_Цены!$L$2:$L$1000,MATCH(D62,02_Цены!$A$2:$A$1000,0))="","",INDEX(02_Цены!$L$2:$L$1000,MATCH(D62,02_Цены!$A$2:$A$1000,0))),"")</f>
        <v>85.19</v>
      </c>
      <c r="I62" s="5" t="str">
        <f aca="false">IF(AND(ISNUMBER(E62),E62&gt;=0,ISNUMBER(H62)),ROUND(E62*H62,2),"")</f>
        <v/>
      </c>
      <c r="J62" s="5" t="str">
        <f aca="false">IFERROR(IF(INDEX(02_Цены!$M$2:$M$1000,MATCH(D62,02_Цены!$A$2:$A$1000,0))="","",INDEX(02_Цены!$M$2:$M$1000,MATCH(D62,02_Цены!$A$2:$A$1000,0))),"")</f>
        <v>OBSERVED_NET_CONDITIONAL_SCOPE</v>
      </c>
      <c r="K62" s="5" t="str">
        <f aca="false">IF(AND(ISNUMBER(I62),J62="OBSERVED_NET_CONDITIONAL_SCOPE",OR(IFERROR(IF(INDEX(02_Цены!$E$2:$E$1000,MATCH(D62,02_Цены!$A$2:$A$1000,0))="","",INDEX(02_Цены!$E$2:$E$1000,MATCH(D62,02_Цены!$A$2:$A$1000,0))),"")="",E62=IFERROR(IF(INDEX(02_Цены!$E$2:$E$1000,MATCH(D62,02_Цены!$A$2:$A$1000,0))="","",INDEX(02_Цены!$E$2:$E$1000,MATCH(D62,02_Цены!$A$2:$A$1000,0))),""))),"PRICE_OBSERVED","BLOCK")</f>
        <v>BLOCK</v>
      </c>
      <c r="L62" s="9" t="s">
        <v>572</v>
      </c>
    </row>
    <row r="63" customFormat="false" ht="66" hidden="false" customHeight="true" outlineLevel="0" collapsed="false">
      <c r="A63" s="3" t="s">
        <v>772</v>
      </c>
      <c r="B63" s="3" t="s">
        <v>769</v>
      </c>
      <c r="C63" s="3" t="s">
        <v>604</v>
      </c>
      <c r="D63" s="9" t="s">
        <v>603</v>
      </c>
      <c r="E63" s="9"/>
      <c r="F63" s="9" t="s">
        <v>366</v>
      </c>
      <c r="G63" s="5" t="str">
        <f aca="false">IFERROR(IF(INDEX(02_Цены!$D$2:$D$1000,MATCH(D63,02_Цены!$A$2:$A$1000,0))="","",INDEX(02_Цены!$D$2:$D$1000,MATCH(D63,02_Цены!$A$2:$A$1000,0))),"")</f>
        <v>MA series 31.620.55</v>
      </c>
      <c r="H63" s="5" t="str">
        <f aca="false">IFERROR(IF(INDEX(02_Цены!$L$2:$L$1000,MATCH(D63,02_Цены!$A$2:$A$1000,0))="","",INDEX(02_Цены!$L$2:$L$1000,MATCH(D63,02_Цены!$A$2:$A$1000,0))),"")</f>
        <v/>
      </c>
      <c r="I63" s="5" t="str">
        <f aca="false">IF(AND(ISNUMBER(E63),E63&gt;=0,ISNUMBER(H63)),ROUND(E63*H63,2),"")</f>
        <v/>
      </c>
      <c r="J63" s="5" t="str">
        <f aca="false">IFERROR(IF(INDEX(02_Цены!$M$2:$M$1000,MATCH(D63,02_Цены!$A$2:$A$1000,0))="","",INDEX(02_Цены!$M$2:$M$1000,MATCH(D63,02_Цены!$A$2:$A$1000,0))),"")</f>
        <v>NO_VERIFIED_NET</v>
      </c>
      <c r="K63" s="5" t="str">
        <f aca="false">IF(AND(ISNUMBER(I63),J63="OBSERVED_NET_CONDITIONAL_SCOPE",OR(IFERROR(IF(INDEX(02_Цены!$E$2:$E$1000,MATCH(D63,02_Цены!$A$2:$A$1000,0))="","",INDEX(02_Цены!$E$2:$E$1000,MATCH(D63,02_Цены!$A$2:$A$1000,0))),"")="",E63=IFERROR(IF(INDEX(02_Цены!$E$2:$E$1000,MATCH(D63,02_Цены!$A$2:$A$1000,0))="","",INDEX(02_Цены!$E$2:$E$1000,MATCH(D63,02_Цены!$A$2:$A$1000,0))),""))),"PRICE_OBSERVED","BLOCK")</f>
        <v>BLOCK</v>
      </c>
      <c r="L63" s="9" t="s">
        <v>610</v>
      </c>
    </row>
    <row r="64" customFormat="false" ht="66" hidden="false" customHeight="true" outlineLevel="0" collapsed="false">
      <c r="A64" s="2" t="s">
        <v>773</v>
      </c>
      <c r="B64" s="2" t="s">
        <v>774</v>
      </c>
      <c r="C64" s="2" t="s">
        <v>558</v>
      </c>
      <c r="D64" s="9" t="s">
        <v>557</v>
      </c>
      <c r="E64" s="9"/>
      <c r="F64" s="9" t="s">
        <v>366</v>
      </c>
      <c r="G64" s="5" t="str">
        <f aca="false">IFERROR(IF(INDEX(02_Цены!$D$2:$D$1000,MATCH(D64,02_Цены!$A$2:$A$1000,0))="","",INDEX(02_Цены!$D$2:$D$1000,MATCH(D64,02_Цены!$A$2:$A$1000,0))),"")</f>
        <v>2000 GPH / model12 /24V</v>
      </c>
      <c r="H64" s="5" t="n">
        <f aca="false">IFERROR(IF(INDEX(02_Цены!$L$2:$L$1000,MATCH(D64,02_Цены!$A$2:$A$1000,0))="","",INDEX(02_Цены!$L$2:$L$1000,MATCH(D64,02_Цены!$A$2:$A$1000,0))),"")</f>
        <v>124.82</v>
      </c>
      <c r="I64" s="5" t="str">
        <f aca="false">IF(AND(ISNUMBER(E64),E64&gt;=0,ISNUMBER(H64)),ROUND(E64*H64,2),"")</f>
        <v/>
      </c>
      <c r="J64" s="5" t="str">
        <f aca="false">IFERROR(IF(INDEX(02_Цены!$M$2:$M$1000,MATCH(D64,02_Цены!$A$2:$A$1000,0))="","",INDEX(02_Цены!$M$2:$M$1000,MATCH(D64,02_Цены!$A$2:$A$1000,0))),"")</f>
        <v>OBSERVED_NET_CONDITIONAL_SCOPE</v>
      </c>
      <c r="K64" s="5" t="str">
        <f aca="false">IF(AND(ISNUMBER(I64),J64="OBSERVED_NET_CONDITIONAL_SCOPE",OR(IFERROR(IF(INDEX(02_Цены!$E$2:$E$1000,MATCH(D64,02_Цены!$A$2:$A$1000,0))="","",INDEX(02_Цены!$E$2:$E$1000,MATCH(D64,02_Цены!$A$2:$A$1000,0))),"")="",E64=IFERROR(IF(INDEX(02_Цены!$E$2:$E$1000,MATCH(D64,02_Цены!$A$2:$A$1000,0))="","",INDEX(02_Цены!$E$2:$E$1000,MATCH(D64,02_Цены!$A$2:$A$1000,0))),""))),"PRICE_OBSERVED","BLOCK")</f>
        <v>BLOCK</v>
      </c>
      <c r="L64" s="9" t="s">
        <v>564</v>
      </c>
    </row>
    <row r="65" customFormat="false" ht="66" hidden="false" customHeight="true" outlineLevel="0" collapsed="false">
      <c r="A65" s="3" t="s">
        <v>775</v>
      </c>
      <c r="B65" s="3" t="s">
        <v>774</v>
      </c>
      <c r="C65" s="3" t="s">
        <v>558</v>
      </c>
      <c r="D65" s="9" t="s">
        <v>565</v>
      </c>
      <c r="E65" s="9"/>
      <c r="F65" s="9" t="s">
        <v>366</v>
      </c>
      <c r="G65" s="5" t="str">
        <f aca="false">IFERROR(IF(INDEX(02_Цены!$D$2:$D$1000,MATCH(D65,02_Цены!$A$2:$A$1000,0))="","",INDEX(02_Цены!$D$2:$D$1000,MATCH(D65,02_Цены!$A$2:$A$1000,0))),"")</f>
        <v>Gusher Urchin BP9005</v>
      </c>
      <c r="H65" s="5" t="n">
        <f aca="false">IFERROR(IF(INDEX(02_Цены!$L$2:$L$1000,MATCH(D65,02_Цены!$A$2:$A$1000,0))="","",INDEX(02_Цены!$L$2:$L$1000,MATCH(D65,02_Цены!$A$2:$A$1000,0))),"")</f>
        <v>64.13</v>
      </c>
      <c r="I65" s="5" t="str">
        <f aca="false">IF(AND(ISNUMBER(E65),E65&gt;=0,ISNUMBER(H65)),ROUND(E65*H65,2),"")</f>
        <v/>
      </c>
      <c r="J65" s="5" t="str">
        <f aca="false">IFERROR(IF(INDEX(02_Цены!$M$2:$M$1000,MATCH(D65,02_Цены!$A$2:$A$1000,0))="","",INDEX(02_Цены!$M$2:$M$1000,MATCH(D65,02_Цены!$A$2:$A$1000,0))),"")</f>
        <v>OBSERVED_NET_CONDITIONAL_SCOPE</v>
      </c>
      <c r="K65" s="5" t="str">
        <f aca="false">IF(AND(ISNUMBER(I65),J65="OBSERVED_NET_CONDITIONAL_SCOPE",OR(IFERROR(IF(INDEX(02_Цены!$E$2:$E$1000,MATCH(D65,02_Цены!$A$2:$A$1000,0))="","",INDEX(02_Цены!$E$2:$E$1000,MATCH(D65,02_Цены!$A$2:$A$1000,0))),"")="",E65=IFERROR(IF(INDEX(02_Цены!$E$2:$E$1000,MATCH(D65,02_Цены!$A$2:$A$1000,0))="","",INDEX(02_Цены!$E$2:$E$1000,MATCH(D65,02_Цены!$A$2:$A$1000,0))),""))),"PRICE_OBSERVED","BLOCK")</f>
        <v>BLOCK</v>
      </c>
      <c r="L65" s="9" t="s">
        <v>569</v>
      </c>
    </row>
    <row r="66" customFormat="false" ht="66" hidden="false" customHeight="true" outlineLevel="0" collapsed="false">
      <c r="A66" s="2" t="s">
        <v>776</v>
      </c>
      <c r="B66" s="2" t="s">
        <v>774</v>
      </c>
      <c r="C66" s="2" t="s">
        <v>558</v>
      </c>
      <c r="D66" s="9" t="s">
        <v>570</v>
      </c>
      <c r="E66" s="9"/>
      <c r="F66" s="9" t="s">
        <v>366</v>
      </c>
      <c r="G66" s="5" t="str">
        <f aca="false">IFERROR(IF(INDEX(02_Цены!$D$2:$D$1000,MATCH(D66,02_Цены!$A$2:$A$1000,0))="","",INDEX(02_Цены!$D$2:$D$1000,MATCH(D66,02_Цены!$A$2:$A$1000,0))),"")</f>
        <v>32ALA /24V</v>
      </c>
      <c r="H66" s="5" t="n">
        <f aca="false">IFERROR(IF(INDEX(02_Цены!$L$2:$L$1000,MATCH(D66,02_Цены!$A$2:$A$1000,0))="","",INDEX(02_Цены!$L$2:$L$1000,MATCH(D66,02_Цены!$A$2:$A$1000,0))),"")</f>
        <v>85.19</v>
      </c>
      <c r="I66" s="5" t="str">
        <f aca="false">IF(AND(ISNUMBER(E66),E66&gt;=0,ISNUMBER(H66)),ROUND(E66*H66,2),"")</f>
        <v/>
      </c>
      <c r="J66" s="5" t="str">
        <f aca="false">IFERROR(IF(INDEX(02_Цены!$M$2:$M$1000,MATCH(D66,02_Цены!$A$2:$A$1000,0))="","",INDEX(02_Цены!$M$2:$M$1000,MATCH(D66,02_Цены!$A$2:$A$1000,0))),"")</f>
        <v>OBSERVED_NET_CONDITIONAL_SCOPE</v>
      </c>
      <c r="K66" s="5" t="str">
        <f aca="false">IF(AND(ISNUMBER(I66),J66="OBSERVED_NET_CONDITIONAL_SCOPE",OR(IFERROR(IF(INDEX(02_Цены!$E$2:$E$1000,MATCH(D66,02_Цены!$A$2:$A$1000,0))="","",INDEX(02_Цены!$E$2:$E$1000,MATCH(D66,02_Цены!$A$2:$A$1000,0))),"")="",E66=IFERROR(IF(INDEX(02_Цены!$E$2:$E$1000,MATCH(D66,02_Цены!$A$2:$A$1000,0))="","",INDEX(02_Цены!$E$2:$E$1000,MATCH(D66,02_Цены!$A$2:$A$1000,0))),""))),"PRICE_OBSERVED","BLOCK")</f>
        <v>BLOCK</v>
      </c>
      <c r="L66" s="9" t="s">
        <v>572</v>
      </c>
    </row>
    <row r="67" customFormat="false" ht="66" hidden="false" customHeight="true" outlineLevel="0" collapsed="false">
      <c r="A67" s="3" t="s">
        <v>777</v>
      </c>
      <c r="B67" s="3" t="s">
        <v>774</v>
      </c>
      <c r="C67" s="3" t="s">
        <v>604</v>
      </c>
      <c r="D67" s="9" t="s">
        <v>603</v>
      </c>
      <c r="E67" s="9"/>
      <c r="F67" s="9" t="s">
        <v>366</v>
      </c>
      <c r="G67" s="5" t="str">
        <f aca="false">IFERROR(IF(INDEX(02_Цены!$D$2:$D$1000,MATCH(D67,02_Цены!$A$2:$A$1000,0))="","",INDEX(02_Цены!$D$2:$D$1000,MATCH(D67,02_Цены!$A$2:$A$1000,0))),"")</f>
        <v>MA series 31.620.55</v>
      </c>
      <c r="H67" s="5" t="str">
        <f aca="false">IFERROR(IF(INDEX(02_Цены!$L$2:$L$1000,MATCH(D67,02_Цены!$A$2:$A$1000,0))="","",INDEX(02_Цены!$L$2:$L$1000,MATCH(D67,02_Цены!$A$2:$A$1000,0))),"")</f>
        <v/>
      </c>
      <c r="I67" s="5" t="str">
        <f aca="false">IF(AND(ISNUMBER(E67),E67&gt;=0,ISNUMBER(H67)),ROUND(E67*H67,2),"")</f>
        <v/>
      </c>
      <c r="J67" s="5" t="str">
        <f aca="false">IFERROR(IF(INDEX(02_Цены!$M$2:$M$1000,MATCH(D67,02_Цены!$A$2:$A$1000,0))="","",INDEX(02_Цены!$M$2:$M$1000,MATCH(D67,02_Цены!$A$2:$A$1000,0))),"")</f>
        <v>NO_VERIFIED_NET</v>
      </c>
      <c r="K67" s="5" t="str">
        <f aca="false">IF(AND(ISNUMBER(I67),J67="OBSERVED_NET_CONDITIONAL_SCOPE",OR(IFERROR(IF(INDEX(02_Цены!$E$2:$E$1000,MATCH(D67,02_Цены!$A$2:$A$1000,0))="","",INDEX(02_Цены!$E$2:$E$1000,MATCH(D67,02_Цены!$A$2:$A$1000,0))),"")="",E67=IFERROR(IF(INDEX(02_Цены!$E$2:$E$1000,MATCH(D67,02_Цены!$A$2:$A$1000,0))="","",INDEX(02_Цены!$E$2:$E$1000,MATCH(D67,02_Цены!$A$2:$A$1000,0))),""))),"PRICE_OBSERVED","BLOCK")</f>
        <v>BLOCK</v>
      </c>
      <c r="L67" s="9" t="s">
        <v>610</v>
      </c>
    </row>
    <row r="68" customFormat="false" ht="66" hidden="false" customHeight="true" outlineLevel="0" collapsed="false">
      <c r="A68" s="2" t="s">
        <v>778</v>
      </c>
      <c r="B68" s="2" t="s">
        <v>779</v>
      </c>
      <c r="C68" s="2" t="s">
        <v>590</v>
      </c>
      <c r="D68" s="9" t="s">
        <v>589</v>
      </c>
      <c r="E68" s="9"/>
      <c r="F68" s="9" t="s">
        <v>366</v>
      </c>
      <c r="G68" s="5" t="str">
        <f aca="false">IFERROR(IF(INDEX(02_Цены!$D$2:$D$1000,MATCH(D68,02_Цены!$A$2:$A$1000,0))="","",INDEX(02_Цены!$D$2:$D$1000,MATCH(D68,02_Цены!$A$2:$A$1000,0))),"")</f>
        <v>SENSOR320</v>
      </c>
      <c r="H68" s="5" t="n">
        <f aca="false">IFERROR(IF(INDEX(02_Цены!$L$2:$L$1000,MATCH(D68,02_Цены!$A$2:$A$1000,0))="","",INDEX(02_Цены!$L$2:$L$1000,MATCH(D68,02_Цены!$A$2:$A$1000,0))),"")</f>
        <v>71.78</v>
      </c>
      <c r="I68" s="5" t="str">
        <f aca="false">IF(AND(ISNUMBER(E68),E68&gt;=0,ISNUMBER(H68)),ROUND(E68*H68,2),"")</f>
        <v/>
      </c>
      <c r="J68" s="5" t="str">
        <f aca="false">IFERROR(IF(INDEX(02_Цены!$M$2:$M$1000,MATCH(D68,02_Цены!$A$2:$A$1000,0))="","",INDEX(02_Цены!$M$2:$M$1000,MATCH(D68,02_Цены!$A$2:$A$1000,0))),"")</f>
        <v>OBSERVED_NET_CONDITIONAL_SCOPE</v>
      </c>
      <c r="K68" s="5" t="str">
        <f aca="false">IF(AND(ISNUMBER(I68),J68="OBSERVED_NET_CONDITIONAL_SCOPE",OR(IFERROR(IF(INDEX(02_Цены!$E$2:$E$1000,MATCH(D68,02_Цены!$A$2:$A$1000,0))="","",INDEX(02_Цены!$E$2:$E$1000,MATCH(D68,02_Цены!$A$2:$A$1000,0))),"")="",E68=IFERROR(IF(INDEX(02_Цены!$E$2:$E$1000,MATCH(D68,02_Цены!$A$2:$A$1000,0))="","",INDEX(02_Цены!$E$2:$E$1000,MATCH(D68,02_Цены!$A$2:$A$1000,0))),""))),"PRICE_OBSERVED","BLOCK")</f>
        <v>BLOCK</v>
      </c>
      <c r="L68" s="9" t="s">
        <v>593</v>
      </c>
    </row>
    <row r="69" customFormat="false" ht="66" hidden="false" customHeight="true" outlineLevel="0" collapsed="false">
      <c r="A69" s="3" t="s">
        <v>780</v>
      </c>
      <c r="B69" s="3" t="s">
        <v>779</v>
      </c>
      <c r="C69" s="3" t="s">
        <v>598</v>
      </c>
      <c r="D69" s="9" t="s">
        <v>597</v>
      </c>
      <c r="E69" s="9"/>
      <c r="F69" s="9" t="s">
        <v>366</v>
      </c>
      <c r="G69" s="5" t="str">
        <f aca="false">IFERROR(IF(INDEX(02_Цены!$D$2:$D$1000,MATCH(D69,02_Цены!$A$2:$A$1000,0))="","",INDEX(02_Цены!$D$2:$D$1000,MATCH(D69,02_Цены!$A$2:$A$1000,0))),"")</f>
        <v>18590-2094 /24V</v>
      </c>
      <c r="H69" s="5" t="n">
        <f aca="false">IFERROR(IF(INDEX(02_Цены!$L$2:$L$1000,MATCH(D69,02_Цены!$A$2:$A$1000,0))="","",INDEX(02_Цены!$L$2:$L$1000,MATCH(D69,02_Цены!$A$2:$A$1000,0))),"")</f>
        <v>164.85</v>
      </c>
      <c r="I69" s="5" t="str">
        <f aca="false">IF(AND(ISNUMBER(E69),E69&gt;=0,ISNUMBER(H69)),ROUND(E69*H69,2),"")</f>
        <v/>
      </c>
      <c r="J69" s="5" t="str">
        <f aca="false">IFERROR(IF(INDEX(02_Цены!$M$2:$M$1000,MATCH(D69,02_Цены!$A$2:$A$1000,0))="","",INDEX(02_Цены!$M$2:$M$1000,MATCH(D69,02_Цены!$A$2:$A$1000,0))),"")</f>
        <v>OBSERVED_NET_CONDITIONAL_SCOPE</v>
      </c>
      <c r="K69" s="5" t="str">
        <f aca="false">IF(AND(ISNUMBER(I69),J69="OBSERVED_NET_CONDITIONAL_SCOPE",OR(IFERROR(IF(INDEX(02_Цены!$E$2:$E$1000,MATCH(D69,02_Цены!$A$2:$A$1000,0))="","",INDEX(02_Цены!$E$2:$E$1000,MATCH(D69,02_Цены!$A$2:$A$1000,0))),"")="",E69=IFERROR(IF(INDEX(02_Цены!$E$2:$E$1000,MATCH(D69,02_Цены!$A$2:$A$1000,0))="","",INDEX(02_Цены!$E$2:$E$1000,MATCH(D69,02_Цены!$A$2:$A$1000,0))),""))),"PRICE_OBSERVED","BLOCK")</f>
        <v>BLOCK</v>
      </c>
      <c r="L69" s="9" t="s">
        <v>601</v>
      </c>
    </row>
    <row r="70" customFormat="false" ht="66" hidden="false" customHeight="true" outlineLevel="0" collapsed="false">
      <c r="A70" s="2" t="s">
        <v>781</v>
      </c>
      <c r="B70" s="2" t="s">
        <v>782</v>
      </c>
      <c r="C70" s="2" t="s">
        <v>590</v>
      </c>
      <c r="D70" s="9" t="s">
        <v>594</v>
      </c>
      <c r="E70" s="9"/>
      <c r="F70" s="9" t="s">
        <v>366</v>
      </c>
      <c r="G70" s="5" t="str">
        <f aca="false">IFERROR(IF(INDEX(02_Цены!$D$2:$D$1000,MATCH(D70,02_Цены!$A$2:$A$1000,0))="","",INDEX(02_Цены!$D$2:$D$1000,MATCH(D70,02_Цены!$A$2:$A$1000,0))),"")</f>
        <v>SENSORA</v>
      </c>
      <c r="H70" s="5" t="n">
        <f aca="false">IFERROR(IF(INDEX(02_Цены!$L$2:$L$1000,MATCH(D70,02_Цены!$A$2:$A$1000,0))="","",INDEX(02_Цены!$L$2:$L$1000,MATCH(D70,02_Цены!$A$2:$A$1000,0))),"")</f>
        <v>187.69</v>
      </c>
      <c r="I70" s="5" t="str">
        <f aca="false">IF(AND(ISNUMBER(E70),E70&gt;=0,ISNUMBER(H70)),ROUND(E70*H70,2),"")</f>
        <v/>
      </c>
      <c r="J70" s="5" t="str">
        <f aca="false">IFERROR(IF(INDEX(02_Цены!$M$2:$M$1000,MATCH(D70,02_Цены!$A$2:$A$1000,0))="","",INDEX(02_Цены!$M$2:$M$1000,MATCH(D70,02_Цены!$A$2:$A$1000,0))),"")</f>
        <v>OBSERVED_NET_CONDITIONAL_SCOPE</v>
      </c>
      <c r="K70" s="5" t="str">
        <f aca="false">IF(AND(ISNUMBER(I70),J70="OBSERVED_NET_CONDITIONAL_SCOPE",OR(IFERROR(IF(INDEX(02_Цены!$E$2:$E$1000,MATCH(D70,02_Цены!$A$2:$A$1000,0))="","",INDEX(02_Цены!$E$2:$E$1000,MATCH(D70,02_Цены!$A$2:$A$1000,0))),"")="",E70=IFERROR(IF(INDEX(02_Цены!$E$2:$E$1000,MATCH(D70,02_Цены!$A$2:$A$1000,0))="","",INDEX(02_Цены!$E$2:$E$1000,MATCH(D70,02_Цены!$A$2:$A$1000,0))),""))),"PRICE_OBSERVED","BLOCK")</f>
        <v>BLOCK</v>
      </c>
      <c r="L70" s="9" t="s">
        <v>596</v>
      </c>
    </row>
    <row r="71" customFormat="false" ht="66" hidden="false" customHeight="true" outlineLevel="0" collapsed="false">
      <c r="A71" s="3" t="s">
        <v>783</v>
      </c>
      <c r="B71" s="3" t="s">
        <v>782</v>
      </c>
      <c r="C71" s="3" t="s">
        <v>598</v>
      </c>
      <c r="D71" s="9" t="s">
        <v>597</v>
      </c>
      <c r="E71" s="9"/>
      <c r="F71" s="9" t="s">
        <v>366</v>
      </c>
      <c r="G71" s="5" t="str">
        <f aca="false">IFERROR(IF(INDEX(02_Цены!$D$2:$D$1000,MATCH(D71,02_Цены!$A$2:$A$1000,0))="","",INDEX(02_Цены!$D$2:$D$1000,MATCH(D71,02_Цены!$A$2:$A$1000,0))),"")</f>
        <v>18590-2094 /24V</v>
      </c>
      <c r="H71" s="5" t="n">
        <f aca="false">IFERROR(IF(INDEX(02_Цены!$L$2:$L$1000,MATCH(D71,02_Цены!$A$2:$A$1000,0))="","",INDEX(02_Цены!$L$2:$L$1000,MATCH(D71,02_Цены!$A$2:$A$1000,0))),"")</f>
        <v>164.85</v>
      </c>
      <c r="I71" s="5" t="str">
        <f aca="false">IF(AND(ISNUMBER(E71),E71&gt;=0,ISNUMBER(H71)),ROUND(E71*H71,2),"")</f>
        <v/>
      </c>
      <c r="J71" s="5" t="str">
        <f aca="false">IFERROR(IF(INDEX(02_Цены!$M$2:$M$1000,MATCH(D71,02_Цены!$A$2:$A$1000,0))="","",INDEX(02_Цены!$M$2:$M$1000,MATCH(D71,02_Цены!$A$2:$A$1000,0))),"")</f>
        <v>OBSERVED_NET_CONDITIONAL_SCOPE</v>
      </c>
      <c r="K71" s="5" t="str">
        <f aca="false">IF(AND(ISNUMBER(I71),J71="OBSERVED_NET_CONDITIONAL_SCOPE",OR(IFERROR(IF(INDEX(02_Цены!$E$2:$E$1000,MATCH(D71,02_Цены!$A$2:$A$1000,0))="","",INDEX(02_Цены!$E$2:$E$1000,MATCH(D71,02_Цены!$A$2:$A$1000,0))),"")="",E71=IFERROR(IF(INDEX(02_Цены!$E$2:$E$1000,MATCH(D71,02_Цены!$A$2:$A$1000,0))="","",INDEX(02_Цены!$E$2:$E$1000,MATCH(D71,02_Цены!$A$2:$A$1000,0))),""))),"PRICE_OBSERVED","BLOCK")</f>
        <v>BLOCK</v>
      </c>
      <c r="L71" s="9" t="s">
        <v>601</v>
      </c>
    </row>
    <row r="72" customFormat="false" ht="66" hidden="false" customHeight="true" outlineLevel="0" collapsed="false">
      <c r="A72" s="2" t="s">
        <v>784</v>
      </c>
      <c r="B72" s="2" t="s">
        <v>785</v>
      </c>
      <c r="C72" s="2" t="s">
        <v>590</v>
      </c>
      <c r="D72" s="9" t="s">
        <v>594</v>
      </c>
      <c r="E72" s="9"/>
      <c r="F72" s="9" t="s">
        <v>366</v>
      </c>
      <c r="G72" s="5" t="str">
        <f aca="false">IFERROR(IF(INDEX(02_Цены!$D$2:$D$1000,MATCH(D72,02_Цены!$A$2:$A$1000,0))="","",INDEX(02_Цены!$D$2:$D$1000,MATCH(D72,02_Цены!$A$2:$A$1000,0))),"")</f>
        <v>SENSORA</v>
      </c>
      <c r="H72" s="5" t="n">
        <f aca="false">IFERROR(IF(INDEX(02_Цены!$L$2:$L$1000,MATCH(D72,02_Цены!$A$2:$A$1000,0))="","",INDEX(02_Цены!$L$2:$L$1000,MATCH(D72,02_Цены!$A$2:$A$1000,0))),"")</f>
        <v>187.69</v>
      </c>
      <c r="I72" s="5" t="str">
        <f aca="false">IF(AND(ISNUMBER(E72),E72&gt;=0,ISNUMBER(H72)),ROUND(E72*H72,2),"")</f>
        <v/>
      </c>
      <c r="J72" s="5" t="str">
        <f aca="false">IFERROR(IF(INDEX(02_Цены!$M$2:$M$1000,MATCH(D72,02_Цены!$A$2:$A$1000,0))="","",INDEX(02_Цены!$M$2:$M$1000,MATCH(D72,02_Цены!$A$2:$A$1000,0))),"")</f>
        <v>OBSERVED_NET_CONDITIONAL_SCOPE</v>
      </c>
      <c r="K72" s="5" t="str">
        <f aca="false">IF(AND(ISNUMBER(I72),J72="OBSERVED_NET_CONDITIONAL_SCOPE",OR(IFERROR(IF(INDEX(02_Цены!$E$2:$E$1000,MATCH(D72,02_Цены!$A$2:$A$1000,0))="","",INDEX(02_Цены!$E$2:$E$1000,MATCH(D72,02_Цены!$A$2:$A$1000,0))),"")="",E72=IFERROR(IF(INDEX(02_Цены!$E$2:$E$1000,MATCH(D72,02_Цены!$A$2:$A$1000,0))="","",INDEX(02_Цены!$E$2:$E$1000,MATCH(D72,02_Цены!$A$2:$A$1000,0))),""))),"PRICE_OBSERVED","BLOCK")</f>
        <v>BLOCK</v>
      </c>
      <c r="L72" s="9" t="s">
        <v>596</v>
      </c>
    </row>
    <row r="73" customFormat="false" ht="66" hidden="false" customHeight="true" outlineLevel="0" collapsed="false">
      <c r="A73" s="3" t="s">
        <v>786</v>
      </c>
      <c r="B73" s="3" t="s">
        <v>785</v>
      </c>
      <c r="C73" s="3" t="s">
        <v>598</v>
      </c>
      <c r="D73" s="9" t="s">
        <v>597</v>
      </c>
      <c r="E73" s="9"/>
      <c r="F73" s="9" t="s">
        <v>366</v>
      </c>
      <c r="G73" s="5" t="str">
        <f aca="false">IFERROR(IF(INDEX(02_Цены!$D$2:$D$1000,MATCH(D73,02_Цены!$A$2:$A$1000,0))="","",INDEX(02_Цены!$D$2:$D$1000,MATCH(D73,02_Цены!$A$2:$A$1000,0))),"")</f>
        <v>18590-2094 /24V</v>
      </c>
      <c r="H73" s="5" t="n">
        <f aca="false">IFERROR(IF(INDEX(02_Цены!$L$2:$L$1000,MATCH(D73,02_Цены!$A$2:$A$1000,0))="","",INDEX(02_Цены!$L$2:$L$1000,MATCH(D73,02_Цены!$A$2:$A$1000,0))),"")</f>
        <v>164.85</v>
      </c>
      <c r="I73" s="5" t="str">
        <f aca="false">IF(AND(ISNUMBER(E73),E73&gt;=0,ISNUMBER(H73)),ROUND(E73*H73,2),"")</f>
        <v/>
      </c>
      <c r="J73" s="5" t="str">
        <f aca="false">IFERROR(IF(INDEX(02_Цены!$M$2:$M$1000,MATCH(D73,02_Цены!$A$2:$A$1000,0))="","",INDEX(02_Цены!$M$2:$M$1000,MATCH(D73,02_Цены!$A$2:$A$1000,0))),"")</f>
        <v>OBSERVED_NET_CONDITIONAL_SCOPE</v>
      </c>
      <c r="K73" s="5" t="str">
        <f aca="false">IF(AND(ISNUMBER(I73),J73="OBSERVED_NET_CONDITIONAL_SCOPE",OR(IFERROR(IF(INDEX(02_Цены!$E$2:$E$1000,MATCH(D73,02_Цены!$A$2:$A$1000,0))="","",INDEX(02_Цены!$E$2:$E$1000,MATCH(D73,02_Цены!$A$2:$A$1000,0))),"")="",E73=IFERROR(IF(INDEX(02_Цены!$E$2:$E$1000,MATCH(D73,02_Цены!$A$2:$A$1000,0))="","",INDEX(02_Цены!$E$2:$E$1000,MATCH(D73,02_Цены!$A$2:$A$1000,0))),""))),"PRICE_OBSERVED","BLOCK")</f>
        <v>BLOCK</v>
      </c>
      <c r="L73" s="9" t="s">
        <v>601</v>
      </c>
    </row>
    <row r="74" customFormat="false" ht="66" hidden="false" customHeight="true" outlineLevel="0" collapsed="false">
      <c r="A74" s="2" t="s">
        <v>787</v>
      </c>
      <c r="B74" s="2" t="s">
        <v>788</v>
      </c>
      <c r="C74" s="2" t="s">
        <v>128</v>
      </c>
      <c r="D74" s="9" t="s">
        <v>495</v>
      </c>
      <c r="E74" s="9"/>
      <c r="F74" s="9" t="s">
        <v>366</v>
      </c>
      <c r="G74" s="5" t="str">
        <f aca="false">IFERROR(IF(INDEX(02_Цены!$D$2:$D$1000,MATCH(D74,02_Цены!$A$2:$A$1000,0))="","",INDEX(02_Цены!$D$2:$D$1000,MATCH(D74,02_Цены!$A$2:$A$1000,0))),"")</f>
        <v>HT1010</v>
      </c>
      <c r="H74" s="5" t="n">
        <f aca="false">IFERROR(IF(INDEX(02_Цены!$L$2:$L$1000,MATCH(D74,02_Цены!$A$2:$A$1000,0))="","",INDEX(02_Цены!$L$2:$L$1000,MATCH(D74,02_Цены!$A$2:$A$1000,0))),"")</f>
        <v>2807.52</v>
      </c>
      <c r="I74" s="5" t="str">
        <f aca="false">IF(AND(ISNUMBER(E74),E74&gt;=0,ISNUMBER(H74)),ROUND(E74*H74,2),"")</f>
        <v/>
      </c>
      <c r="J74" s="5" t="str">
        <f aca="false">IFERROR(IF(INDEX(02_Цены!$M$2:$M$1000,MATCH(D74,02_Цены!$A$2:$A$1000,0))="","",INDEX(02_Цены!$M$2:$M$1000,MATCH(D74,02_Цены!$A$2:$A$1000,0))),"")</f>
        <v>OBSERVED_NET_CONDITIONAL_SCOPE</v>
      </c>
      <c r="K74" s="5" t="str">
        <f aca="false">IF(AND(ISNUMBER(I74),J74="OBSERVED_NET_CONDITIONAL_SCOPE",OR(IFERROR(IF(INDEX(02_Цены!$E$2:$E$1000,MATCH(D74,02_Цены!$A$2:$A$1000,0))="","",INDEX(02_Цены!$E$2:$E$1000,MATCH(D74,02_Цены!$A$2:$A$1000,0))),"")="",E74=IFERROR(IF(INDEX(02_Цены!$E$2:$E$1000,MATCH(D74,02_Цены!$A$2:$A$1000,0))="","",INDEX(02_Цены!$E$2:$E$1000,MATCH(D74,02_Цены!$A$2:$A$1000,0))),""))),"PRICE_OBSERVED","BLOCK")</f>
        <v>BLOCK</v>
      </c>
      <c r="L74" s="9" t="s">
        <v>501</v>
      </c>
    </row>
    <row r="75" customFormat="false" ht="66" hidden="false" customHeight="true" outlineLevel="0" collapsed="false">
      <c r="A75" s="3" t="s">
        <v>789</v>
      </c>
      <c r="B75" s="3" t="s">
        <v>788</v>
      </c>
      <c r="C75" s="3" t="s">
        <v>128</v>
      </c>
      <c r="D75" s="9" t="s">
        <v>503</v>
      </c>
      <c r="E75" s="9"/>
      <c r="F75" s="9" t="s">
        <v>366</v>
      </c>
      <c r="G75" s="5" t="str">
        <f aca="false">IFERROR(IF(INDEX(02_Цены!$D$2:$D$1000,MATCH(D75,02_Цены!$A$2:$A$1000,0))="","",INDEX(02_Цены!$D$2:$D$1000,MATCH(D75,02_Цены!$A$2:$A$1000,0))),"")</f>
        <v>HT1016SD2</v>
      </c>
      <c r="H75" s="5" t="n">
        <f aca="false">IFERROR(IF(INDEX(02_Цены!$L$2:$L$1000,MATCH(D75,02_Цены!$A$2:$A$1000,0))="","",INDEX(02_Цены!$L$2:$L$1000,MATCH(D75,02_Цены!$A$2:$A$1000,0))),"")</f>
        <v>3162.04</v>
      </c>
      <c r="I75" s="5" t="str">
        <f aca="false">IF(AND(ISNUMBER(E75),E75&gt;=0,ISNUMBER(H75)),ROUND(E75*H75,2),"")</f>
        <v/>
      </c>
      <c r="J75" s="5" t="str">
        <f aca="false">IFERROR(IF(INDEX(02_Цены!$M$2:$M$1000,MATCH(D75,02_Цены!$A$2:$A$1000,0))="","",INDEX(02_Цены!$M$2:$M$1000,MATCH(D75,02_Цены!$A$2:$A$1000,0))),"")</f>
        <v>OBSERVED_NET_CONDITIONAL_SCOPE</v>
      </c>
      <c r="K75" s="5" t="str">
        <f aca="false">IF(AND(ISNUMBER(I75),J75="OBSERVED_NET_CONDITIONAL_SCOPE",OR(IFERROR(IF(INDEX(02_Цены!$E$2:$E$1000,MATCH(D75,02_Цены!$A$2:$A$1000,0))="","",INDEX(02_Цены!$E$2:$E$1000,MATCH(D75,02_Цены!$A$2:$A$1000,0))),"")="",E75=IFERROR(IF(INDEX(02_Цены!$E$2:$E$1000,MATCH(D75,02_Цены!$A$2:$A$1000,0))="","",INDEX(02_Цены!$E$2:$E$1000,MATCH(D75,02_Цены!$A$2:$A$1000,0))),""))),"PRICE_OBSERVED","BLOCK")</f>
        <v>BLOCK</v>
      </c>
      <c r="L75" s="9" t="s">
        <v>506</v>
      </c>
    </row>
    <row r="76" customFormat="false" ht="66" hidden="false" customHeight="true" outlineLevel="0" collapsed="false">
      <c r="A76" s="2" t="s">
        <v>790</v>
      </c>
      <c r="B76" s="2" t="s">
        <v>788</v>
      </c>
      <c r="C76" s="2" t="s">
        <v>128</v>
      </c>
      <c r="D76" s="9" t="s">
        <v>508</v>
      </c>
      <c r="E76" s="9"/>
      <c r="F76" s="9" t="s">
        <v>366</v>
      </c>
      <c r="G76" s="5" t="str">
        <f aca="false">IFERROR(IF(INDEX(02_Цены!$D$2:$D$1000,MATCH(D76,02_Цены!$A$2:$A$1000,0))="","",INDEX(02_Цены!$D$2:$D$1000,MATCH(D76,02_Цены!$A$2:$A$1000,0))),"")</f>
        <v>HT301132</v>
      </c>
      <c r="H76" s="5" t="n">
        <f aca="false">IFERROR(IF(INDEX(02_Цены!$L$2:$L$1000,MATCH(D76,02_Цены!$A$2:$A$1000,0))="","",INDEX(02_Цены!$L$2:$L$1000,MATCH(D76,02_Цены!$A$2:$A$1000,0))),"")</f>
        <v>602.34</v>
      </c>
      <c r="I76" s="5" t="str">
        <f aca="false">IF(AND(ISNUMBER(E76),E76&gt;=0,ISNUMBER(H76)),ROUND(E76*H76,2),"")</f>
        <v/>
      </c>
      <c r="J76" s="5" t="str">
        <f aca="false">IFERROR(IF(INDEX(02_Цены!$M$2:$M$1000,MATCH(D76,02_Цены!$A$2:$A$1000,0))="","",INDEX(02_Цены!$M$2:$M$1000,MATCH(D76,02_Цены!$A$2:$A$1000,0))),"")</f>
        <v>OBSERVED_NET_CONDITIONAL_SCOPE</v>
      </c>
      <c r="K76" s="5" t="str">
        <f aca="false">IF(AND(ISNUMBER(I76),J76="OBSERVED_NET_CONDITIONAL_SCOPE",OR(IFERROR(IF(INDEX(02_Цены!$E$2:$E$1000,MATCH(D76,02_Цены!$A$2:$A$1000,0))="","",INDEX(02_Цены!$E$2:$E$1000,MATCH(D76,02_Цены!$A$2:$A$1000,0))),"")="",E76=IFERROR(IF(INDEX(02_Цены!$E$2:$E$1000,MATCH(D76,02_Цены!$A$2:$A$1000,0))="","",INDEX(02_Цены!$E$2:$E$1000,MATCH(D76,02_Цены!$A$2:$A$1000,0))),""))),"PRICE_OBSERVED","BLOCK")</f>
        <v>BLOCK</v>
      </c>
      <c r="L76" s="9" t="s">
        <v>510</v>
      </c>
    </row>
    <row r="77" customFormat="false" ht="66" hidden="false" customHeight="true" outlineLevel="0" collapsed="false">
      <c r="A77" s="3" t="s">
        <v>791</v>
      </c>
      <c r="B77" s="3" t="s">
        <v>788</v>
      </c>
      <c r="C77" s="3" t="s">
        <v>128</v>
      </c>
      <c r="D77" s="9" t="s">
        <v>511</v>
      </c>
      <c r="E77" s="9"/>
      <c r="F77" s="9" t="s">
        <v>366</v>
      </c>
      <c r="G77" s="5" t="str">
        <f aca="false">IFERROR(IF(INDEX(02_Цены!$D$2:$D$1000,MATCH(D77,02_Цены!$A$2:$A$1000,0))="","",INDEX(02_Цены!$D$2:$D$1000,MATCH(D77,02_Цены!$A$2:$A$1000,0))),"")</f>
        <v>HT102312</v>
      </c>
      <c r="H77" s="5" t="n">
        <f aca="false">IFERROR(IF(INDEX(02_Цены!$L$2:$L$1000,MATCH(D77,02_Цены!$A$2:$A$1000,0))="","",INDEX(02_Цены!$L$2:$L$1000,MATCH(D77,02_Цены!$A$2:$A$1000,0))),"")</f>
        <v>567.91</v>
      </c>
      <c r="I77" s="5" t="str">
        <f aca="false">IF(AND(ISNUMBER(E77),E77&gt;=0,ISNUMBER(H77)),ROUND(E77*H77,2),"")</f>
        <v/>
      </c>
      <c r="J77" s="5" t="str">
        <f aca="false">IFERROR(IF(INDEX(02_Цены!$M$2:$M$1000,MATCH(D77,02_Цены!$A$2:$A$1000,0))="","",INDEX(02_Цены!$M$2:$M$1000,MATCH(D77,02_Цены!$A$2:$A$1000,0))),"")</f>
        <v>OBSERVED_NET_CONDITIONAL_SCOPE</v>
      </c>
      <c r="K77" s="5" t="str">
        <f aca="false">IF(AND(ISNUMBER(I77),J77="OBSERVED_NET_CONDITIONAL_SCOPE",OR(IFERROR(IF(INDEX(02_Цены!$E$2:$E$1000,MATCH(D77,02_Цены!$A$2:$A$1000,0))="","",INDEX(02_Цены!$E$2:$E$1000,MATCH(D77,02_Цены!$A$2:$A$1000,0))),"")="",E77=IFERROR(IF(INDEX(02_Цены!$E$2:$E$1000,MATCH(D77,02_Цены!$A$2:$A$1000,0))="","",INDEX(02_Цены!$E$2:$E$1000,MATCH(D77,02_Цены!$A$2:$A$1000,0))),""))),"PRICE_OBSERVED","BLOCK")</f>
        <v>BLOCK</v>
      </c>
      <c r="L77" s="9" t="s">
        <v>513</v>
      </c>
    </row>
    <row r="78" customFormat="false" ht="66" hidden="false" customHeight="true" outlineLevel="0" collapsed="false">
      <c r="A78" s="2" t="s">
        <v>792</v>
      </c>
      <c r="B78" s="2" t="s">
        <v>788</v>
      </c>
      <c r="C78" s="2" t="s">
        <v>128</v>
      </c>
      <c r="D78" s="9" t="s">
        <v>514</v>
      </c>
      <c r="E78" s="9"/>
      <c r="F78" s="9" t="s">
        <v>366</v>
      </c>
      <c r="G78" s="5" t="str">
        <f aca="false">IFERROR(IF(INDEX(02_Цены!$D$2:$D$1000,MATCH(D78,02_Цены!$A$2:$A$1000,0))="","",INDEX(02_Цены!$D$2:$D$1000,MATCH(D78,02_Цены!$A$2:$A$1000,0))),"")</f>
        <v>HT1011</v>
      </c>
      <c r="H78" s="5" t="n">
        <f aca="false">IFERROR(IF(INDEX(02_Цены!$L$2:$L$1000,MATCH(D78,02_Цены!$A$2:$A$1000,0))="","",INDEX(02_Цены!$L$2:$L$1000,MATCH(D78,02_Цены!$A$2:$A$1000,0))),"")</f>
        <v>833.18</v>
      </c>
      <c r="I78" s="5" t="str">
        <f aca="false">IF(AND(ISNUMBER(E78),E78&gt;=0,ISNUMBER(H78)),ROUND(E78*H78,2),"")</f>
        <v/>
      </c>
      <c r="J78" s="5" t="str">
        <f aca="false">IFERROR(IF(INDEX(02_Цены!$M$2:$M$1000,MATCH(D78,02_Цены!$A$2:$A$1000,0))="","",INDEX(02_Цены!$M$2:$M$1000,MATCH(D78,02_Цены!$A$2:$A$1000,0))),"")</f>
        <v>OBSERVED_NET_CONDITIONAL_SCOPE</v>
      </c>
      <c r="K78" s="5" t="str">
        <f aca="false">IF(AND(ISNUMBER(I78),J78="OBSERVED_NET_CONDITIONAL_SCOPE",OR(IFERROR(IF(INDEX(02_Цены!$E$2:$E$1000,MATCH(D78,02_Цены!$A$2:$A$1000,0))="","",INDEX(02_Цены!$E$2:$E$1000,MATCH(D78,02_Цены!$A$2:$A$1000,0))),"")="",E78=IFERROR(IF(INDEX(02_Цены!$E$2:$E$1000,MATCH(D78,02_Цены!$A$2:$A$1000,0))="","",INDEX(02_Цены!$E$2:$E$1000,MATCH(D78,02_Цены!$A$2:$A$1000,0))),""))),"PRICE_OBSERVED","BLOCK")</f>
        <v>BLOCK</v>
      </c>
      <c r="L78" s="9" t="s">
        <v>516</v>
      </c>
    </row>
    <row r="79" customFormat="false" ht="66" hidden="false" customHeight="true" outlineLevel="0" collapsed="false">
      <c r="A79" s="3" t="s">
        <v>793</v>
      </c>
      <c r="B79" s="3" t="s">
        <v>794</v>
      </c>
      <c r="C79" s="3" t="s">
        <v>128</v>
      </c>
      <c r="D79" s="9" t="s">
        <v>521</v>
      </c>
      <c r="E79" s="9"/>
      <c r="F79" s="9" t="s">
        <v>366</v>
      </c>
      <c r="G79" s="5" t="str">
        <f aca="false">IFERROR(IF(INDEX(02_Цены!$D$2:$D$1000,MATCH(D79,02_Цены!$A$2:$A$1000,0))="","",INDEX(02_Цены!$D$2:$D$1000,MATCH(D79,02_Цены!$A$2:$A$1000,0))),"")</f>
        <v>Load-sensing system / bulkhead tank 40L</v>
      </c>
      <c r="H79" s="5" t="str">
        <f aca="false">IFERROR(IF(INDEX(02_Цены!$L$2:$L$1000,MATCH(D79,02_Цены!$A$2:$A$1000,0))="","",INDEX(02_Цены!$L$2:$L$1000,MATCH(D79,02_Цены!$A$2:$A$1000,0))),"")</f>
        <v/>
      </c>
      <c r="I79" s="5" t="str">
        <f aca="false">IF(AND(ISNUMBER(E79),E79&gt;=0,ISNUMBER(H79)),ROUND(E79*H79,2),"")</f>
        <v/>
      </c>
      <c r="J79" s="5" t="str">
        <f aca="false">IFERROR(IF(INDEX(02_Цены!$M$2:$M$1000,MATCH(D79,02_Цены!$A$2:$A$1000,0))="","",INDEX(02_Цены!$M$2:$M$1000,MATCH(D79,02_Цены!$A$2:$A$1000,0))),"")</f>
        <v>NO_VERIFIED_NET</v>
      </c>
      <c r="K79" s="5" t="str">
        <f aca="false">IF(AND(ISNUMBER(I79),J79="OBSERVED_NET_CONDITIONAL_SCOPE",OR(IFERROR(IF(INDEX(02_Цены!$E$2:$E$1000,MATCH(D79,02_Цены!$A$2:$A$1000,0))="","",INDEX(02_Цены!$E$2:$E$1000,MATCH(D79,02_Цены!$A$2:$A$1000,0))),"")="",E79=IFERROR(IF(INDEX(02_Цены!$E$2:$E$1000,MATCH(D79,02_Цены!$A$2:$A$1000,0))="","",INDEX(02_Цены!$E$2:$E$1000,MATCH(D79,02_Цены!$A$2:$A$1000,0))),""))),"PRICE_OBSERVED","BLOCK")</f>
        <v>BLOCK</v>
      </c>
      <c r="L79" s="9" t="s">
        <v>527</v>
      </c>
    </row>
    <row r="80" customFormat="false" ht="66" hidden="false" customHeight="true" outlineLevel="0" collapsed="false">
      <c r="A80" s="2" t="s">
        <v>795</v>
      </c>
      <c r="B80" s="2" t="s">
        <v>796</v>
      </c>
      <c r="C80" s="2" t="s">
        <v>128</v>
      </c>
      <c r="D80" s="9" t="s">
        <v>528</v>
      </c>
      <c r="E80" s="9"/>
      <c r="F80" s="9" t="s">
        <v>366</v>
      </c>
      <c r="G80" s="5" t="str">
        <f aca="false">IFERROR(IF(INDEX(02_Цены!$D$2:$D$1000,MATCH(D80,02_Цены!$A$2:$A$1000,0))="","",INDEX(02_Цены!$D$2:$D$1000,MATCH(D80,02_Цены!$A$2:$A$1000,0))),"")</f>
        <v>Hydro 2</v>
      </c>
      <c r="H80" s="5" t="str">
        <f aca="false">IFERROR(IF(INDEX(02_Цены!$L$2:$L$1000,MATCH(D80,02_Цены!$A$2:$A$1000,0))="","",INDEX(02_Цены!$L$2:$L$1000,MATCH(D80,02_Цены!$A$2:$A$1000,0))),"")</f>
        <v/>
      </c>
      <c r="I80" s="5" t="str">
        <f aca="false">IF(AND(ISNUMBER(E80),E80&gt;=0,ISNUMBER(H80)),ROUND(E80*H80,2),"")</f>
        <v/>
      </c>
      <c r="J80" s="5" t="str">
        <f aca="false">IFERROR(IF(INDEX(02_Цены!$M$2:$M$1000,MATCH(D80,02_Цены!$A$2:$A$1000,0))="","",INDEX(02_Цены!$M$2:$M$1000,MATCH(D80,02_Цены!$A$2:$A$1000,0))),"")</f>
        <v>NO_VERIFIED_NET</v>
      </c>
      <c r="K80" s="5" t="str">
        <f aca="false">IF(AND(ISNUMBER(I80),J80="OBSERVED_NET_CONDITIONAL_SCOPE",OR(IFERROR(IF(INDEX(02_Цены!$E$2:$E$1000,MATCH(D80,02_Цены!$A$2:$A$1000,0))="","",INDEX(02_Цены!$E$2:$E$1000,MATCH(D80,02_Цены!$A$2:$A$1000,0))),"")="",E80=IFERROR(IF(INDEX(02_Цены!$E$2:$E$1000,MATCH(D80,02_Цены!$A$2:$A$1000,0))="","",INDEX(02_Цены!$E$2:$E$1000,MATCH(D80,02_Цены!$A$2:$A$1000,0))),""))),"PRICE_OBSERVED","BLOCK")</f>
        <v>BLOCK</v>
      </c>
      <c r="L80" s="9" t="s">
        <v>534</v>
      </c>
    </row>
  </sheetData>
  <autoFilter ref="A1:L80"/>
  <dataValidations count="1">
    <dataValidation allowBlank="true" error="Нужно неотрицательное число в допустимом диапазоне" errorStyle="stop" operator="greaterThanOrEqual" showDropDown="false" showErrorMessage="true" showInputMessage="false" sqref="E2:E8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130"/>
    <col collapsed="false" customWidth="true" hidden="false" outlineLevel="0" max="4" min="4" style="0" width="23"/>
    <col collapsed="false" customWidth="true" hidden="false" outlineLevel="0" max="5" min="5" style="0" width="50"/>
    <col collapsed="false" customWidth="true" hidden="false" outlineLevel="0" max="6" min="6" style="0" width="23"/>
    <col collapsed="false" customWidth="true" hidden="false" outlineLevel="0" max="7" min="7" style="0" width="60"/>
  </cols>
  <sheetData>
    <row r="1" customFormat="false" ht="45" hidden="false" customHeight="true" outlineLevel="0" collapsed="false">
      <c r="A1" s="1" t="s">
        <v>797</v>
      </c>
      <c r="B1" s="1" t="s">
        <v>676</v>
      </c>
      <c r="C1" s="1" t="s">
        <v>798</v>
      </c>
      <c r="D1" s="1" t="s">
        <v>2</v>
      </c>
      <c r="E1" s="1" t="s">
        <v>799</v>
      </c>
      <c r="F1" s="1" t="s">
        <v>800</v>
      </c>
      <c r="G1" s="1" t="s">
        <v>801</v>
      </c>
    </row>
    <row r="2" customFormat="false" ht="66" hidden="false" customHeight="true" outlineLevel="0" collapsed="false">
      <c r="A2" s="2" t="s">
        <v>802</v>
      </c>
      <c r="B2" s="2" t="s">
        <v>683</v>
      </c>
      <c r="C2" s="2" t="s">
        <v>803</v>
      </c>
      <c r="D2" s="9" t="s">
        <v>804</v>
      </c>
      <c r="E2" s="9"/>
      <c r="F2" s="9"/>
      <c r="G2" s="9"/>
    </row>
    <row r="3" customFormat="false" ht="66" hidden="false" customHeight="true" outlineLevel="0" collapsed="false">
      <c r="A3" s="3" t="s">
        <v>805</v>
      </c>
      <c r="B3" s="3" t="s">
        <v>683</v>
      </c>
      <c r="C3" s="3" t="s">
        <v>806</v>
      </c>
      <c r="D3" s="9" t="s">
        <v>804</v>
      </c>
      <c r="E3" s="9"/>
      <c r="F3" s="9"/>
      <c r="G3" s="9"/>
    </row>
    <row r="4" customFormat="false" ht="66" hidden="false" customHeight="true" outlineLevel="0" collapsed="false">
      <c r="A4" s="2" t="s">
        <v>807</v>
      </c>
      <c r="B4" s="2" t="s">
        <v>683</v>
      </c>
      <c r="C4" s="2" t="s">
        <v>808</v>
      </c>
      <c r="D4" s="9" t="s">
        <v>804</v>
      </c>
      <c r="E4" s="9"/>
      <c r="F4" s="9"/>
      <c r="G4" s="9"/>
    </row>
    <row r="5" customFormat="false" ht="66" hidden="false" customHeight="true" outlineLevel="0" collapsed="false">
      <c r="A5" s="3" t="s">
        <v>809</v>
      </c>
      <c r="B5" s="3" t="s">
        <v>683</v>
      </c>
      <c r="C5" s="3" t="s">
        <v>810</v>
      </c>
      <c r="D5" s="9" t="s">
        <v>804</v>
      </c>
      <c r="E5" s="9"/>
      <c r="F5" s="9"/>
      <c r="G5" s="9"/>
    </row>
    <row r="6" customFormat="false" ht="66" hidden="false" customHeight="true" outlineLevel="0" collapsed="false">
      <c r="A6" s="2" t="s">
        <v>811</v>
      </c>
      <c r="B6" s="2" t="s">
        <v>685</v>
      </c>
      <c r="C6" s="2" t="s">
        <v>803</v>
      </c>
      <c r="D6" s="9" t="s">
        <v>804</v>
      </c>
      <c r="E6" s="9"/>
      <c r="F6" s="9"/>
      <c r="G6" s="9"/>
    </row>
    <row r="7" customFormat="false" ht="66" hidden="false" customHeight="true" outlineLevel="0" collapsed="false">
      <c r="A7" s="3" t="s">
        <v>812</v>
      </c>
      <c r="B7" s="3" t="s">
        <v>685</v>
      </c>
      <c r="C7" s="3" t="s">
        <v>806</v>
      </c>
      <c r="D7" s="9" t="s">
        <v>804</v>
      </c>
      <c r="E7" s="9"/>
      <c r="F7" s="9"/>
      <c r="G7" s="9"/>
    </row>
    <row r="8" customFormat="false" ht="66" hidden="false" customHeight="true" outlineLevel="0" collapsed="false">
      <c r="A8" s="2" t="s">
        <v>813</v>
      </c>
      <c r="B8" s="2" t="s">
        <v>685</v>
      </c>
      <c r="C8" s="2" t="s">
        <v>808</v>
      </c>
      <c r="D8" s="9" t="s">
        <v>804</v>
      </c>
      <c r="E8" s="9"/>
      <c r="F8" s="9"/>
      <c r="G8" s="9"/>
    </row>
    <row r="9" customFormat="false" ht="66" hidden="false" customHeight="true" outlineLevel="0" collapsed="false">
      <c r="A9" s="3" t="s">
        <v>814</v>
      </c>
      <c r="B9" s="3" t="s">
        <v>685</v>
      </c>
      <c r="C9" s="3" t="s">
        <v>810</v>
      </c>
      <c r="D9" s="9" t="s">
        <v>804</v>
      </c>
      <c r="E9" s="9"/>
      <c r="F9" s="9"/>
      <c r="G9" s="9"/>
    </row>
    <row r="10" customFormat="false" ht="66" hidden="false" customHeight="true" outlineLevel="0" collapsed="false">
      <c r="A10" s="2" t="s">
        <v>815</v>
      </c>
      <c r="B10" s="2" t="s">
        <v>687</v>
      </c>
      <c r="C10" s="2" t="s">
        <v>803</v>
      </c>
      <c r="D10" s="9" t="s">
        <v>804</v>
      </c>
      <c r="E10" s="9"/>
      <c r="F10" s="9"/>
      <c r="G10" s="9"/>
    </row>
    <row r="11" customFormat="false" ht="66" hidden="false" customHeight="true" outlineLevel="0" collapsed="false">
      <c r="A11" s="3" t="s">
        <v>816</v>
      </c>
      <c r="B11" s="3" t="s">
        <v>687</v>
      </c>
      <c r="C11" s="3" t="s">
        <v>806</v>
      </c>
      <c r="D11" s="9" t="s">
        <v>804</v>
      </c>
      <c r="E11" s="9"/>
      <c r="F11" s="9"/>
      <c r="G11" s="9"/>
    </row>
    <row r="12" customFormat="false" ht="66" hidden="false" customHeight="true" outlineLevel="0" collapsed="false">
      <c r="A12" s="2" t="s">
        <v>817</v>
      </c>
      <c r="B12" s="2" t="s">
        <v>687</v>
      </c>
      <c r="C12" s="2" t="s">
        <v>808</v>
      </c>
      <c r="D12" s="9" t="s">
        <v>804</v>
      </c>
      <c r="E12" s="9"/>
      <c r="F12" s="9"/>
      <c r="G12" s="9"/>
    </row>
    <row r="13" customFormat="false" ht="66" hidden="false" customHeight="true" outlineLevel="0" collapsed="false">
      <c r="A13" s="3" t="s">
        <v>818</v>
      </c>
      <c r="B13" s="3" t="s">
        <v>687</v>
      </c>
      <c r="C13" s="3" t="s">
        <v>810</v>
      </c>
      <c r="D13" s="9" t="s">
        <v>804</v>
      </c>
      <c r="E13" s="9"/>
      <c r="F13" s="9"/>
      <c r="G13" s="9"/>
    </row>
    <row r="14" customFormat="false" ht="66" hidden="false" customHeight="true" outlineLevel="0" collapsed="false">
      <c r="A14" s="2" t="s">
        <v>819</v>
      </c>
      <c r="B14" s="2" t="s">
        <v>689</v>
      </c>
      <c r="C14" s="2" t="s">
        <v>820</v>
      </c>
      <c r="D14" s="9" t="s">
        <v>804</v>
      </c>
      <c r="E14" s="9"/>
      <c r="F14" s="9"/>
      <c r="G14" s="9"/>
    </row>
    <row r="15" customFormat="false" ht="66" hidden="false" customHeight="true" outlineLevel="0" collapsed="false">
      <c r="A15" s="3" t="s">
        <v>821</v>
      </c>
      <c r="B15" s="3" t="s">
        <v>689</v>
      </c>
      <c r="C15" s="3" t="s">
        <v>822</v>
      </c>
      <c r="D15" s="9" t="s">
        <v>804</v>
      </c>
      <c r="E15" s="9"/>
      <c r="F15" s="9"/>
      <c r="G15" s="9"/>
    </row>
    <row r="16" customFormat="false" ht="66" hidden="false" customHeight="true" outlineLevel="0" collapsed="false">
      <c r="A16" s="2" t="s">
        <v>823</v>
      </c>
      <c r="B16" s="2" t="s">
        <v>689</v>
      </c>
      <c r="C16" s="2" t="s">
        <v>824</v>
      </c>
      <c r="D16" s="9" t="s">
        <v>804</v>
      </c>
      <c r="E16" s="9"/>
      <c r="F16" s="9"/>
      <c r="G16" s="9"/>
    </row>
    <row r="17" customFormat="false" ht="66" hidden="false" customHeight="true" outlineLevel="0" collapsed="false">
      <c r="A17" s="3" t="s">
        <v>825</v>
      </c>
      <c r="B17" s="3" t="s">
        <v>689</v>
      </c>
      <c r="C17" s="3" t="s">
        <v>810</v>
      </c>
      <c r="D17" s="9" t="s">
        <v>804</v>
      </c>
      <c r="E17" s="9"/>
      <c r="F17" s="9"/>
      <c r="G17" s="9"/>
    </row>
    <row r="18" customFormat="false" ht="66" hidden="false" customHeight="true" outlineLevel="0" collapsed="false">
      <c r="A18" s="2" t="s">
        <v>826</v>
      </c>
      <c r="B18" s="2" t="s">
        <v>691</v>
      </c>
      <c r="C18" s="2" t="s">
        <v>820</v>
      </c>
      <c r="D18" s="9" t="s">
        <v>804</v>
      </c>
      <c r="E18" s="9"/>
      <c r="F18" s="9"/>
      <c r="G18" s="9"/>
    </row>
    <row r="19" customFormat="false" ht="66" hidden="false" customHeight="true" outlineLevel="0" collapsed="false">
      <c r="A19" s="3" t="s">
        <v>827</v>
      </c>
      <c r="B19" s="3" t="s">
        <v>691</v>
      </c>
      <c r="C19" s="3" t="s">
        <v>822</v>
      </c>
      <c r="D19" s="9" t="s">
        <v>804</v>
      </c>
      <c r="E19" s="9"/>
      <c r="F19" s="9"/>
      <c r="G19" s="9"/>
    </row>
    <row r="20" customFormat="false" ht="66" hidden="false" customHeight="true" outlineLevel="0" collapsed="false">
      <c r="A20" s="2" t="s">
        <v>828</v>
      </c>
      <c r="B20" s="2" t="s">
        <v>691</v>
      </c>
      <c r="C20" s="2" t="s">
        <v>824</v>
      </c>
      <c r="D20" s="9" t="s">
        <v>804</v>
      </c>
      <c r="E20" s="9"/>
      <c r="F20" s="9"/>
      <c r="G20" s="9"/>
    </row>
    <row r="21" customFormat="false" ht="66" hidden="false" customHeight="true" outlineLevel="0" collapsed="false">
      <c r="A21" s="3" t="s">
        <v>829</v>
      </c>
      <c r="B21" s="3" t="s">
        <v>691</v>
      </c>
      <c r="C21" s="3" t="s">
        <v>810</v>
      </c>
      <c r="D21" s="9" t="s">
        <v>804</v>
      </c>
      <c r="E21" s="9"/>
      <c r="F21" s="9"/>
      <c r="G21" s="9"/>
    </row>
    <row r="22" customFormat="false" ht="66" hidden="false" customHeight="true" outlineLevel="0" collapsed="false">
      <c r="A22" s="2" t="s">
        <v>830</v>
      </c>
      <c r="B22" s="2" t="s">
        <v>693</v>
      </c>
      <c r="C22" s="2" t="s">
        <v>820</v>
      </c>
      <c r="D22" s="9" t="s">
        <v>804</v>
      </c>
      <c r="E22" s="9"/>
      <c r="F22" s="9"/>
      <c r="G22" s="9"/>
    </row>
    <row r="23" customFormat="false" ht="66" hidden="false" customHeight="true" outlineLevel="0" collapsed="false">
      <c r="A23" s="3" t="s">
        <v>831</v>
      </c>
      <c r="B23" s="3" t="s">
        <v>693</v>
      </c>
      <c r="C23" s="3" t="s">
        <v>822</v>
      </c>
      <c r="D23" s="9" t="s">
        <v>804</v>
      </c>
      <c r="E23" s="9"/>
      <c r="F23" s="9"/>
      <c r="G23" s="9"/>
    </row>
    <row r="24" customFormat="false" ht="66" hidden="false" customHeight="true" outlineLevel="0" collapsed="false">
      <c r="A24" s="2" t="s">
        <v>832</v>
      </c>
      <c r="B24" s="2" t="s">
        <v>693</v>
      </c>
      <c r="C24" s="2" t="s">
        <v>824</v>
      </c>
      <c r="D24" s="9" t="s">
        <v>804</v>
      </c>
      <c r="E24" s="9"/>
      <c r="F24" s="9"/>
      <c r="G24" s="9"/>
    </row>
    <row r="25" customFormat="false" ht="66" hidden="false" customHeight="true" outlineLevel="0" collapsed="false">
      <c r="A25" s="3" t="s">
        <v>833</v>
      </c>
      <c r="B25" s="3" t="s">
        <v>693</v>
      </c>
      <c r="C25" s="3" t="s">
        <v>810</v>
      </c>
      <c r="D25" s="9" t="s">
        <v>804</v>
      </c>
      <c r="E25" s="9"/>
      <c r="F25" s="9"/>
      <c r="G25" s="9"/>
    </row>
    <row r="26" customFormat="false" ht="66" hidden="false" customHeight="true" outlineLevel="0" collapsed="false">
      <c r="A26" s="2" t="s">
        <v>834</v>
      </c>
      <c r="B26" s="2" t="s">
        <v>695</v>
      </c>
      <c r="C26" s="2" t="s">
        <v>835</v>
      </c>
      <c r="D26" s="9" t="s">
        <v>804</v>
      </c>
      <c r="E26" s="9"/>
      <c r="F26" s="9"/>
      <c r="G26" s="9"/>
    </row>
    <row r="27" customFormat="false" ht="66" hidden="false" customHeight="true" outlineLevel="0" collapsed="false">
      <c r="A27" s="3" t="s">
        <v>836</v>
      </c>
      <c r="B27" s="3" t="s">
        <v>695</v>
      </c>
      <c r="C27" s="3" t="s">
        <v>837</v>
      </c>
      <c r="D27" s="9" t="s">
        <v>804</v>
      </c>
      <c r="E27" s="9"/>
      <c r="F27" s="9"/>
      <c r="G27" s="9"/>
    </row>
    <row r="28" customFormat="false" ht="66" hidden="false" customHeight="true" outlineLevel="0" collapsed="false">
      <c r="A28" s="2" t="s">
        <v>838</v>
      </c>
      <c r="B28" s="2" t="s">
        <v>695</v>
      </c>
      <c r="C28" s="2" t="s">
        <v>839</v>
      </c>
      <c r="D28" s="9" t="s">
        <v>804</v>
      </c>
      <c r="E28" s="9"/>
      <c r="F28" s="9"/>
      <c r="G28" s="9"/>
    </row>
    <row r="29" customFormat="false" ht="66" hidden="false" customHeight="true" outlineLevel="0" collapsed="false">
      <c r="A29" s="3" t="s">
        <v>840</v>
      </c>
      <c r="B29" s="3" t="s">
        <v>695</v>
      </c>
      <c r="C29" s="3" t="s">
        <v>841</v>
      </c>
      <c r="D29" s="9" t="s">
        <v>804</v>
      </c>
      <c r="E29" s="9"/>
      <c r="F29" s="9"/>
      <c r="G29" s="9"/>
    </row>
    <row r="30" customFormat="false" ht="66" hidden="false" customHeight="true" outlineLevel="0" collapsed="false">
      <c r="A30" s="2" t="s">
        <v>842</v>
      </c>
      <c r="B30" s="2" t="s">
        <v>695</v>
      </c>
      <c r="C30" s="2" t="s">
        <v>810</v>
      </c>
      <c r="D30" s="9" t="s">
        <v>804</v>
      </c>
      <c r="E30" s="9"/>
      <c r="F30" s="9"/>
      <c r="G30" s="9"/>
    </row>
    <row r="31" customFormat="false" ht="66" hidden="false" customHeight="true" outlineLevel="0" collapsed="false">
      <c r="A31" s="3" t="s">
        <v>843</v>
      </c>
      <c r="B31" s="3" t="s">
        <v>698</v>
      </c>
      <c r="C31" s="3" t="s">
        <v>835</v>
      </c>
      <c r="D31" s="9" t="s">
        <v>804</v>
      </c>
      <c r="E31" s="9"/>
      <c r="F31" s="9"/>
      <c r="G31" s="9"/>
    </row>
    <row r="32" customFormat="false" ht="66" hidden="false" customHeight="true" outlineLevel="0" collapsed="false">
      <c r="A32" s="2" t="s">
        <v>844</v>
      </c>
      <c r="B32" s="2" t="s">
        <v>698</v>
      </c>
      <c r="C32" s="2" t="s">
        <v>837</v>
      </c>
      <c r="D32" s="9" t="s">
        <v>804</v>
      </c>
      <c r="E32" s="9"/>
      <c r="F32" s="9"/>
      <c r="G32" s="9"/>
    </row>
    <row r="33" customFormat="false" ht="66" hidden="false" customHeight="true" outlineLevel="0" collapsed="false">
      <c r="A33" s="3" t="s">
        <v>845</v>
      </c>
      <c r="B33" s="3" t="s">
        <v>698</v>
      </c>
      <c r="C33" s="3" t="s">
        <v>839</v>
      </c>
      <c r="D33" s="9" t="s">
        <v>804</v>
      </c>
      <c r="E33" s="9"/>
      <c r="F33" s="9"/>
      <c r="G33" s="9"/>
    </row>
    <row r="34" customFormat="false" ht="66" hidden="false" customHeight="true" outlineLevel="0" collapsed="false">
      <c r="A34" s="2" t="s">
        <v>846</v>
      </c>
      <c r="B34" s="2" t="s">
        <v>698</v>
      </c>
      <c r="C34" s="2" t="s">
        <v>841</v>
      </c>
      <c r="D34" s="9" t="s">
        <v>804</v>
      </c>
      <c r="E34" s="9"/>
      <c r="F34" s="9"/>
      <c r="G34" s="9"/>
    </row>
    <row r="35" customFormat="false" ht="66" hidden="false" customHeight="true" outlineLevel="0" collapsed="false">
      <c r="A35" s="3" t="s">
        <v>847</v>
      </c>
      <c r="B35" s="3" t="s">
        <v>698</v>
      </c>
      <c r="C35" s="3" t="s">
        <v>810</v>
      </c>
      <c r="D35" s="9" t="s">
        <v>804</v>
      </c>
      <c r="E35" s="9"/>
      <c r="F35" s="9"/>
      <c r="G35" s="9"/>
    </row>
    <row r="36" customFormat="false" ht="66" hidden="false" customHeight="true" outlineLevel="0" collapsed="false">
      <c r="A36" s="2" t="s">
        <v>848</v>
      </c>
      <c r="B36" s="2" t="s">
        <v>701</v>
      </c>
      <c r="C36" s="2" t="s">
        <v>835</v>
      </c>
      <c r="D36" s="9" t="s">
        <v>804</v>
      </c>
      <c r="E36" s="9"/>
      <c r="F36" s="9"/>
      <c r="G36" s="9"/>
    </row>
    <row r="37" customFormat="false" ht="66" hidden="false" customHeight="true" outlineLevel="0" collapsed="false">
      <c r="A37" s="3" t="s">
        <v>849</v>
      </c>
      <c r="B37" s="3" t="s">
        <v>701</v>
      </c>
      <c r="C37" s="3" t="s">
        <v>837</v>
      </c>
      <c r="D37" s="9" t="s">
        <v>804</v>
      </c>
      <c r="E37" s="9"/>
      <c r="F37" s="9"/>
      <c r="G37" s="9"/>
    </row>
    <row r="38" customFormat="false" ht="66" hidden="false" customHeight="true" outlineLevel="0" collapsed="false">
      <c r="A38" s="2" t="s">
        <v>850</v>
      </c>
      <c r="B38" s="2" t="s">
        <v>701</v>
      </c>
      <c r="C38" s="2" t="s">
        <v>839</v>
      </c>
      <c r="D38" s="9" t="s">
        <v>804</v>
      </c>
      <c r="E38" s="9"/>
      <c r="F38" s="9"/>
      <c r="G38" s="9"/>
    </row>
    <row r="39" customFormat="false" ht="66" hidden="false" customHeight="true" outlineLevel="0" collapsed="false">
      <c r="A39" s="3" t="s">
        <v>851</v>
      </c>
      <c r="B39" s="3" t="s">
        <v>701</v>
      </c>
      <c r="C39" s="3" t="s">
        <v>841</v>
      </c>
      <c r="D39" s="9" t="s">
        <v>804</v>
      </c>
      <c r="E39" s="9"/>
      <c r="F39" s="9"/>
      <c r="G39" s="9"/>
    </row>
    <row r="40" customFormat="false" ht="66" hidden="false" customHeight="true" outlineLevel="0" collapsed="false">
      <c r="A40" s="2" t="s">
        <v>852</v>
      </c>
      <c r="B40" s="2" t="s">
        <v>701</v>
      </c>
      <c r="C40" s="2" t="s">
        <v>810</v>
      </c>
      <c r="D40" s="9" t="s">
        <v>804</v>
      </c>
      <c r="E40" s="9"/>
      <c r="F40" s="9"/>
      <c r="G40" s="9"/>
    </row>
    <row r="41" customFormat="false" ht="66" hidden="false" customHeight="true" outlineLevel="0" collapsed="false">
      <c r="A41" s="3" t="s">
        <v>853</v>
      </c>
      <c r="B41" s="3" t="s">
        <v>704</v>
      </c>
      <c r="C41" s="3" t="s">
        <v>854</v>
      </c>
      <c r="D41" s="9" t="s">
        <v>804</v>
      </c>
      <c r="E41" s="9"/>
      <c r="F41" s="9"/>
      <c r="G41" s="9"/>
    </row>
    <row r="42" customFormat="false" ht="66" hidden="false" customHeight="true" outlineLevel="0" collapsed="false">
      <c r="A42" s="2" t="s">
        <v>855</v>
      </c>
      <c r="B42" s="2" t="s">
        <v>704</v>
      </c>
      <c r="C42" s="2" t="s">
        <v>856</v>
      </c>
      <c r="D42" s="9" t="s">
        <v>804</v>
      </c>
      <c r="E42" s="9"/>
      <c r="F42" s="9"/>
      <c r="G42" s="9"/>
    </row>
    <row r="43" customFormat="false" ht="66" hidden="false" customHeight="true" outlineLevel="0" collapsed="false">
      <c r="A43" s="3" t="s">
        <v>857</v>
      </c>
      <c r="B43" s="3" t="s">
        <v>704</v>
      </c>
      <c r="C43" s="3" t="s">
        <v>858</v>
      </c>
      <c r="D43" s="9" t="s">
        <v>804</v>
      </c>
      <c r="E43" s="9"/>
      <c r="F43" s="9"/>
      <c r="G43" s="9"/>
    </row>
    <row r="44" customFormat="false" ht="66" hidden="false" customHeight="true" outlineLevel="0" collapsed="false">
      <c r="A44" s="2" t="s">
        <v>859</v>
      </c>
      <c r="B44" s="2" t="s">
        <v>704</v>
      </c>
      <c r="C44" s="2" t="s">
        <v>810</v>
      </c>
      <c r="D44" s="9" t="s">
        <v>804</v>
      </c>
      <c r="E44" s="9"/>
      <c r="F44" s="9"/>
      <c r="G44" s="9"/>
    </row>
    <row r="45" customFormat="false" ht="66" hidden="false" customHeight="true" outlineLevel="0" collapsed="false">
      <c r="A45" s="3" t="s">
        <v>860</v>
      </c>
      <c r="B45" s="3" t="s">
        <v>709</v>
      </c>
      <c r="C45" s="3" t="s">
        <v>854</v>
      </c>
      <c r="D45" s="9" t="s">
        <v>804</v>
      </c>
      <c r="E45" s="9"/>
      <c r="F45" s="9"/>
      <c r="G45" s="9"/>
    </row>
    <row r="46" customFormat="false" ht="66" hidden="false" customHeight="true" outlineLevel="0" collapsed="false">
      <c r="A46" s="2" t="s">
        <v>861</v>
      </c>
      <c r="B46" s="2" t="s">
        <v>709</v>
      </c>
      <c r="C46" s="2" t="s">
        <v>856</v>
      </c>
      <c r="D46" s="9" t="s">
        <v>804</v>
      </c>
      <c r="E46" s="9"/>
      <c r="F46" s="9"/>
      <c r="G46" s="9"/>
    </row>
    <row r="47" customFormat="false" ht="66" hidden="false" customHeight="true" outlineLevel="0" collapsed="false">
      <c r="A47" s="3" t="s">
        <v>862</v>
      </c>
      <c r="B47" s="3" t="s">
        <v>709</v>
      </c>
      <c r="C47" s="3" t="s">
        <v>858</v>
      </c>
      <c r="D47" s="9" t="s">
        <v>804</v>
      </c>
      <c r="E47" s="9"/>
      <c r="F47" s="9"/>
      <c r="G47" s="9"/>
    </row>
    <row r="48" customFormat="false" ht="66" hidden="false" customHeight="true" outlineLevel="0" collapsed="false">
      <c r="A48" s="2" t="s">
        <v>863</v>
      </c>
      <c r="B48" s="2" t="s">
        <v>709</v>
      </c>
      <c r="C48" s="2" t="s">
        <v>810</v>
      </c>
      <c r="D48" s="9" t="s">
        <v>804</v>
      </c>
      <c r="E48" s="9"/>
      <c r="F48" s="9"/>
      <c r="G48" s="9"/>
    </row>
    <row r="49" customFormat="false" ht="66" hidden="false" customHeight="true" outlineLevel="0" collapsed="false">
      <c r="A49" s="3" t="s">
        <v>864</v>
      </c>
      <c r="B49" s="3" t="s">
        <v>714</v>
      </c>
      <c r="C49" s="3" t="s">
        <v>854</v>
      </c>
      <c r="D49" s="9" t="s">
        <v>804</v>
      </c>
      <c r="E49" s="9"/>
      <c r="F49" s="9"/>
      <c r="G49" s="9"/>
    </row>
    <row r="50" customFormat="false" ht="66" hidden="false" customHeight="true" outlineLevel="0" collapsed="false">
      <c r="A50" s="2" t="s">
        <v>865</v>
      </c>
      <c r="B50" s="2" t="s">
        <v>714</v>
      </c>
      <c r="C50" s="2" t="s">
        <v>856</v>
      </c>
      <c r="D50" s="9" t="s">
        <v>804</v>
      </c>
      <c r="E50" s="9"/>
      <c r="F50" s="9"/>
      <c r="G50" s="9"/>
    </row>
    <row r="51" customFormat="false" ht="66" hidden="false" customHeight="true" outlineLevel="0" collapsed="false">
      <c r="A51" s="3" t="s">
        <v>866</v>
      </c>
      <c r="B51" s="3" t="s">
        <v>714</v>
      </c>
      <c r="C51" s="3" t="s">
        <v>858</v>
      </c>
      <c r="D51" s="9" t="s">
        <v>804</v>
      </c>
      <c r="E51" s="9"/>
      <c r="F51" s="9"/>
      <c r="G51" s="9"/>
    </row>
    <row r="52" customFormat="false" ht="66" hidden="false" customHeight="true" outlineLevel="0" collapsed="false">
      <c r="A52" s="2" t="s">
        <v>867</v>
      </c>
      <c r="B52" s="2" t="s">
        <v>714</v>
      </c>
      <c r="C52" s="2" t="s">
        <v>810</v>
      </c>
      <c r="D52" s="9" t="s">
        <v>804</v>
      </c>
      <c r="E52" s="9"/>
      <c r="F52" s="9"/>
      <c r="G52" s="9"/>
    </row>
    <row r="53" customFormat="false" ht="66" hidden="false" customHeight="true" outlineLevel="0" collapsed="false">
      <c r="A53" s="3" t="s">
        <v>868</v>
      </c>
      <c r="B53" s="3" t="s">
        <v>719</v>
      </c>
      <c r="C53" s="3" t="s">
        <v>869</v>
      </c>
      <c r="D53" s="9" t="s">
        <v>804</v>
      </c>
      <c r="E53" s="9"/>
      <c r="F53" s="9"/>
      <c r="G53" s="9"/>
    </row>
    <row r="54" customFormat="false" ht="66" hidden="false" customHeight="true" outlineLevel="0" collapsed="false">
      <c r="A54" s="2" t="s">
        <v>870</v>
      </c>
      <c r="B54" s="2" t="s">
        <v>719</v>
      </c>
      <c r="C54" s="2" t="s">
        <v>871</v>
      </c>
      <c r="D54" s="9" t="s">
        <v>804</v>
      </c>
      <c r="E54" s="9"/>
      <c r="F54" s="9"/>
      <c r="G54" s="9"/>
    </row>
    <row r="55" customFormat="false" ht="66" hidden="false" customHeight="true" outlineLevel="0" collapsed="false">
      <c r="A55" s="3" t="s">
        <v>872</v>
      </c>
      <c r="B55" s="3" t="s">
        <v>719</v>
      </c>
      <c r="C55" s="3" t="s">
        <v>873</v>
      </c>
      <c r="D55" s="9" t="s">
        <v>804</v>
      </c>
      <c r="E55" s="9"/>
      <c r="F55" s="9"/>
      <c r="G55" s="9"/>
    </row>
    <row r="56" customFormat="false" ht="66" hidden="false" customHeight="true" outlineLevel="0" collapsed="false">
      <c r="A56" s="2" t="s">
        <v>874</v>
      </c>
      <c r="B56" s="2" t="s">
        <v>719</v>
      </c>
      <c r="C56" s="2" t="s">
        <v>875</v>
      </c>
      <c r="D56" s="9" t="s">
        <v>804</v>
      </c>
      <c r="E56" s="9"/>
      <c r="F56" s="9"/>
      <c r="G56" s="9"/>
    </row>
    <row r="57" customFormat="false" ht="66" hidden="false" customHeight="true" outlineLevel="0" collapsed="false">
      <c r="A57" s="3" t="s">
        <v>876</v>
      </c>
      <c r="B57" s="3" t="s">
        <v>719</v>
      </c>
      <c r="C57" s="3" t="s">
        <v>877</v>
      </c>
      <c r="D57" s="9" t="s">
        <v>804</v>
      </c>
      <c r="E57" s="9"/>
      <c r="F57" s="9"/>
      <c r="G57" s="9"/>
    </row>
    <row r="58" customFormat="false" ht="66" hidden="false" customHeight="true" outlineLevel="0" collapsed="false">
      <c r="A58" s="2" t="s">
        <v>878</v>
      </c>
      <c r="B58" s="2" t="s">
        <v>719</v>
      </c>
      <c r="C58" s="2" t="s">
        <v>810</v>
      </c>
      <c r="D58" s="9" t="s">
        <v>804</v>
      </c>
      <c r="E58" s="9"/>
      <c r="F58" s="9"/>
      <c r="G58" s="9"/>
    </row>
    <row r="59" customFormat="false" ht="66" hidden="false" customHeight="true" outlineLevel="0" collapsed="false">
      <c r="A59" s="3" t="s">
        <v>879</v>
      </c>
      <c r="B59" s="3" t="s">
        <v>722</v>
      </c>
      <c r="C59" s="3" t="s">
        <v>869</v>
      </c>
      <c r="D59" s="9" t="s">
        <v>804</v>
      </c>
      <c r="E59" s="9"/>
      <c r="F59" s="9"/>
      <c r="G59" s="9"/>
    </row>
    <row r="60" customFormat="false" ht="66" hidden="false" customHeight="true" outlineLevel="0" collapsed="false">
      <c r="A60" s="2" t="s">
        <v>880</v>
      </c>
      <c r="B60" s="2" t="s">
        <v>722</v>
      </c>
      <c r="C60" s="2" t="s">
        <v>871</v>
      </c>
      <c r="D60" s="9" t="s">
        <v>804</v>
      </c>
      <c r="E60" s="9"/>
      <c r="F60" s="9"/>
      <c r="G60" s="9"/>
    </row>
    <row r="61" customFormat="false" ht="66" hidden="false" customHeight="true" outlineLevel="0" collapsed="false">
      <c r="A61" s="3" t="s">
        <v>881</v>
      </c>
      <c r="B61" s="3" t="s">
        <v>722</v>
      </c>
      <c r="C61" s="3" t="s">
        <v>873</v>
      </c>
      <c r="D61" s="9" t="s">
        <v>804</v>
      </c>
      <c r="E61" s="9"/>
      <c r="F61" s="9"/>
      <c r="G61" s="9"/>
    </row>
    <row r="62" customFormat="false" ht="66" hidden="false" customHeight="true" outlineLevel="0" collapsed="false">
      <c r="A62" s="2" t="s">
        <v>882</v>
      </c>
      <c r="B62" s="2" t="s">
        <v>722</v>
      </c>
      <c r="C62" s="2" t="s">
        <v>875</v>
      </c>
      <c r="D62" s="9" t="s">
        <v>804</v>
      </c>
      <c r="E62" s="9"/>
      <c r="F62" s="9"/>
      <c r="G62" s="9"/>
    </row>
    <row r="63" customFormat="false" ht="66" hidden="false" customHeight="true" outlineLevel="0" collapsed="false">
      <c r="A63" s="3" t="s">
        <v>883</v>
      </c>
      <c r="B63" s="3" t="s">
        <v>722</v>
      </c>
      <c r="C63" s="3" t="s">
        <v>877</v>
      </c>
      <c r="D63" s="9" t="s">
        <v>804</v>
      </c>
      <c r="E63" s="9"/>
      <c r="F63" s="9"/>
      <c r="G63" s="9"/>
    </row>
    <row r="64" customFormat="false" ht="66" hidden="false" customHeight="true" outlineLevel="0" collapsed="false">
      <c r="A64" s="2" t="s">
        <v>884</v>
      </c>
      <c r="B64" s="2" t="s">
        <v>722</v>
      </c>
      <c r="C64" s="2" t="s">
        <v>810</v>
      </c>
      <c r="D64" s="9" t="s">
        <v>804</v>
      </c>
      <c r="E64" s="9"/>
      <c r="F64" s="9"/>
      <c r="G64" s="9"/>
    </row>
    <row r="65" customFormat="false" ht="66" hidden="false" customHeight="true" outlineLevel="0" collapsed="false">
      <c r="A65" s="3" t="s">
        <v>885</v>
      </c>
      <c r="B65" s="3" t="s">
        <v>725</v>
      </c>
      <c r="C65" s="3" t="s">
        <v>869</v>
      </c>
      <c r="D65" s="9" t="s">
        <v>804</v>
      </c>
      <c r="E65" s="9"/>
      <c r="F65" s="9"/>
      <c r="G65" s="9"/>
    </row>
    <row r="66" customFormat="false" ht="66" hidden="false" customHeight="true" outlineLevel="0" collapsed="false">
      <c r="A66" s="2" t="s">
        <v>886</v>
      </c>
      <c r="B66" s="2" t="s">
        <v>725</v>
      </c>
      <c r="C66" s="2" t="s">
        <v>871</v>
      </c>
      <c r="D66" s="9" t="s">
        <v>804</v>
      </c>
      <c r="E66" s="9"/>
      <c r="F66" s="9"/>
      <c r="G66" s="9"/>
    </row>
    <row r="67" customFormat="false" ht="66" hidden="false" customHeight="true" outlineLevel="0" collapsed="false">
      <c r="A67" s="3" t="s">
        <v>887</v>
      </c>
      <c r="B67" s="3" t="s">
        <v>725</v>
      </c>
      <c r="C67" s="3" t="s">
        <v>873</v>
      </c>
      <c r="D67" s="9" t="s">
        <v>804</v>
      </c>
      <c r="E67" s="9"/>
      <c r="F67" s="9"/>
      <c r="G67" s="9"/>
    </row>
    <row r="68" customFormat="false" ht="66" hidden="false" customHeight="true" outlineLevel="0" collapsed="false">
      <c r="A68" s="2" t="s">
        <v>888</v>
      </c>
      <c r="B68" s="2" t="s">
        <v>725</v>
      </c>
      <c r="C68" s="2" t="s">
        <v>875</v>
      </c>
      <c r="D68" s="9" t="s">
        <v>804</v>
      </c>
      <c r="E68" s="9"/>
      <c r="F68" s="9"/>
      <c r="G68" s="9"/>
    </row>
    <row r="69" customFormat="false" ht="66" hidden="false" customHeight="true" outlineLevel="0" collapsed="false">
      <c r="A69" s="3" t="s">
        <v>889</v>
      </c>
      <c r="B69" s="3" t="s">
        <v>725</v>
      </c>
      <c r="C69" s="3" t="s">
        <v>877</v>
      </c>
      <c r="D69" s="9" t="s">
        <v>804</v>
      </c>
      <c r="E69" s="9"/>
      <c r="F69" s="9"/>
      <c r="G69" s="9"/>
    </row>
    <row r="70" customFormat="false" ht="66" hidden="false" customHeight="true" outlineLevel="0" collapsed="false">
      <c r="A70" s="2" t="s">
        <v>890</v>
      </c>
      <c r="B70" s="2" t="s">
        <v>725</v>
      </c>
      <c r="C70" s="2" t="s">
        <v>810</v>
      </c>
      <c r="D70" s="9" t="s">
        <v>804</v>
      </c>
      <c r="E70" s="9"/>
      <c r="F70" s="9"/>
      <c r="G70" s="9"/>
    </row>
    <row r="71" customFormat="false" ht="66" hidden="false" customHeight="true" outlineLevel="0" collapsed="false">
      <c r="A71" s="3" t="s">
        <v>891</v>
      </c>
      <c r="B71" s="3" t="s">
        <v>728</v>
      </c>
      <c r="C71" s="3" t="s">
        <v>892</v>
      </c>
      <c r="D71" s="9" t="s">
        <v>804</v>
      </c>
      <c r="E71" s="9"/>
      <c r="F71" s="9"/>
      <c r="G71" s="9"/>
    </row>
    <row r="72" customFormat="false" ht="66" hidden="false" customHeight="true" outlineLevel="0" collapsed="false">
      <c r="A72" s="2" t="s">
        <v>893</v>
      </c>
      <c r="B72" s="2" t="s">
        <v>728</v>
      </c>
      <c r="C72" s="2" t="s">
        <v>894</v>
      </c>
      <c r="D72" s="9" t="s">
        <v>804</v>
      </c>
      <c r="E72" s="9"/>
      <c r="F72" s="9"/>
      <c r="G72" s="9"/>
    </row>
    <row r="73" customFormat="false" ht="66" hidden="false" customHeight="true" outlineLevel="0" collapsed="false">
      <c r="A73" s="3" t="s">
        <v>895</v>
      </c>
      <c r="B73" s="3" t="s">
        <v>728</v>
      </c>
      <c r="C73" s="3" t="s">
        <v>896</v>
      </c>
      <c r="D73" s="9" t="s">
        <v>804</v>
      </c>
      <c r="E73" s="9"/>
      <c r="F73" s="9"/>
      <c r="G73" s="9"/>
    </row>
    <row r="74" customFormat="false" ht="66" hidden="false" customHeight="true" outlineLevel="0" collapsed="false">
      <c r="A74" s="2" t="s">
        <v>897</v>
      </c>
      <c r="B74" s="2" t="s">
        <v>728</v>
      </c>
      <c r="C74" s="2" t="s">
        <v>898</v>
      </c>
      <c r="D74" s="9" t="s">
        <v>804</v>
      </c>
      <c r="E74" s="9"/>
      <c r="F74" s="9"/>
      <c r="G74" s="9"/>
    </row>
    <row r="75" customFormat="false" ht="66" hidden="false" customHeight="true" outlineLevel="0" collapsed="false">
      <c r="A75" s="3" t="s">
        <v>899</v>
      </c>
      <c r="B75" s="3" t="s">
        <v>728</v>
      </c>
      <c r="C75" s="3" t="s">
        <v>810</v>
      </c>
      <c r="D75" s="9" t="s">
        <v>804</v>
      </c>
      <c r="E75" s="9"/>
      <c r="F75" s="9"/>
      <c r="G75" s="9"/>
    </row>
    <row r="76" customFormat="false" ht="66" hidden="false" customHeight="true" outlineLevel="0" collapsed="false">
      <c r="A76" s="2" t="s">
        <v>900</v>
      </c>
      <c r="B76" s="2" t="s">
        <v>730</v>
      </c>
      <c r="C76" s="2" t="s">
        <v>892</v>
      </c>
      <c r="D76" s="9" t="s">
        <v>804</v>
      </c>
      <c r="E76" s="9"/>
      <c r="F76" s="9"/>
      <c r="G76" s="9"/>
    </row>
    <row r="77" customFormat="false" ht="66" hidden="false" customHeight="true" outlineLevel="0" collapsed="false">
      <c r="A77" s="3" t="s">
        <v>901</v>
      </c>
      <c r="B77" s="3" t="s">
        <v>730</v>
      </c>
      <c r="C77" s="3" t="s">
        <v>894</v>
      </c>
      <c r="D77" s="9" t="s">
        <v>804</v>
      </c>
      <c r="E77" s="9"/>
      <c r="F77" s="9"/>
      <c r="G77" s="9"/>
    </row>
    <row r="78" customFormat="false" ht="66" hidden="false" customHeight="true" outlineLevel="0" collapsed="false">
      <c r="A78" s="2" t="s">
        <v>902</v>
      </c>
      <c r="B78" s="2" t="s">
        <v>730</v>
      </c>
      <c r="C78" s="2" t="s">
        <v>896</v>
      </c>
      <c r="D78" s="9" t="s">
        <v>804</v>
      </c>
      <c r="E78" s="9"/>
      <c r="F78" s="9"/>
      <c r="G78" s="9"/>
    </row>
    <row r="79" customFormat="false" ht="66" hidden="false" customHeight="true" outlineLevel="0" collapsed="false">
      <c r="A79" s="3" t="s">
        <v>903</v>
      </c>
      <c r="B79" s="3" t="s">
        <v>730</v>
      </c>
      <c r="C79" s="3" t="s">
        <v>898</v>
      </c>
      <c r="D79" s="9" t="s">
        <v>804</v>
      </c>
      <c r="E79" s="9"/>
      <c r="F79" s="9"/>
      <c r="G79" s="9"/>
    </row>
    <row r="80" customFormat="false" ht="66" hidden="false" customHeight="true" outlineLevel="0" collapsed="false">
      <c r="A80" s="2" t="s">
        <v>904</v>
      </c>
      <c r="B80" s="2" t="s">
        <v>730</v>
      </c>
      <c r="C80" s="2" t="s">
        <v>810</v>
      </c>
      <c r="D80" s="9" t="s">
        <v>804</v>
      </c>
      <c r="E80" s="9"/>
      <c r="F80" s="9"/>
      <c r="G80" s="9"/>
    </row>
    <row r="81" customFormat="false" ht="66" hidden="false" customHeight="true" outlineLevel="0" collapsed="false">
      <c r="A81" s="3" t="s">
        <v>905</v>
      </c>
      <c r="B81" s="3" t="s">
        <v>732</v>
      </c>
      <c r="C81" s="3" t="s">
        <v>892</v>
      </c>
      <c r="D81" s="9" t="s">
        <v>804</v>
      </c>
      <c r="E81" s="9"/>
      <c r="F81" s="9"/>
      <c r="G81" s="9"/>
    </row>
    <row r="82" customFormat="false" ht="66" hidden="false" customHeight="true" outlineLevel="0" collapsed="false">
      <c r="A82" s="2" t="s">
        <v>906</v>
      </c>
      <c r="B82" s="2" t="s">
        <v>732</v>
      </c>
      <c r="C82" s="2" t="s">
        <v>894</v>
      </c>
      <c r="D82" s="9" t="s">
        <v>804</v>
      </c>
      <c r="E82" s="9"/>
      <c r="F82" s="9"/>
      <c r="G82" s="9"/>
    </row>
    <row r="83" customFormat="false" ht="66" hidden="false" customHeight="true" outlineLevel="0" collapsed="false">
      <c r="A83" s="3" t="s">
        <v>907</v>
      </c>
      <c r="B83" s="3" t="s">
        <v>732</v>
      </c>
      <c r="C83" s="3" t="s">
        <v>896</v>
      </c>
      <c r="D83" s="9" t="s">
        <v>804</v>
      </c>
      <c r="E83" s="9"/>
      <c r="F83" s="9"/>
      <c r="G83" s="9"/>
    </row>
    <row r="84" customFormat="false" ht="66" hidden="false" customHeight="true" outlineLevel="0" collapsed="false">
      <c r="A84" s="2" t="s">
        <v>908</v>
      </c>
      <c r="B84" s="2" t="s">
        <v>732</v>
      </c>
      <c r="C84" s="2" t="s">
        <v>898</v>
      </c>
      <c r="D84" s="9" t="s">
        <v>804</v>
      </c>
      <c r="E84" s="9"/>
      <c r="F84" s="9"/>
      <c r="G84" s="9"/>
    </row>
    <row r="85" customFormat="false" ht="66" hidden="false" customHeight="true" outlineLevel="0" collapsed="false">
      <c r="A85" s="3" t="s">
        <v>909</v>
      </c>
      <c r="B85" s="3" t="s">
        <v>732</v>
      </c>
      <c r="C85" s="3" t="s">
        <v>810</v>
      </c>
      <c r="D85" s="9" t="s">
        <v>804</v>
      </c>
      <c r="E85" s="9"/>
      <c r="F85" s="9"/>
      <c r="G85" s="9"/>
    </row>
    <row r="86" customFormat="false" ht="66" hidden="false" customHeight="true" outlineLevel="0" collapsed="false">
      <c r="A86" s="2" t="s">
        <v>910</v>
      </c>
      <c r="B86" s="2" t="s">
        <v>734</v>
      </c>
      <c r="C86" s="2" t="s">
        <v>911</v>
      </c>
      <c r="D86" s="9" t="s">
        <v>804</v>
      </c>
      <c r="E86" s="9"/>
      <c r="F86" s="9"/>
      <c r="G86" s="9"/>
    </row>
    <row r="87" customFormat="false" ht="66" hidden="false" customHeight="true" outlineLevel="0" collapsed="false">
      <c r="A87" s="3" t="s">
        <v>912</v>
      </c>
      <c r="B87" s="3" t="s">
        <v>734</v>
      </c>
      <c r="C87" s="3" t="s">
        <v>913</v>
      </c>
      <c r="D87" s="9" t="s">
        <v>804</v>
      </c>
      <c r="E87" s="9"/>
      <c r="F87" s="9"/>
      <c r="G87" s="9"/>
    </row>
    <row r="88" customFormat="false" ht="66" hidden="false" customHeight="true" outlineLevel="0" collapsed="false">
      <c r="A88" s="2" t="s">
        <v>914</v>
      </c>
      <c r="B88" s="2" t="s">
        <v>734</v>
      </c>
      <c r="C88" s="2" t="s">
        <v>915</v>
      </c>
      <c r="D88" s="9" t="s">
        <v>804</v>
      </c>
      <c r="E88" s="9"/>
      <c r="F88" s="9"/>
      <c r="G88" s="9"/>
    </row>
    <row r="89" customFormat="false" ht="66" hidden="false" customHeight="true" outlineLevel="0" collapsed="false">
      <c r="A89" s="3" t="s">
        <v>916</v>
      </c>
      <c r="B89" s="3" t="s">
        <v>734</v>
      </c>
      <c r="C89" s="3" t="s">
        <v>917</v>
      </c>
      <c r="D89" s="9" t="s">
        <v>804</v>
      </c>
      <c r="E89" s="9"/>
      <c r="F89" s="9"/>
      <c r="G89" s="9"/>
    </row>
    <row r="90" customFormat="false" ht="66" hidden="false" customHeight="true" outlineLevel="0" collapsed="false">
      <c r="A90" s="2" t="s">
        <v>918</v>
      </c>
      <c r="B90" s="2" t="s">
        <v>734</v>
      </c>
      <c r="C90" s="2" t="s">
        <v>810</v>
      </c>
      <c r="D90" s="9" t="s">
        <v>804</v>
      </c>
      <c r="E90" s="9"/>
      <c r="F90" s="9"/>
      <c r="G90" s="9"/>
    </row>
    <row r="91" customFormat="false" ht="66" hidden="false" customHeight="true" outlineLevel="0" collapsed="false">
      <c r="A91" s="3" t="s">
        <v>919</v>
      </c>
      <c r="B91" s="3" t="s">
        <v>736</v>
      </c>
      <c r="C91" s="3" t="s">
        <v>911</v>
      </c>
      <c r="D91" s="9" t="s">
        <v>804</v>
      </c>
      <c r="E91" s="9"/>
      <c r="F91" s="9"/>
      <c r="G91" s="9"/>
    </row>
    <row r="92" customFormat="false" ht="66" hidden="false" customHeight="true" outlineLevel="0" collapsed="false">
      <c r="A92" s="2" t="s">
        <v>920</v>
      </c>
      <c r="B92" s="2" t="s">
        <v>736</v>
      </c>
      <c r="C92" s="2" t="s">
        <v>913</v>
      </c>
      <c r="D92" s="9" t="s">
        <v>804</v>
      </c>
      <c r="E92" s="9"/>
      <c r="F92" s="9"/>
      <c r="G92" s="9"/>
    </row>
    <row r="93" customFormat="false" ht="66" hidden="false" customHeight="true" outlineLevel="0" collapsed="false">
      <c r="A93" s="3" t="s">
        <v>921</v>
      </c>
      <c r="B93" s="3" t="s">
        <v>736</v>
      </c>
      <c r="C93" s="3" t="s">
        <v>915</v>
      </c>
      <c r="D93" s="9" t="s">
        <v>804</v>
      </c>
      <c r="E93" s="9"/>
      <c r="F93" s="9"/>
      <c r="G93" s="9"/>
    </row>
    <row r="94" customFormat="false" ht="66" hidden="false" customHeight="true" outlineLevel="0" collapsed="false">
      <c r="A94" s="2" t="s">
        <v>922</v>
      </c>
      <c r="B94" s="2" t="s">
        <v>736</v>
      </c>
      <c r="C94" s="2" t="s">
        <v>917</v>
      </c>
      <c r="D94" s="9" t="s">
        <v>804</v>
      </c>
      <c r="E94" s="9"/>
      <c r="F94" s="9"/>
      <c r="G94" s="9"/>
    </row>
    <row r="95" customFormat="false" ht="66" hidden="false" customHeight="true" outlineLevel="0" collapsed="false">
      <c r="A95" s="3" t="s">
        <v>923</v>
      </c>
      <c r="B95" s="3" t="s">
        <v>736</v>
      </c>
      <c r="C95" s="3" t="s">
        <v>810</v>
      </c>
      <c r="D95" s="9" t="s">
        <v>804</v>
      </c>
      <c r="E95" s="9"/>
      <c r="F95" s="9"/>
      <c r="G95" s="9"/>
    </row>
    <row r="96" customFormat="false" ht="66" hidden="false" customHeight="true" outlineLevel="0" collapsed="false">
      <c r="A96" s="2" t="s">
        <v>924</v>
      </c>
      <c r="B96" s="2" t="s">
        <v>738</v>
      </c>
      <c r="C96" s="2" t="s">
        <v>911</v>
      </c>
      <c r="D96" s="9" t="s">
        <v>804</v>
      </c>
      <c r="E96" s="9"/>
      <c r="F96" s="9"/>
      <c r="G96" s="9"/>
    </row>
    <row r="97" customFormat="false" ht="66" hidden="false" customHeight="true" outlineLevel="0" collapsed="false">
      <c r="A97" s="3" t="s">
        <v>925</v>
      </c>
      <c r="B97" s="3" t="s">
        <v>738</v>
      </c>
      <c r="C97" s="3" t="s">
        <v>913</v>
      </c>
      <c r="D97" s="9" t="s">
        <v>804</v>
      </c>
      <c r="E97" s="9"/>
      <c r="F97" s="9"/>
      <c r="G97" s="9"/>
    </row>
    <row r="98" customFormat="false" ht="66" hidden="false" customHeight="true" outlineLevel="0" collapsed="false">
      <c r="A98" s="2" t="s">
        <v>926</v>
      </c>
      <c r="B98" s="2" t="s">
        <v>738</v>
      </c>
      <c r="C98" s="2" t="s">
        <v>915</v>
      </c>
      <c r="D98" s="9" t="s">
        <v>804</v>
      </c>
      <c r="E98" s="9"/>
      <c r="F98" s="9"/>
      <c r="G98" s="9"/>
    </row>
    <row r="99" customFormat="false" ht="66" hidden="false" customHeight="true" outlineLevel="0" collapsed="false">
      <c r="A99" s="3" t="s">
        <v>927</v>
      </c>
      <c r="B99" s="3" t="s">
        <v>738</v>
      </c>
      <c r="C99" s="3" t="s">
        <v>917</v>
      </c>
      <c r="D99" s="9" t="s">
        <v>804</v>
      </c>
      <c r="E99" s="9"/>
      <c r="F99" s="9"/>
      <c r="G99" s="9"/>
    </row>
    <row r="100" customFormat="false" ht="66" hidden="false" customHeight="true" outlineLevel="0" collapsed="false">
      <c r="A100" s="2" t="s">
        <v>928</v>
      </c>
      <c r="B100" s="2" t="s">
        <v>738</v>
      </c>
      <c r="C100" s="2" t="s">
        <v>810</v>
      </c>
      <c r="D100" s="9" t="s">
        <v>804</v>
      </c>
      <c r="E100" s="9"/>
      <c r="F100" s="9"/>
      <c r="G100" s="9"/>
    </row>
    <row r="101" customFormat="false" ht="66" hidden="false" customHeight="true" outlineLevel="0" collapsed="false">
      <c r="A101" s="3" t="s">
        <v>929</v>
      </c>
      <c r="B101" s="3" t="s">
        <v>740</v>
      </c>
      <c r="C101" s="3" t="s">
        <v>930</v>
      </c>
      <c r="D101" s="9" t="s">
        <v>804</v>
      </c>
      <c r="E101" s="9"/>
      <c r="F101" s="9"/>
      <c r="G101" s="9"/>
    </row>
    <row r="102" customFormat="false" ht="66" hidden="false" customHeight="true" outlineLevel="0" collapsed="false">
      <c r="A102" s="2" t="s">
        <v>931</v>
      </c>
      <c r="B102" s="2" t="s">
        <v>740</v>
      </c>
      <c r="C102" s="2" t="s">
        <v>932</v>
      </c>
      <c r="D102" s="9" t="s">
        <v>804</v>
      </c>
      <c r="E102" s="9"/>
      <c r="F102" s="9"/>
      <c r="G102" s="9"/>
    </row>
    <row r="103" customFormat="false" ht="66" hidden="false" customHeight="true" outlineLevel="0" collapsed="false">
      <c r="A103" s="3" t="s">
        <v>933</v>
      </c>
      <c r="B103" s="3" t="s">
        <v>740</v>
      </c>
      <c r="C103" s="3" t="s">
        <v>934</v>
      </c>
      <c r="D103" s="9" t="s">
        <v>804</v>
      </c>
      <c r="E103" s="9"/>
      <c r="F103" s="9"/>
      <c r="G103" s="9"/>
    </row>
    <row r="104" customFormat="false" ht="66" hidden="false" customHeight="true" outlineLevel="0" collapsed="false">
      <c r="A104" s="2" t="s">
        <v>935</v>
      </c>
      <c r="B104" s="2" t="s">
        <v>740</v>
      </c>
      <c r="C104" s="2" t="s">
        <v>936</v>
      </c>
      <c r="D104" s="9" t="s">
        <v>804</v>
      </c>
      <c r="E104" s="9"/>
      <c r="F104" s="9"/>
      <c r="G104" s="9"/>
    </row>
    <row r="105" customFormat="false" ht="66" hidden="false" customHeight="true" outlineLevel="0" collapsed="false">
      <c r="A105" s="3" t="s">
        <v>937</v>
      </c>
      <c r="B105" s="3" t="s">
        <v>740</v>
      </c>
      <c r="C105" s="3" t="s">
        <v>810</v>
      </c>
      <c r="D105" s="9" t="s">
        <v>804</v>
      </c>
      <c r="E105" s="9"/>
      <c r="F105" s="9"/>
      <c r="G105" s="9"/>
    </row>
    <row r="106" customFormat="false" ht="66" hidden="false" customHeight="true" outlineLevel="0" collapsed="false">
      <c r="A106" s="2" t="s">
        <v>938</v>
      </c>
      <c r="B106" s="2" t="s">
        <v>743</v>
      </c>
      <c r="C106" s="2" t="s">
        <v>930</v>
      </c>
      <c r="D106" s="9" t="s">
        <v>804</v>
      </c>
      <c r="E106" s="9"/>
      <c r="F106" s="9"/>
      <c r="G106" s="9"/>
    </row>
    <row r="107" customFormat="false" ht="66" hidden="false" customHeight="true" outlineLevel="0" collapsed="false">
      <c r="A107" s="3" t="s">
        <v>939</v>
      </c>
      <c r="B107" s="3" t="s">
        <v>743</v>
      </c>
      <c r="C107" s="3" t="s">
        <v>932</v>
      </c>
      <c r="D107" s="9" t="s">
        <v>804</v>
      </c>
      <c r="E107" s="9"/>
      <c r="F107" s="9"/>
      <c r="G107" s="9"/>
    </row>
    <row r="108" customFormat="false" ht="66" hidden="false" customHeight="true" outlineLevel="0" collapsed="false">
      <c r="A108" s="2" t="s">
        <v>940</v>
      </c>
      <c r="B108" s="2" t="s">
        <v>743</v>
      </c>
      <c r="C108" s="2" t="s">
        <v>934</v>
      </c>
      <c r="D108" s="9" t="s">
        <v>804</v>
      </c>
      <c r="E108" s="9"/>
      <c r="F108" s="9"/>
      <c r="G108" s="9"/>
    </row>
    <row r="109" customFormat="false" ht="66" hidden="false" customHeight="true" outlineLevel="0" collapsed="false">
      <c r="A109" s="3" t="s">
        <v>941</v>
      </c>
      <c r="B109" s="3" t="s">
        <v>743</v>
      </c>
      <c r="C109" s="3" t="s">
        <v>936</v>
      </c>
      <c r="D109" s="9" t="s">
        <v>804</v>
      </c>
      <c r="E109" s="9"/>
      <c r="F109" s="9"/>
      <c r="G109" s="9"/>
    </row>
    <row r="110" customFormat="false" ht="66" hidden="false" customHeight="true" outlineLevel="0" collapsed="false">
      <c r="A110" s="2" t="s">
        <v>942</v>
      </c>
      <c r="B110" s="2" t="s">
        <v>743</v>
      </c>
      <c r="C110" s="2" t="s">
        <v>810</v>
      </c>
      <c r="D110" s="9" t="s">
        <v>804</v>
      </c>
      <c r="E110" s="9"/>
      <c r="F110" s="9"/>
      <c r="G110" s="9"/>
    </row>
    <row r="111" customFormat="false" ht="66" hidden="false" customHeight="true" outlineLevel="0" collapsed="false">
      <c r="A111" s="3" t="s">
        <v>943</v>
      </c>
      <c r="B111" s="3" t="s">
        <v>746</v>
      </c>
      <c r="C111" s="3" t="s">
        <v>930</v>
      </c>
      <c r="D111" s="9" t="s">
        <v>804</v>
      </c>
      <c r="E111" s="9"/>
      <c r="F111" s="9"/>
      <c r="G111" s="9"/>
    </row>
    <row r="112" customFormat="false" ht="66" hidden="false" customHeight="true" outlineLevel="0" collapsed="false">
      <c r="A112" s="2" t="s">
        <v>944</v>
      </c>
      <c r="B112" s="2" t="s">
        <v>746</v>
      </c>
      <c r="C112" s="2" t="s">
        <v>932</v>
      </c>
      <c r="D112" s="9" t="s">
        <v>804</v>
      </c>
      <c r="E112" s="9"/>
      <c r="F112" s="9"/>
      <c r="G112" s="9"/>
    </row>
    <row r="113" customFormat="false" ht="66" hidden="false" customHeight="true" outlineLevel="0" collapsed="false">
      <c r="A113" s="3" t="s">
        <v>945</v>
      </c>
      <c r="B113" s="3" t="s">
        <v>746</v>
      </c>
      <c r="C113" s="3" t="s">
        <v>934</v>
      </c>
      <c r="D113" s="9" t="s">
        <v>804</v>
      </c>
      <c r="E113" s="9"/>
      <c r="F113" s="9"/>
      <c r="G113" s="9"/>
    </row>
    <row r="114" customFormat="false" ht="66" hidden="false" customHeight="true" outlineLevel="0" collapsed="false">
      <c r="A114" s="2" t="s">
        <v>946</v>
      </c>
      <c r="B114" s="2" t="s">
        <v>746</v>
      </c>
      <c r="C114" s="2" t="s">
        <v>936</v>
      </c>
      <c r="D114" s="9" t="s">
        <v>804</v>
      </c>
      <c r="E114" s="9"/>
      <c r="F114" s="9"/>
      <c r="G114" s="9"/>
    </row>
    <row r="115" customFormat="false" ht="66" hidden="false" customHeight="true" outlineLevel="0" collapsed="false">
      <c r="A115" s="3" t="s">
        <v>947</v>
      </c>
      <c r="B115" s="3" t="s">
        <v>746</v>
      </c>
      <c r="C115" s="3" t="s">
        <v>810</v>
      </c>
      <c r="D115" s="9" t="s">
        <v>804</v>
      </c>
      <c r="E115" s="9"/>
      <c r="F115" s="9"/>
      <c r="G115" s="9"/>
    </row>
    <row r="116" customFormat="false" ht="66" hidden="false" customHeight="true" outlineLevel="0" collapsed="false">
      <c r="A116" s="2" t="s">
        <v>948</v>
      </c>
      <c r="B116" s="2" t="s">
        <v>749</v>
      </c>
      <c r="C116" s="2" t="s">
        <v>949</v>
      </c>
      <c r="D116" s="9" t="s">
        <v>804</v>
      </c>
      <c r="E116" s="9"/>
      <c r="F116" s="9"/>
      <c r="G116" s="9"/>
    </row>
    <row r="117" customFormat="false" ht="66" hidden="false" customHeight="true" outlineLevel="0" collapsed="false">
      <c r="A117" s="3" t="s">
        <v>950</v>
      </c>
      <c r="B117" s="3" t="s">
        <v>749</v>
      </c>
      <c r="C117" s="3" t="s">
        <v>951</v>
      </c>
      <c r="D117" s="9" t="s">
        <v>804</v>
      </c>
      <c r="E117" s="9"/>
      <c r="F117" s="9"/>
      <c r="G117" s="9"/>
    </row>
    <row r="118" customFormat="false" ht="66" hidden="false" customHeight="true" outlineLevel="0" collapsed="false">
      <c r="A118" s="2" t="s">
        <v>952</v>
      </c>
      <c r="B118" s="2" t="s">
        <v>749</v>
      </c>
      <c r="C118" s="2" t="s">
        <v>953</v>
      </c>
      <c r="D118" s="9" t="s">
        <v>804</v>
      </c>
      <c r="E118" s="9"/>
      <c r="F118" s="9"/>
      <c r="G118" s="9"/>
    </row>
    <row r="119" customFormat="false" ht="66" hidden="false" customHeight="true" outlineLevel="0" collapsed="false">
      <c r="A119" s="3" t="s">
        <v>954</v>
      </c>
      <c r="B119" s="3" t="s">
        <v>749</v>
      </c>
      <c r="C119" s="3" t="s">
        <v>955</v>
      </c>
      <c r="D119" s="9" t="s">
        <v>804</v>
      </c>
      <c r="E119" s="9"/>
      <c r="F119" s="9"/>
      <c r="G119" s="9"/>
    </row>
    <row r="120" customFormat="false" ht="66" hidden="false" customHeight="true" outlineLevel="0" collapsed="false">
      <c r="A120" s="2" t="s">
        <v>956</v>
      </c>
      <c r="B120" s="2" t="s">
        <v>749</v>
      </c>
      <c r="C120" s="2" t="s">
        <v>810</v>
      </c>
      <c r="D120" s="9" t="s">
        <v>804</v>
      </c>
      <c r="E120" s="9"/>
      <c r="F120" s="9"/>
      <c r="G120" s="9"/>
    </row>
    <row r="121" customFormat="false" ht="66" hidden="false" customHeight="true" outlineLevel="0" collapsed="false">
      <c r="A121" s="3" t="s">
        <v>957</v>
      </c>
      <c r="B121" s="3" t="s">
        <v>754</v>
      </c>
      <c r="C121" s="3" t="s">
        <v>949</v>
      </c>
      <c r="D121" s="9" t="s">
        <v>804</v>
      </c>
      <c r="E121" s="9"/>
      <c r="F121" s="9"/>
      <c r="G121" s="9"/>
    </row>
    <row r="122" customFormat="false" ht="66" hidden="false" customHeight="true" outlineLevel="0" collapsed="false">
      <c r="A122" s="2" t="s">
        <v>958</v>
      </c>
      <c r="B122" s="2" t="s">
        <v>754</v>
      </c>
      <c r="C122" s="2" t="s">
        <v>951</v>
      </c>
      <c r="D122" s="9" t="s">
        <v>804</v>
      </c>
      <c r="E122" s="9"/>
      <c r="F122" s="9"/>
      <c r="G122" s="9"/>
    </row>
    <row r="123" customFormat="false" ht="66" hidden="false" customHeight="true" outlineLevel="0" collapsed="false">
      <c r="A123" s="3" t="s">
        <v>959</v>
      </c>
      <c r="B123" s="3" t="s">
        <v>754</v>
      </c>
      <c r="C123" s="3" t="s">
        <v>953</v>
      </c>
      <c r="D123" s="9" t="s">
        <v>804</v>
      </c>
      <c r="E123" s="9"/>
      <c r="F123" s="9"/>
      <c r="G123" s="9"/>
    </row>
    <row r="124" customFormat="false" ht="66" hidden="false" customHeight="true" outlineLevel="0" collapsed="false">
      <c r="A124" s="2" t="s">
        <v>960</v>
      </c>
      <c r="B124" s="2" t="s">
        <v>754</v>
      </c>
      <c r="C124" s="2" t="s">
        <v>955</v>
      </c>
      <c r="D124" s="9" t="s">
        <v>804</v>
      </c>
      <c r="E124" s="9"/>
      <c r="F124" s="9"/>
      <c r="G124" s="9"/>
    </row>
    <row r="125" customFormat="false" ht="66" hidden="false" customHeight="true" outlineLevel="0" collapsed="false">
      <c r="A125" s="3" t="s">
        <v>961</v>
      </c>
      <c r="B125" s="3" t="s">
        <v>754</v>
      </c>
      <c r="C125" s="3" t="s">
        <v>810</v>
      </c>
      <c r="D125" s="9" t="s">
        <v>804</v>
      </c>
      <c r="E125" s="9"/>
      <c r="F125" s="9"/>
      <c r="G125" s="9"/>
    </row>
    <row r="126" customFormat="false" ht="66" hidden="false" customHeight="true" outlineLevel="0" collapsed="false">
      <c r="A126" s="2" t="s">
        <v>962</v>
      </c>
      <c r="B126" s="2" t="s">
        <v>759</v>
      </c>
      <c r="C126" s="2" t="s">
        <v>949</v>
      </c>
      <c r="D126" s="9" t="s">
        <v>804</v>
      </c>
      <c r="E126" s="9"/>
      <c r="F126" s="9"/>
      <c r="G126" s="9"/>
    </row>
    <row r="127" customFormat="false" ht="66" hidden="false" customHeight="true" outlineLevel="0" collapsed="false">
      <c r="A127" s="3" t="s">
        <v>963</v>
      </c>
      <c r="B127" s="3" t="s">
        <v>759</v>
      </c>
      <c r="C127" s="3" t="s">
        <v>951</v>
      </c>
      <c r="D127" s="9" t="s">
        <v>804</v>
      </c>
      <c r="E127" s="9"/>
      <c r="F127" s="9"/>
      <c r="G127" s="9"/>
    </row>
    <row r="128" customFormat="false" ht="66" hidden="false" customHeight="true" outlineLevel="0" collapsed="false">
      <c r="A128" s="2" t="s">
        <v>964</v>
      </c>
      <c r="B128" s="2" t="s">
        <v>759</v>
      </c>
      <c r="C128" s="2" t="s">
        <v>953</v>
      </c>
      <c r="D128" s="9" t="s">
        <v>804</v>
      </c>
      <c r="E128" s="9"/>
      <c r="F128" s="9"/>
      <c r="G128" s="9"/>
    </row>
    <row r="129" customFormat="false" ht="66" hidden="false" customHeight="true" outlineLevel="0" collapsed="false">
      <c r="A129" s="3" t="s">
        <v>965</v>
      </c>
      <c r="B129" s="3" t="s">
        <v>759</v>
      </c>
      <c r="C129" s="3" t="s">
        <v>955</v>
      </c>
      <c r="D129" s="9" t="s">
        <v>804</v>
      </c>
      <c r="E129" s="9"/>
      <c r="F129" s="9"/>
      <c r="G129" s="9"/>
    </row>
    <row r="130" customFormat="false" ht="66" hidden="false" customHeight="true" outlineLevel="0" collapsed="false">
      <c r="A130" s="2" t="s">
        <v>966</v>
      </c>
      <c r="B130" s="2" t="s">
        <v>759</v>
      </c>
      <c r="C130" s="2" t="s">
        <v>810</v>
      </c>
      <c r="D130" s="9" t="s">
        <v>804</v>
      </c>
      <c r="E130" s="9"/>
      <c r="F130" s="9"/>
      <c r="G130" s="9"/>
    </row>
    <row r="131" customFormat="false" ht="66" hidden="false" customHeight="true" outlineLevel="0" collapsed="false">
      <c r="A131" s="3" t="s">
        <v>967</v>
      </c>
      <c r="B131" s="3" t="s">
        <v>764</v>
      </c>
      <c r="C131" s="3" t="s">
        <v>968</v>
      </c>
      <c r="D131" s="9" t="s">
        <v>804</v>
      </c>
      <c r="E131" s="9"/>
      <c r="F131" s="9"/>
      <c r="G131" s="9"/>
    </row>
    <row r="132" customFormat="false" ht="66" hidden="false" customHeight="true" outlineLevel="0" collapsed="false">
      <c r="A132" s="2" t="s">
        <v>969</v>
      </c>
      <c r="B132" s="2" t="s">
        <v>764</v>
      </c>
      <c r="C132" s="2" t="s">
        <v>970</v>
      </c>
      <c r="D132" s="9" t="s">
        <v>804</v>
      </c>
      <c r="E132" s="9"/>
      <c r="F132" s="9"/>
      <c r="G132" s="9"/>
    </row>
    <row r="133" customFormat="false" ht="66" hidden="false" customHeight="true" outlineLevel="0" collapsed="false">
      <c r="A133" s="3" t="s">
        <v>971</v>
      </c>
      <c r="B133" s="3" t="s">
        <v>764</v>
      </c>
      <c r="C133" s="3" t="s">
        <v>972</v>
      </c>
      <c r="D133" s="9" t="s">
        <v>804</v>
      </c>
      <c r="E133" s="9"/>
      <c r="F133" s="9"/>
      <c r="G133" s="9"/>
    </row>
    <row r="134" customFormat="false" ht="66" hidden="false" customHeight="true" outlineLevel="0" collapsed="false">
      <c r="A134" s="2" t="s">
        <v>973</v>
      </c>
      <c r="B134" s="2" t="s">
        <v>764</v>
      </c>
      <c r="C134" s="2" t="s">
        <v>974</v>
      </c>
      <c r="D134" s="9" t="s">
        <v>804</v>
      </c>
      <c r="E134" s="9"/>
      <c r="F134" s="9"/>
      <c r="G134" s="9"/>
    </row>
    <row r="135" customFormat="false" ht="66" hidden="false" customHeight="true" outlineLevel="0" collapsed="false">
      <c r="A135" s="3" t="s">
        <v>975</v>
      </c>
      <c r="B135" s="3" t="s">
        <v>764</v>
      </c>
      <c r="C135" s="3" t="s">
        <v>810</v>
      </c>
      <c r="D135" s="9" t="s">
        <v>804</v>
      </c>
      <c r="E135" s="9"/>
      <c r="F135" s="9"/>
      <c r="G135" s="9"/>
    </row>
    <row r="136" customFormat="false" ht="66" hidden="false" customHeight="true" outlineLevel="0" collapsed="false">
      <c r="A136" s="2" t="s">
        <v>976</v>
      </c>
      <c r="B136" s="2" t="s">
        <v>769</v>
      </c>
      <c r="C136" s="2" t="s">
        <v>968</v>
      </c>
      <c r="D136" s="9" t="s">
        <v>804</v>
      </c>
      <c r="E136" s="9"/>
      <c r="F136" s="9"/>
      <c r="G136" s="9"/>
    </row>
    <row r="137" customFormat="false" ht="66" hidden="false" customHeight="true" outlineLevel="0" collapsed="false">
      <c r="A137" s="3" t="s">
        <v>977</v>
      </c>
      <c r="B137" s="3" t="s">
        <v>769</v>
      </c>
      <c r="C137" s="3" t="s">
        <v>970</v>
      </c>
      <c r="D137" s="9" t="s">
        <v>804</v>
      </c>
      <c r="E137" s="9"/>
      <c r="F137" s="9"/>
      <c r="G137" s="9"/>
    </row>
    <row r="138" customFormat="false" ht="66" hidden="false" customHeight="true" outlineLevel="0" collapsed="false">
      <c r="A138" s="2" t="s">
        <v>978</v>
      </c>
      <c r="B138" s="2" t="s">
        <v>769</v>
      </c>
      <c r="C138" s="2" t="s">
        <v>972</v>
      </c>
      <c r="D138" s="9" t="s">
        <v>804</v>
      </c>
      <c r="E138" s="9"/>
      <c r="F138" s="9"/>
      <c r="G138" s="9"/>
    </row>
    <row r="139" customFormat="false" ht="66" hidden="false" customHeight="true" outlineLevel="0" collapsed="false">
      <c r="A139" s="3" t="s">
        <v>979</v>
      </c>
      <c r="B139" s="3" t="s">
        <v>769</v>
      </c>
      <c r="C139" s="3" t="s">
        <v>974</v>
      </c>
      <c r="D139" s="9" t="s">
        <v>804</v>
      </c>
      <c r="E139" s="9"/>
      <c r="F139" s="9"/>
      <c r="G139" s="9"/>
    </row>
    <row r="140" customFormat="false" ht="66" hidden="false" customHeight="true" outlineLevel="0" collapsed="false">
      <c r="A140" s="2" t="s">
        <v>980</v>
      </c>
      <c r="B140" s="2" t="s">
        <v>769</v>
      </c>
      <c r="C140" s="2" t="s">
        <v>810</v>
      </c>
      <c r="D140" s="9" t="s">
        <v>804</v>
      </c>
      <c r="E140" s="9"/>
      <c r="F140" s="9"/>
      <c r="G140" s="9"/>
    </row>
    <row r="141" customFormat="false" ht="66" hidden="false" customHeight="true" outlineLevel="0" collapsed="false">
      <c r="A141" s="3" t="s">
        <v>981</v>
      </c>
      <c r="B141" s="3" t="s">
        <v>774</v>
      </c>
      <c r="C141" s="3" t="s">
        <v>968</v>
      </c>
      <c r="D141" s="9" t="s">
        <v>804</v>
      </c>
      <c r="E141" s="9"/>
      <c r="F141" s="9"/>
      <c r="G141" s="9"/>
    </row>
    <row r="142" customFormat="false" ht="66" hidden="false" customHeight="true" outlineLevel="0" collapsed="false">
      <c r="A142" s="2" t="s">
        <v>982</v>
      </c>
      <c r="B142" s="2" t="s">
        <v>774</v>
      </c>
      <c r="C142" s="2" t="s">
        <v>970</v>
      </c>
      <c r="D142" s="9" t="s">
        <v>804</v>
      </c>
      <c r="E142" s="9"/>
      <c r="F142" s="9"/>
      <c r="G142" s="9"/>
    </row>
    <row r="143" customFormat="false" ht="66" hidden="false" customHeight="true" outlineLevel="0" collapsed="false">
      <c r="A143" s="3" t="s">
        <v>983</v>
      </c>
      <c r="B143" s="3" t="s">
        <v>774</v>
      </c>
      <c r="C143" s="3" t="s">
        <v>972</v>
      </c>
      <c r="D143" s="9" t="s">
        <v>804</v>
      </c>
      <c r="E143" s="9"/>
      <c r="F143" s="9"/>
      <c r="G143" s="9"/>
    </row>
    <row r="144" customFormat="false" ht="66" hidden="false" customHeight="true" outlineLevel="0" collapsed="false">
      <c r="A144" s="2" t="s">
        <v>984</v>
      </c>
      <c r="B144" s="2" t="s">
        <v>774</v>
      </c>
      <c r="C144" s="2" t="s">
        <v>974</v>
      </c>
      <c r="D144" s="9" t="s">
        <v>804</v>
      </c>
      <c r="E144" s="9"/>
      <c r="F144" s="9"/>
      <c r="G144" s="9"/>
    </row>
    <row r="145" customFormat="false" ht="66" hidden="false" customHeight="true" outlineLevel="0" collapsed="false">
      <c r="A145" s="3" t="s">
        <v>985</v>
      </c>
      <c r="B145" s="3" t="s">
        <v>774</v>
      </c>
      <c r="C145" s="3" t="s">
        <v>810</v>
      </c>
      <c r="D145" s="9" t="s">
        <v>804</v>
      </c>
      <c r="E145" s="9"/>
      <c r="F145" s="9"/>
      <c r="G145" s="9"/>
    </row>
    <row r="146" customFormat="false" ht="66" hidden="false" customHeight="true" outlineLevel="0" collapsed="false">
      <c r="A146" s="2" t="s">
        <v>986</v>
      </c>
      <c r="B146" s="2" t="s">
        <v>779</v>
      </c>
      <c r="C146" s="2" t="s">
        <v>987</v>
      </c>
      <c r="D146" s="9" t="s">
        <v>804</v>
      </c>
      <c r="E146" s="9"/>
      <c r="F146" s="9"/>
      <c r="G146" s="9"/>
    </row>
    <row r="147" customFormat="false" ht="66" hidden="false" customHeight="true" outlineLevel="0" collapsed="false">
      <c r="A147" s="3" t="s">
        <v>988</v>
      </c>
      <c r="B147" s="3" t="s">
        <v>779</v>
      </c>
      <c r="C147" s="3" t="s">
        <v>989</v>
      </c>
      <c r="D147" s="9" t="s">
        <v>804</v>
      </c>
      <c r="E147" s="9"/>
      <c r="F147" s="9"/>
      <c r="G147" s="9"/>
    </row>
    <row r="148" customFormat="false" ht="66" hidden="false" customHeight="true" outlineLevel="0" collapsed="false">
      <c r="A148" s="2" t="s">
        <v>990</v>
      </c>
      <c r="B148" s="2" t="s">
        <v>779</v>
      </c>
      <c r="C148" s="2" t="s">
        <v>991</v>
      </c>
      <c r="D148" s="9" t="s">
        <v>804</v>
      </c>
      <c r="E148" s="9"/>
      <c r="F148" s="9"/>
      <c r="G148" s="9"/>
    </row>
    <row r="149" customFormat="false" ht="66" hidden="false" customHeight="true" outlineLevel="0" collapsed="false">
      <c r="A149" s="3" t="s">
        <v>992</v>
      </c>
      <c r="B149" s="3" t="s">
        <v>779</v>
      </c>
      <c r="C149" s="3" t="s">
        <v>993</v>
      </c>
      <c r="D149" s="9" t="s">
        <v>804</v>
      </c>
      <c r="E149" s="9"/>
      <c r="F149" s="9"/>
      <c r="G149" s="9"/>
    </row>
    <row r="150" customFormat="false" ht="66" hidden="false" customHeight="true" outlineLevel="0" collapsed="false">
      <c r="A150" s="2" t="s">
        <v>994</v>
      </c>
      <c r="B150" s="2" t="s">
        <v>779</v>
      </c>
      <c r="C150" s="2" t="s">
        <v>995</v>
      </c>
      <c r="D150" s="9" t="s">
        <v>804</v>
      </c>
      <c r="E150" s="9"/>
      <c r="F150" s="9"/>
      <c r="G150" s="9"/>
    </row>
    <row r="151" customFormat="false" ht="66" hidden="false" customHeight="true" outlineLevel="0" collapsed="false">
      <c r="A151" s="3" t="s">
        <v>996</v>
      </c>
      <c r="B151" s="3" t="s">
        <v>779</v>
      </c>
      <c r="C151" s="3" t="s">
        <v>810</v>
      </c>
      <c r="D151" s="9" t="s">
        <v>804</v>
      </c>
      <c r="E151" s="9"/>
      <c r="F151" s="9"/>
      <c r="G151" s="9"/>
    </row>
    <row r="152" customFormat="false" ht="66" hidden="false" customHeight="true" outlineLevel="0" collapsed="false">
      <c r="A152" s="2" t="s">
        <v>997</v>
      </c>
      <c r="B152" s="2" t="s">
        <v>782</v>
      </c>
      <c r="C152" s="2" t="s">
        <v>987</v>
      </c>
      <c r="D152" s="9" t="s">
        <v>804</v>
      </c>
      <c r="E152" s="9"/>
      <c r="F152" s="9"/>
      <c r="G152" s="9"/>
    </row>
    <row r="153" customFormat="false" ht="66" hidden="false" customHeight="true" outlineLevel="0" collapsed="false">
      <c r="A153" s="3" t="s">
        <v>998</v>
      </c>
      <c r="B153" s="3" t="s">
        <v>782</v>
      </c>
      <c r="C153" s="3" t="s">
        <v>989</v>
      </c>
      <c r="D153" s="9" t="s">
        <v>804</v>
      </c>
      <c r="E153" s="9"/>
      <c r="F153" s="9"/>
      <c r="G153" s="9"/>
    </row>
    <row r="154" customFormat="false" ht="66" hidden="false" customHeight="true" outlineLevel="0" collapsed="false">
      <c r="A154" s="2" t="s">
        <v>999</v>
      </c>
      <c r="B154" s="2" t="s">
        <v>782</v>
      </c>
      <c r="C154" s="2" t="s">
        <v>991</v>
      </c>
      <c r="D154" s="9" t="s">
        <v>804</v>
      </c>
      <c r="E154" s="9"/>
      <c r="F154" s="9"/>
      <c r="G154" s="9"/>
    </row>
    <row r="155" customFormat="false" ht="66" hidden="false" customHeight="true" outlineLevel="0" collapsed="false">
      <c r="A155" s="3" t="s">
        <v>1000</v>
      </c>
      <c r="B155" s="3" t="s">
        <v>782</v>
      </c>
      <c r="C155" s="3" t="s">
        <v>993</v>
      </c>
      <c r="D155" s="9" t="s">
        <v>804</v>
      </c>
      <c r="E155" s="9"/>
      <c r="F155" s="9"/>
      <c r="G155" s="9"/>
    </row>
    <row r="156" customFormat="false" ht="66" hidden="false" customHeight="true" outlineLevel="0" collapsed="false">
      <c r="A156" s="2" t="s">
        <v>1001</v>
      </c>
      <c r="B156" s="2" t="s">
        <v>782</v>
      </c>
      <c r="C156" s="2" t="s">
        <v>995</v>
      </c>
      <c r="D156" s="9" t="s">
        <v>804</v>
      </c>
      <c r="E156" s="9"/>
      <c r="F156" s="9"/>
      <c r="G156" s="9"/>
    </row>
    <row r="157" customFormat="false" ht="66" hidden="false" customHeight="true" outlineLevel="0" collapsed="false">
      <c r="A157" s="3" t="s">
        <v>1002</v>
      </c>
      <c r="B157" s="3" t="s">
        <v>782</v>
      </c>
      <c r="C157" s="3" t="s">
        <v>810</v>
      </c>
      <c r="D157" s="9" t="s">
        <v>804</v>
      </c>
      <c r="E157" s="9"/>
      <c r="F157" s="9"/>
      <c r="G157" s="9"/>
    </row>
    <row r="158" customFormat="false" ht="66" hidden="false" customHeight="true" outlineLevel="0" collapsed="false">
      <c r="A158" s="2" t="s">
        <v>1003</v>
      </c>
      <c r="B158" s="2" t="s">
        <v>785</v>
      </c>
      <c r="C158" s="2" t="s">
        <v>987</v>
      </c>
      <c r="D158" s="9" t="s">
        <v>804</v>
      </c>
      <c r="E158" s="9"/>
      <c r="F158" s="9"/>
      <c r="G158" s="9"/>
    </row>
    <row r="159" customFormat="false" ht="66" hidden="false" customHeight="true" outlineLevel="0" collapsed="false">
      <c r="A159" s="3" t="s">
        <v>1004</v>
      </c>
      <c r="B159" s="3" t="s">
        <v>785</v>
      </c>
      <c r="C159" s="3" t="s">
        <v>989</v>
      </c>
      <c r="D159" s="9" t="s">
        <v>804</v>
      </c>
      <c r="E159" s="9"/>
      <c r="F159" s="9"/>
      <c r="G159" s="9"/>
    </row>
    <row r="160" customFormat="false" ht="66" hidden="false" customHeight="true" outlineLevel="0" collapsed="false">
      <c r="A160" s="2" t="s">
        <v>1005</v>
      </c>
      <c r="B160" s="2" t="s">
        <v>785</v>
      </c>
      <c r="C160" s="2" t="s">
        <v>991</v>
      </c>
      <c r="D160" s="9" t="s">
        <v>804</v>
      </c>
      <c r="E160" s="9"/>
      <c r="F160" s="9"/>
      <c r="G160" s="9"/>
    </row>
    <row r="161" customFormat="false" ht="66" hidden="false" customHeight="true" outlineLevel="0" collapsed="false">
      <c r="A161" s="3" t="s">
        <v>1006</v>
      </c>
      <c r="B161" s="3" t="s">
        <v>785</v>
      </c>
      <c r="C161" s="3" t="s">
        <v>993</v>
      </c>
      <c r="D161" s="9" t="s">
        <v>804</v>
      </c>
      <c r="E161" s="9"/>
      <c r="F161" s="9"/>
      <c r="G161" s="9"/>
    </row>
    <row r="162" customFormat="false" ht="66" hidden="false" customHeight="true" outlineLevel="0" collapsed="false">
      <c r="A162" s="2" t="s">
        <v>1007</v>
      </c>
      <c r="B162" s="2" t="s">
        <v>785</v>
      </c>
      <c r="C162" s="2" t="s">
        <v>995</v>
      </c>
      <c r="D162" s="9" t="s">
        <v>804</v>
      </c>
      <c r="E162" s="9"/>
      <c r="F162" s="9"/>
      <c r="G162" s="9"/>
    </row>
    <row r="163" customFormat="false" ht="66" hidden="false" customHeight="true" outlineLevel="0" collapsed="false">
      <c r="A163" s="3" t="s">
        <v>1008</v>
      </c>
      <c r="B163" s="3" t="s">
        <v>785</v>
      </c>
      <c r="C163" s="3" t="s">
        <v>810</v>
      </c>
      <c r="D163" s="9" t="s">
        <v>804</v>
      </c>
      <c r="E163" s="9"/>
      <c r="F163" s="9"/>
      <c r="G163" s="9"/>
    </row>
    <row r="164" customFormat="false" ht="66" hidden="false" customHeight="true" outlineLevel="0" collapsed="false">
      <c r="A164" s="2" t="s">
        <v>1009</v>
      </c>
      <c r="B164" s="2" t="s">
        <v>788</v>
      </c>
      <c r="C164" s="2" t="s">
        <v>1010</v>
      </c>
      <c r="D164" s="9" t="s">
        <v>804</v>
      </c>
      <c r="E164" s="9"/>
      <c r="F164" s="9"/>
      <c r="G164" s="9"/>
    </row>
    <row r="165" customFormat="false" ht="66" hidden="false" customHeight="true" outlineLevel="0" collapsed="false">
      <c r="A165" s="3" t="s">
        <v>1011</v>
      </c>
      <c r="B165" s="3" t="s">
        <v>788</v>
      </c>
      <c r="C165" s="3" t="s">
        <v>1012</v>
      </c>
      <c r="D165" s="9" t="s">
        <v>804</v>
      </c>
      <c r="E165" s="9"/>
      <c r="F165" s="9"/>
      <c r="G165" s="9"/>
    </row>
    <row r="166" customFormat="false" ht="66" hidden="false" customHeight="true" outlineLevel="0" collapsed="false">
      <c r="A166" s="2" t="s">
        <v>1013</v>
      </c>
      <c r="B166" s="2" t="s">
        <v>788</v>
      </c>
      <c r="C166" s="2" t="s">
        <v>1014</v>
      </c>
      <c r="D166" s="9" t="s">
        <v>804</v>
      </c>
      <c r="E166" s="9"/>
      <c r="F166" s="9"/>
      <c r="G166" s="9"/>
    </row>
    <row r="167" customFormat="false" ht="66" hidden="false" customHeight="true" outlineLevel="0" collapsed="false">
      <c r="A167" s="3" t="s">
        <v>1015</v>
      </c>
      <c r="B167" s="3" t="s">
        <v>788</v>
      </c>
      <c r="C167" s="3" t="s">
        <v>1016</v>
      </c>
      <c r="D167" s="9" t="s">
        <v>804</v>
      </c>
      <c r="E167" s="9"/>
      <c r="F167" s="9"/>
      <c r="G167" s="9"/>
    </row>
    <row r="168" customFormat="false" ht="66" hidden="false" customHeight="true" outlineLevel="0" collapsed="false">
      <c r="A168" s="2" t="s">
        <v>1017</v>
      </c>
      <c r="B168" s="2" t="s">
        <v>788</v>
      </c>
      <c r="C168" s="2" t="s">
        <v>810</v>
      </c>
      <c r="D168" s="9" t="s">
        <v>804</v>
      </c>
      <c r="E168" s="9"/>
      <c r="F168" s="9"/>
      <c r="G168" s="9"/>
    </row>
    <row r="169" customFormat="false" ht="66" hidden="false" customHeight="true" outlineLevel="0" collapsed="false">
      <c r="A169" s="3" t="s">
        <v>1018</v>
      </c>
      <c r="B169" s="3" t="s">
        <v>794</v>
      </c>
      <c r="C169" s="3" t="s">
        <v>1010</v>
      </c>
      <c r="D169" s="9" t="s">
        <v>804</v>
      </c>
      <c r="E169" s="9"/>
      <c r="F169" s="9"/>
      <c r="G169" s="9"/>
    </row>
    <row r="170" customFormat="false" ht="66" hidden="false" customHeight="true" outlineLevel="0" collapsed="false">
      <c r="A170" s="2" t="s">
        <v>1019</v>
      </c>
      <c r="B170" s="2" t="s">
        <v>794</v>
      </c>
      <c r="C170" s="2" t="s">
        <v>1012</v>
      </c>
      <c r="D170" s="9" t="s">
        <v>804</v>
      </c>
      <c r="E170" s="9"/>
      <c r="F170" s="9"/>
      <c r="G170" s="9"/>
    </row>
    <row r="171" customFormat="false" ht="66" hidden="false" customHeight="true" outlineLevel="0" collapsed="false">
      <c r="A171" s="3" t="s">
        <v>1020</v>
      </c>
      <c r="B171" s="3" t="s">
        <v>794</v>
      </c>
      <c r="C171" s="3" t="s">
        <v>1014</v>
      </c>
      <c r="D171" s="9" t="s">
        <v>804</v>
      </c>
      <c r="E171" s="9"/>
      <c r="F171" s="9"/>
      <c r="G171" s="9"/>
    </row>
    <row r="172" customFormat="false" ht="66" hidden="false" customHeight="true" outlineLevel="0" collapsed="false">
      <c r="A172" s="2" t="s">
        <v>1021</v>
      </c>
      <c r="B172" s="2" t="s">
        <v>794</v>
      </c>
      <c r="C172" s="2" t="s">
        <v>1016</v>
      </c>
      <c r="D172" s="9" t="s">
        <v>804</v>
      </c>
      <c r="E172" s="9"/>
      <c r="F172" s="9"/>
      <c r="G172" s="9"/>
    </row>
    <row r="173" customFormat="false" ht="66" hidden="false" customHeight="true" outlineLevel="0" collapsed="false">
      <c r="A173" s="3" t="s">
        <v>1022</v>
      </c>
      <c r="B173" s="3" t="s">
        <v>794</v>
      </c>
      <c r="C173" s="3" t="s">
        <v>810</v>
      </c>
      <c r="D173" s="9" t="s">
        <v>804</v>
      </c>
      <c r="E173" s="9"/>
      <c r="F173" s="9"/>
      <c r="G173" s="9"/>
    </row>
    <row r="174" customFormat="false" ht="66" hidden="false" customHeight="true" outlineLevel="0" collapsed="false">
      <c r="A174" s="2" t="s">
        <v>1023</v>
      </c>
      <c r="B174" s="2" t="s">
        <v>796</v>
      </c>
      <c r="C174" s="2" t="s">
        <v>1010</v>
      </c>
      <c r="D174" s="9" t="s">
        <v>804</v>
      </c>
      <c r="E174" s="9"/>
      <c r="F174" s="9"/>
      <c r="G174" s="9"/>
    </row>
    <row r="175" customFormat="false" ht="66" hidden="false" customHeight="true" outlineLevel="0" collapsed="false">
      <c r="A175" s="3" t="s">
        <v>1024</v>
      </c>
      <c r="B175" s="3" t="s">
        <v>796</v>
      </c>
      <c r="C175" s="3" t="s">
        <v>1012</v>
      </c>
      <c r="D175" s="9" t="s">
        <v>804</v>
      </c>
      <c r="E175" s="9"/>
      <c r="F175" s="9"/>
      <c r="G175" s="9"/>
    </row>
    <row r="176" customFormat="false" ht="66" hidden="false" customHeight="true" outlineLevel="0" collapsed="false">
      <c r="A176" s="2" t="s">
        <v>1025</v>
      </c>
      <c r="B176" s="2" t="s">
        <v>796</v>
      </c>
      <c r="C176" s="2" t="s">
        <v>1014</v>
      </c>
      <c r="D176" s="9" t="s">
        <v>804</v>
      </c>
      <c r="E176" s="9"/>
      <c r="F176" s="9"/>
      <c r="G176" s="9"/>
    </row>
    <row r="177" customFormat="false" ht="66" hidden="false" customHeight="true" outlineLevel="0" collapsed="false">
      <c r="A177" s="3" t="s">
        <v>1026</v>
      </c>
      <c r="B177" s="3" t="s">
        <v>796</v>
      </c>
      <c r="C177" s="3" t="s">
        <v>1016</v>
      </c>
      <c r="D177" s="9" t="s">
        <v>804</v>
      </c>
      <c r="E177" s="9"/>
      <c r="F177" s="9"/>
      <c r="G177" s="9"/>
    </row>
    <row r="178" customFormat="false" ht="66" hidden="false" customHeight="true" outlineLevel="0" collapsed="false">
      <c r="A178" s="2" t="s">
        <v>1027</v>
      </c>
      <c r="B178" s="2" t="s">
        <v>796</v>
      </c>
      <c r="C178" s="2" t="s">
        <v>810</v>
      </c>
      <c r="D178" s="9" t="s">
        <v>804</v>
      </c>
      <c r="E178" s="9"/>
      <c r="F178" s="9"/>
      <c r="G178" s="9"/>
    </row>
  </sheetData>
  <autoFilter ref="A1:G178"/>
  <dataValidations count="1">
    <dataValidation allowBlank="true" error="Выберите допустимый статус" errorStyle="stop" errorTitle="Значение из списка" operator="between" showDropDown="false" showErrorMessage="true" showInputMessage="false" sqref="D2:D178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70"/>
    <col collapsed="false" customWidth="true" hidden="false" outlineLevel="0" max="4" min="4" style="0" width="48"/>
    <col collapsed="false" customWidth="true" hidden="false" outlineLevel="0" max="9" min="5" style="0" width="23"/>
    <col collapsed="false" customWidth="true" hidden="false" outlineLevel="0" max="10" min="10" style="0" width="26"/>
    <col collapsed="false" customWidth="true" hidden="false" outlineLevel="0" max="11" min="11" style="0" width="32"/>
    <col collapsed="false" customWidth="true" hidden="false" outlineLevel="0" max="21" min="12" style="0" width="23"/>
    <col collapsed="false" customWidth="true" hidden="false" outlineLevel="0" max="22" min="22" style="0" width="38"/>
    <col collapsed="false" customWidth="true" hidden="false" outlineLevel="0" max="23" min="23" style="0" width="23"/>
    <col collapsed="false" customWidth="true" hidden="false" outlineLevel="0" max="24" min="24" style="0" width="110"/>
    <col collapsed="false" customWidth="true" hidden="false" outlineLevel="0" max="25" min="25" style="0" width="32"/>
  </cols>
  <sheetData>
    <row r="1" customFormat="false" ht="45" hidden="false" customHeight="true" outlineLevel="0" collapsed="false">
      <c r="A1" s="1" t="s">
        <v>676</v>
      </c>
      <c r="B1" s="1" t="s">
        <v>30</v>
      </c>
      <c r="C1" s="1" t="s">
        <v>1028</v>
      </c>
      <c r="D1" s="1" t="s">
        <v>1029</v>
      </c>
      <c r="E1" s="1" t="s">
        <v>1030</v>
      </c>
      <c r="F1" s="1" t="s">
        <v>1031</v>
      </c>
      <c r="G1" s="1" t="s">
        <v>1032</v>
      </c>
      <c r="H1" s="1" t="s">
        <v>1033</v>
      </c>
      <c r="I1" s="1" t="s">
        <v>1034</v>
      </c>
      <c r="J1" s="1" t="s">
        <v>1035</v>
      </c>
      <c r="K1" s="1" t="s">
        <v>1036</v>
      </c>
      <c r="L1" s="1" t="s">
        <v>1037</v>
      </c>
      <c r="M1" s="1" t="s">
        <v>1038</v>
      </c>
      <c r="N1" s="1" t="s">
        <v>1039</v>
      </c>
      <c r="O1" s="1" t="s">
        <v>1040</v>
      </c>
      <c r="P1" s="1" t="s">
        <v>1041</v>
      </c>
      <c r="Q1" s="1" t="s">
        <v>1042</v>
      </c>
      <c r="R1" s="1" t="s">
        <v>1043</v>
      </c>
      <c r="S1" s="1" t="s">
        <v>1044</v>
      </c>
      <c r="T1" s="1" t="s">
        <v>1045</v>
      </c>
      <c r="U1" s="1" t="s">
        <v>1046</v>
      </c>
      <c r="V1" s="1" t="s">
        <v>1047</v>
      </c>
      <c r="W1" s="1" t="s">
        <v>1048</v>
      </c>
      <c r="X1" s="1" t="s">
        <v>1049</v>
      </c>
      <c r="Y1" s="1" t="s">
        <v>2</v>
      </c>
    </row>
    <row r="2" customFormat="false" ht="66" hidden="false" customHeight="true" outlineLevel="0" collapsed="false">
      <c r="A2" s="2" t="s">
        <v>683</v>
      </c>
      <c r="B2" s="2" t="s">
        <v>38</v>
      </c>
      <c r="C2" s="2" t="s">
        <v>175</v>
      </c>
      <c r="D2" s="2" t="s">
        <v>42</v>
      </c>
      <c r="E2" s="5" t="n">
        <f aca="false">COUNTIF(03_Состав!$B$2:$B$80,A2)</f>
        <v>1</v>
      </c>
      <c r="F2" s="5" t="n">
        <f aca="false">SUMPRODUCT((03_Состав!$B$2:$B$80=A2)*ISNUMBER(03_Состав!$I$2:$I$80))</f>
        <v>1</v>
      </c>
      <c r="G2" s="5" t="n">
        <f aca="false">IF(F2&gt;0,ROUND(SUMIF(03_Состав!$B$2:$B$80,A2,03_Состав!$I$2:$I$80),2),"")</f>
        <v>45977</v>
      </c>
      <c r="H2" s="5" t="n">
        <f aca="false">SUMPRODUCT((04_Комплектность!$B$2:$B$178=A2)*(((04_Комплектность!$D$2:$D$178&lt;&gt;"CLOSED")+(04_Комплектность!$E$2:$E$178="")+(04_Комплектность!$G$2:$G$178=""))&gt;0))</f>
        <v>4</v>
      </c>
      <c r="I2" s="5" t="n">
        <f aca="false">COUNTIFS(03_Состав!$B$2:$B$80,A2,03_Состав!$K$2:$K$80,"BLOCK")</f>
        <v>1</v>
      </c>
      <c r="J2" s="9" t="s">
        <v>1050</v>
      </c>
      <c r="K2" s="9" t="s">
        <v>1051</v>
      </c>
      <c r="L2" s="5" t="str">
        <f aca="false">IF(AND(E2&gt;0,E2=F2,H2=0,I2=0,J2="PASS",K2="CONFIRMED_FULL"),G2,"")</f>
        <v/>
      </c>
      <c r="M2" s="9"/>
      <c r="N2" s="9"/>
      <c r="O2" s="9"/>
      <c r="P2" s="9"/>
      <c r="Q2" s="9"/>
      <c r="R2" s="9"/>
      <c r="S2" s="5" t="str">
        <f aca="false">IF(AND(ISNUMBER(L2),COUNT(M2:R2)=6),ROUND(SUM(L2:R2),2),"")</f>
        <v/>
      </c>
      <c r="T2" s="5" t="str">
        <f aca="false">IF(AND(V2="CONFIRMED_ALL_DOCUMENTS",COUNTIF(06_НДС!$B$2:$B$1000,A2)&gt;0,COUNTIFS(06_НДС!$B$2:$B$1000,A2,06_НДС!$S$2:$S$1000,"&lt;&gt;CALCULATED_WITH_INPUTS")=0),ROUND(SUMIF(06_НДС!$B$2:$B$1000,A2,06_НДС!$M$2:$M$1000),2),"")</f>
        <v/>
      </c>
      <c r="U2" s="5" t="str">
        <f aca="false">IF(AND(ISNUMBER(S2),ISNUMBER(T2)),ROUND(S2+T2,2),"")</f>
        <v/>
      </c>
      <c r="V2" s="9" t="s">
        <v>804</v>
      </c>
      <c r="W2" s="9" t="s">
        <v>1052</v>
      </c>
      <c r="X2" s="9" t="s">
        <v>45</v>
      </c>
      <c r="Y2" s="5" t="str">
        <f aca="false">IF(ISNUMBER(U2),"CALCULATED_FOR_REVIEW","DRAFT_OPEN")</f>
        <v>DRAFT_OPEN</v>
      </c>
    </row>
    <row r="3" customFormat="false" ht="66" hidden="false" customHeight="true" outlineLevel="0" collapsed="false">
      <c r="A3" s="3" t="s">
        <v>685</v>
      </c>
      <c r="B3" s="3" t="s">
        <v>38</v>
      </c>
      <c r="C3" s="3" t="s">
        <v>628</v>
      </c>
      <c r="D3" s="3" t="s">
        <v>42</v>
      </c>
      <c r="E3" s="5" t="n">
        <f aca="false">COUNTIF(03_Состав!$B$2:$B$80,A3)</f>
        <v>1</v>
      </c>
      <c r="F3" s="5" t="n">
        <f aca="false">SUMPRODUCT((03_Состав!$B$2:$B$80=A3)*ISNUMBER(03_Состав!$I$2:$I$80))</f>
        <v>0</v>
      </c>
      <c r="G3" s="5" t="str">
        <f aca="false">IF(F3&gt;0,ROUND(SUMIF(03_Состав!$B$2:$B$80,A3,03_Состав!$I$2:$I$80),2),"")</f>
        <v/>
      </c>
      <c r="H3" s="5" t="n">
        <f aca="false">SUMPRODUCT((04_Комплектность!$B$2:$B$178=A3)*(((04_Комплектность!$D$2:$D$178&lt;&gt;"CLOSED")+(04_Комплектность!$E$2:$E$178="")+(04_Комплектность!$G$2:$G$178=""))&gt;0))</f>
        <v>4</v>
      </c>
      <c r="I3" s="5" t="n">
        <f aca="false">COUNTIFS(03_Состав!$B$2:$B$80,A3,03_Состав!$K$2:$K$80,"BLOCK")</f>
        <v>1</v>
      </c>
      <c r="J3" s="9" t="s">
        <v>1050</v>
      </c>
      <c r="K3" s="9" t="s">
        <v>1051</v>
      </c>
      <c r="L3" s="5" t="str">
        <f aca="false">IF(AND(E3&gt;0,E3=F3,H3=0,I3=0,J3="PASS",K3="CONFIRMED_FULL"),G3,"")</f>
        <v/>
      </c>
      <c r="M3" s="9"/>
      <c r="N3" s="9"/>
      <c r="O3" s="9"/>
      <c r="P3" s="9"/>
      <c r="Q3" s="9"/>
      <c r="R3" s="9"/>
      <c r="S3" s="5" t="str">
        <f aca="false">IF(AND(ISNUMBER(L3),COUNT(M3:R3)=6),ROUND(SUM(L3:R3),2),"")</f>
        <v/>
      </c>
      <c r="T3" s="5" t="str">
        <f aca="false">IF(AND(V3="CONFIRMED_ALL_DOCUMENTS",COUNTIF(06_НДС!$B$2:$B$1000,A3)&gt;0,COUNTIFS(06_НДС!$B$2:$B$1000,A3,06_НДС!$S$2:$S$1000,"&lt;&gt;CALCULATED_WITH_INPUTS")=0),ROUND(SUMIF(06_НДС!$B$2:$B$1000,A3,06_НДС!$M$2:$M$1000),2),"")</f>
        <v/>
      </c>
      <c r="U3" s="5" t="str">
        <f aca="false">IF(AND(ISNUMBER(S3),ISNUMBER(T3)),ROUND(S3+T3,2),"")</f>
        <v/>
      </c>
      <c r="V3" s="9" t="s">
        <v>804</v>
      </c>
      <c r="W3" s="9" t="s">
        <v>1052</v>
      </c>
      <c r="X3" s="9" t="s">
        <v>45</v>
      </c>
      <c r="Y3" s="5" t="str">
        <f aca="false">IF(ISNUMBER(U3),"CALCULATED_FOR_REVIEW","DRAFT_OPEN")</f>
        <v>DRAFT_OPEN</v>
      </c>
    </row>
    <row r="4" customFormat="false" ht="66" hidden="false" customHeight="true" outlineLevel="0" collapsed="false">
      <c r="A4" s="2" t="s">
        <v>687</v>
      </c>
      <c r="B4" s="2" t="s">
        <v>38</v>
      </c>
      <c r="C4" s="2" t="s">
        <v>185</v>
      </c>
      <c r="D4" s="2" t="s">
        <v>42</v>
      </c>
      <c r="E4" s="5" t="n">
        <f aca="false">COUNTIF(03_Состав!$B$2:$B$80,A4)</f>
        <v>1</v>
      </c>
      <c r="F4" s="5" t="n">
        <f aca="false">SUMPRODUCT((03_Состав!$B$2:$B$80=A4)*ISNUMBER(03_Состав!$I$2:$I$80))</f>
        <v>0</v>
      </c>
      <c r="G4" s="5" t="str">
        <f aca="false">IF(F4&gt;0,ROUND(SUMIF(03_Состав!$B$2:$B$80,A4,03_Состав!$I$2:$I$80),2),"")</f>
        <v/>
      </c>
      <c r="H4" s="5" t="n">
        <f aca="false">SUMPRODUCT((04_Комплектность!$B$2:$B$178=A4)*(((04_Комплектность!$D$2:$D$178&lt;&gt;"CLOSED")+(04_Комплектность!$E$2:$E$178="")+(04_Комплектность!$G$2:$G$178=""))&gt;0))</f>
        <v>4</v>
      </c>
      <c r="I4" s="5" t="n">
        <f aca="false">COUNTIFS(03_Состав!$B$2:$B$80,A4,03_Состав!$K$2:$K$80,"BLOCK")</f>
        <v>1</v>
      </c>
      <c r="J4" s="9" t="s">
        <v>1050</v>
      </c>
      <c r="K4" s="9" t="s">
        <v>1051</v>
      </c>
      <c r="L4" s="5" t="str">
        <f aca="false">IF(AND(E4&gt;0,E4=F4,H4=0,I4=0,J4="PASS",K4="CONFIRMED_FULL"),G4,"")</f>
        <v/>
      </c>
      <c r="M4" s="9"/>
      <c r="N4" s="9"/>
      <c r="O4" s="9"/>
      <c r="P4" s="9"/>
      <c r="Q4" s="9"/>
      <c r="R4" s="9"/>
      <c r="S4" s="5" t="str">
        <f aca="false">IF(AND(ISNUMBER(L4),COUNT(M4:R4)=6),ROUND(SUM(L4:R4),2),"")</f>
        <v/>
      </c>
      <c r="T4" s="5" t="str">
        <f aca="false">IF(AND(V4="CONFIRMED_ALL_DOCUMENTS",COUNTIF(06_НДС!$B$2:$B$1000,A4)&gt;0,COUNTIFS(06_НДС!$B$2:$B$1000,A4,06_НДС!$S$2:$S$1000,"&lt;&gt;CALCULATED_WITH_INPUTS")=0),ROUND(SUMIF(06_НДС!$B$2:$B$1000,A4,06_НДС!$M$2:$M$1000),2),"")</f>
        <v/>
      </c>
      <c r="U4" s="5" t="str">
        <f aca="false">IF(AND(ISNUMBER(S4),ISNUMBER(T4)),ROUND(S4+T4,2),"")</f>
        <v/>
      </c>
      <c r="V4" s="9" t="s">
        <v>804</v>
      </c>
      <c r="W4" s="9" t="s">
        <v>1052</v>
      </c>
      <c r="X4" s="9" t="s">
        <v>45</v>
      </c>
      <c r="Y4" s="5" t="str">
        <f aca="false">IF(ISNUMBER(U4),"CALCULATED_FOR_REVIEW","DRAFT_OPEN")</f>
        <v>DRAFT_OPEN</v>
      </c>
    </row>
    <row r="5" customFormat="false" ht="66" hidden="false" customHeight="true" outlineLevel="0" collapsed="false">
      <c r="A5" s="3" t="s">
        <v>689</v>
      </c>
      <c r="B5" s="3" t="s">
        <v>46</v>
      </c>
      <c r="C5" s="3" t="s">
        <v>219</v>
      </c>
      <c r="D5" s="3" t="s">
        <v>50</v>
      </c>
      <c r="E5" s="5" t="n">
        <f aca="false">COUNTIF(03_Состав!$B$2:$B$80,A5)</f>
        <v>1</v>
      </c>
      <c r="F5" s="5" t="n">
        <f aca="false">SUMPRODUCT((03_Состав!$B$2:$B$80=A5)*ISNUMBER(03_Состав!$I$2:$I$80))</f>
        <v>1</v>
      </c>
      <c r="G5" s="5" t="n">
        <f aca="false">IF(F5&gt;0,ROUND(SUMIF(03_Состав!$B$2:$B$80,A5,03_Состав!$I$2:$I$80),2),"")</f>
        <v>24893</v>
      </c>
      <c r="H5" s="5" t="n">
        <f aca="false">SUMPRODUCT((04_Комплектность!$B$2:$B$178=A5)*(((04_Комплектность!$D$2:$D$178&lt;&gt;"CLOSED")+(04_Комплектность!$E$2:$E$178="")+(04_Комплектность!$G$2:$G$178=""))&gt;0))</f>
        <v>4</v>
      </c>
      <c r="I5" s="5" t="n">
        <f aca="false">COUNTIFS(03_Состав!$B$2:$B$80,A5,03_Состав!$K$2:$K$80,"BLOCK")</f>
        <v>0</v>
      </c>
      <c r="J5" s="9" t="s">
        <v>1050</v>
      </c>
      <c r="K5" s="9" t="s">
        <v>1051</v>
      </c>
      <c r="L5" s="5" t="str">
        <f aca="false">IF(AND(E5&gt;0,E5=F5,H5=0,I5=0,J5="PASS",K5="CONFIRMED_FULL"),G5,"")</f>
        <v/>
      </c>
      <c r="M5" s="9"/>
      <c r="N5" s="9"/>
      <c r="O5" s="9"/>
      <c r="P5" s="9"/>
      <c r="Q5" s="9"/>
      <c r="R5" s="9"/>
      <c r="S5" s="5" t="str">
        <f aca="false">IF(AND(ISNUMBER(L5),COUNT(M5:R5)=6),ROUND(SUM(L5:R5),2),"")</f>
        <v/>
      </c>
      <c r="T5" s="5" t="str">
        <f aca="false">IF(AND(V5="CONFIRMED_ALL_DOCUMENTS",COUNTIF(06_НДС!$B$2:$B$1000,A5)&gt;0,COUNTIFS(06_НДС!$B$2:$B$1000,A5,06_НДС!$S$2:$S$1000,"&lt;&gt;CALCULATED_WITH_INPUTS")=0),ROUND(SUMIF(06_НДС!$B$2:$B$1000,A5,06_НДС!$M$2:$M$1000),2),"")</f>
        <v/>
      </c>
      <c r="U5" s="5" t="str">
        <f aca="false">IF(AND(ISNUMBER(S5),ISNUMBER(T5)),ROUND(S5+T5,2),"")</f>
        <v/>
      </c>
      <c r="V5" s="9" t="s">
        <v>804</v>
      </c>
      <c r="W5" s="9" t="s">
        <v>1052</v>
      </c>
      <c r="X5" s="9" t="s">
        <v>53</v>
      </c>
      <c r="Y5" s="5" t="str">
        <f aca="false">IF(ISNUMBER(U5),"CALCULATED_FOR_REVIEW","DRAFT_OPEN")</f>
        <v>DRAFT_OPEN</v>
      </c>
    </row>
    <row r="6" customFormat="false" ht="66" hidden="false" customHeight="true" outlineLevel="0" collapsed="false">
      <c r="A6" s="2" t="s">
        <v>691</v>
      </c>
      <c r="B6" s="2" t="s">
        <v>46</v>
      </c>
      <c r="C6" s="2" t="s">
        <v>663</v>
      </c>
      <c r="D6" s="2" t="s">
        <v>50</v>
      </c>
      <c r="E6" s="5" t="n">
        <f aca="false">COUNTIF(03_Состав!$B$2:$B$80,A6)</f>
        <v>1</v>
      </c>
      <c r="F6" s="5" t="n">
        <f aca="false">SUMPRODUCT((03_Состав!$B$2:$B$80=A6)*ISNUMBER(03_Состав!$I$2:$I$80))</f>
        <v>1</v>
      </c>
      <c r="G6" s="5" t="n">
        <f aca="false">IF(F6&gt;0,ROUND(SUMIF(03_Состав!$B$2:$B$80,A6,03_Состав!$I$2:$I$80),2),"")</f>
        <v>34902.44</v>
      </c>
      <c r="H6" s="5" t="n">
        <f aca="false">SUMPRODUCT((04_Комплектность!$B$2:$B$178=A6)*(((04_Комплектность!$D$2:$D$178&lt;&gt;"CLOSED")+(04_Комплектность!$E$2:$E$178="")+(04_Комплектность!$G$2:$G$178=""))&gt;0))</f>
        <v>4</v>
      </c>
      <c r="I6" s="5" t="n">
        <f aca="false">COUNTIFS(03_Состав!$B$2:$B$80,A6,03_Состав!$K$2:$K$80,"BLOCK")</f>
        <v>0</v>
      </c>
      <c r="J6" s="9" t="s">
        <v>1050</v>
      </c>
      <c r="K6" s="9" t="s">
        <v>1051</v>
      </c>
      <c r="L6" s="5" t="str">
        <f aca="false">IF(AND(E6&gt;0,E6=F6,H6=0,I6=0,J6="PASS",K6="CONFIRMED_FULL"),G6,"")</f>
        <v/>
      </c>
      <c r="M6" s="9"/>
      <c r="N6" s="9"/>
      <c r="O6" s="9"/>
      <c r="P6" s="9"/>
      <c r="Q6" s="9"/>
      <c r="R6" s="9"/>
      <c r="S6" s="5" t="str">
        <f aca="false">IF(AND(ISNUMBER(L6),COUNT(M6:R6)=6),ROUND(SUM(L6:R6),2),"")</f>
        <v/>
      </c>
      <c r="T6" s="5" t="str">
        <f aca="false">IF(AND(V6="CONFIRMED_ALL_DOCUMENTS",COUNTIF(06_НДС!$B$2:$B$1000,A6)&gt;0,COUNTIFS(06_НДС!$B$2:$B$1000,A6,06_НДС!$S$2:$S$1000,"&lt;&gt;CALCULATED_WITH_INPUTS")=0),ROUND(SUMIF(06_НДС!$B$2:$B$1000,A6,06_НДС!$M$2:$M$1000),2),"")</f>
        <v/>
      </c>
      <c r="U6" s="5" t="str">
        <f aca="false">IF(AND(ISNUMBER(S6),ISNUMBER(T6)),ROUND(S6+T6,2),"")</f>
        <v/>
      </c>
      <c r="V6" s="9" t="s">
        <v>804</v>
      </c>
      <c r="W6" s="9" t="s">
        <v>1052</v>
      </c>
      <c r="X6" s="9" t="s">
        <v>53</v>
      </c>
      <c r="Y6" s="5" t="str">
        <f aca="false">IF(ISNUMBER(U6),"CALCULATED_FOR_REVIEW","DRAFT_OPEN")</f>
        <v>DRAFT_OPEN</v>
      </c>
    </row>
    <row r="7" customFormat="false" ht="66" hidden="false" customHeight="true" outlineLevel="0" collapsed="false">
      <c r="A7" s="3" t="s">
        <v>693</v>
      </c>
      <c r="B7" s="3" t="s">
        <v>46</v>
      </c>
      <c r="C7" s="3" t="s">
        <v>210</v>
      </c>
      <c r="D7" s="3" t="s">
        <v>50</v>
      </c>
      <c r="E7" s="5" t="n">
        <f aca="false">COUNTIF(03_Состав!$B$2:$B$80,A7)</f>
        <v>1</v>
      </c>
      <c r="F7" s="5" t="n">
        <f aca="false">SUMPRODUCT((03_Состав!$B$2:$B$80=A7)*ISNUMBER(03_Состав!$I$2:$I$80))</f>
        <v>1</v>
      </c>
      <c r="G7" s="5" t="n">
        <f aca="false">IF(F7&gt;0,ROUND(SUMIF(03_Состав!$B$2:$B$80,A7,03_Состав!$I$2:$I$80),2),"")</f>
        <v>35858.24</v>
      </c>
      <c r="H7" s="5" t="n">
        <f aca="false">SUMPRODUCT((04_Комплектность!$B$2:$B$178=A7)*(((04_Комплектность!$D$2:$D$178&lt;&gt;"CLOSED")+(04_Комплектность!$E$2:$E$178="")+(04_Комплектность!$G$2:$G$178=""))&gt;0))</f>
        <v>4</v>
      </c>
      <c r="I7" s="5" t="n">
        <f aca="false">COUNTIFS(03_Состав!$B$2:$B$80,A7,03_Состав!$K$2:$K$80,"BLOCK")</f>
        <v>0</v>
      </c>
      <c r="J7" s="9" t="s">
        <v>1050</v>
      </c>
      <c r="K7" s="9" t="s">
        <v>1051</v>
      </c>
      <c r="L7" s="5" t="str">
        <f aca="false">IF(AND(E7&gt;0,E7=F7,H7=0,I7=0,J7="PASS",K7="CONFIRMED_FULL"),G7,"")</f>
        <v/>
      </c>
      <c r="M7" s="9"/>
      <c r="N7" s="9"/>
      <c r="O7" s="9"/>
      <c r="P7" s="9"/>
      <c r="Q7" s="9"/>
      <c r="R7" s="9"/>
      <c r="S7" s="5" t="str">
        <f aca="false">IF(AND(ISNUMBER(L7),COUNT(M7:R7)=6),ROUND(SUM(L7:R7),2),"")</f>
        <v/>
      </c>
      <c r="T7" s="5" t="str">
        <f aca="false">IF(AND(V7="CONFIRMED_ALL_DOCUMENTS",COUNTIF(06_НДС!$B$2:$B$1000,A7)&gt;0,COUNTIFS(06_НДС!$B$2:$B$1000,A7,06_НДС!$S$2:$S$1000,"&lt;&gt;CALCULATED_WITH_INPUTS")=0),ROUND(SUMIF(06_НДС!$B$2:$B$1000,A7,06_НДС!$M$2:$M$1000),2),"")</f>
        <v/>
      </c>
      <c r="U7" s="5" t="str">
        <f aca="false">IF(AND(ISNUMBER(S7),ISNUMBER(T7)),ROUND(S7+T7,2),"")</f>
        <v/>
      </c>
      <c r="V7" s="9" t="s">
        <v>804</v>
      </c>
      <c r="W7" s="9" t="s">
        <v>1052</v>
      </c>
      <c r="X7" s="9" t="s">
        <v>53</v>
      </c>
      <c r="Y7" s="5" t="str">
        <f aca="false">IF(ISNUMBER(U7),"CALCULATED_FOR_REVIEW","DRAFT_OPEN")</f>
        <v>DRAFT_OPEN</v>
      </c>
    </row>
    <row r="8" customFormat="false" ht="66" hidden="false" customHeight="true" outlineLevel="0" collapsed="false">
      <c r="A8" s="2" t="s">
        <v>695</v>
      </c>
      <c r="B8" s="2" t="s">
        <v>54</v>
      </c>
      <c r="C8" s="2" t="s">
        <v>1053</v>
      </c>
      <c r="D8" s="2" t="s">
        <v>58</v>
      </c>
      <c r="E8" s="5" t="n">
        <f aca="false">COUNTIF(03_Состав!$B$2:$B$80,A8)</f>
        <v>2</v>
      </c>
      <c r="F8" s="5" t="n">
        <f aca="false">SUMPRODUCT((03_Состав!$B$2:$B$80=A8)*ISNUMBER(03_Состав!$I$2:$I$80))</f>
        <v>1</v>
      </c>
      <c r="G8" s="5" t="n">
        <f aca="false">IF(F8&gt;0,ROUND(SUMIF(03_Состав!$B$2:$B$80,A8,03_Состав!$I$2:$I$80),2),"")</f>
        <v>1478.9</v>
      </c>
      <c r="H8" s="5" t="n">
        <f aca="false">SUMPRODUCT((04_Комплектность!$B$2:$B$178=A8)*(((04_Комплектность!$D$2:$D$178&lt;&gt;"CLOSED")+(04_Комплектность!$E$2:$E$178="")+(04_Комплектность!$G$2:$G$178=""))&gt;0))</f>
        <v>5</v>
      </c>
      <c r="I8" s="5" t="n">
        <f aca="false">COUNTIFS(03_Состав!$B$2:$B$80,A8,03_Состав!$K$2:$K$80,"BLOCK")</f>
        <v>1</v>
      </c>
      <c r="J8" s="9" t="s">
        <v>1050</v>
      </c>
      <c r="K8" s="9" t="s">
        <v>1051</v>
      </c>
      <c r="L8" s="5" t="str">
        <f aca="false">IF(AND(E8&gt;0,E8=F8,H8=0,I8=0,J8="PASS",K8="CONFIRMED_FULL"),G8,"")</f>
        <v/>
      </c>
      <c r="M8" s="9"/>
      <c r="N8" s="9"/>
      <c r="O8" s="9"/>
      <c r="P8" s="9"/>
      <c r="Q8" s="9"/>
      <c r="R8" s="9"/>
      <c r="S8" s="5" t="str">
        <f aca="false">IF(AND(ISNUMBER(L8),COUNT(M8:R8)=6),ROUND(SUM(L8:R8),2),"")</f>
        <v/>
      </c>
      <c r="T8" s="5" t="str">
        <f aca="false">IF(AND(V8="CONFIRMED_ALL_DOCUMENTS",COUNTIF(06_НДС!$B$2:$B$1000,A8)&gt;0,COUNTIFS(06_НДС!$B$2:$B$1000,A8,06_НДС!$S$2:$S$1000,"&lt;&gt;CALCULATED_WITH_INPUTS")=0),ROUND(SUMIF(06_НДС!$B$2:$B$1000,A8,06_НДС!$M$2:$M$1000),2),"")</f>
        <v/>
      </c>
      <c r="U8" s="5" t="str">
        <f aca="false">IF(AND(ISNUMBER(S8),ISNUMBER(T8)),ROUND(S8+T8,2),"")</f>
        <v/>
      </c>
      <c r="V8" s="9" t="s">
        <v>804</v>
      </c>
      <c r="W8" s="9" t="s">
        <v>1052</v>
      </c>
      <c r="X8" s="9" t="s">
        <v>61</v>
      </c>
      <c r="Y8" s="5" t="str">
        <f aca="false">IF(ISNUMBER(U8),"CALCULATED_FOR_REVIEW","DRAFT_OPEN")</f>
        <v>DRAFT_OPEN</v>
      </c>
    </row>
    <row r="9" customFormat="false" ht="66" hidden="false" customHeight="true" outlineLevel="0" collapsed="false">
      <c r="A9" s="3" t="s">
        <v>698</v>
      </c>
      <c r="B9" s="3" t="s">
        <v>54</v>
      </c>
      <c r="C9" s="3" t="s">
        <v>1054</v>
      </c>
      <c r="D9" s="3" t="s">
        <v>58</v>
      </c>
      <c r="E9" s="5" t="n">
        <f aca="false">COUNTIF(03_Состав!$B$2:$B$80,A9)</f>
        <v>2</v>
      </c>
      <c r="F9" s="5" t="n">
        <f aca="false">SUMPRODUCT((03_Состав!$B$2:$B$80=A9)*ISNUMBER(03_Состав!$I$2:$I$80))</f>
        <v>1</v>
      </c>
      <c r="G9" s="5" t="n">
        <f aca="false">IF(F9&gt;0,ROUND(SUMIF(03_Состав!$B$2:$B$80,A9,03_Состав!$I$2:$I$80),2),"")</f>
        <v>1680.58</v>
      </c>
      <c r="H9" s="5" t="n">
        <f aca="false">SUMPRODUCT((04_Комплектность!$B$2:$B$178=A9)*(((04_Комплектность!$D$2:$D$178&lt;&gt;"CLOSED")+(04_Комплектность!$E$2:$E$178="")+(04_Комплектность!$G$2:$G$178=""))&gt;0))</f>
        <v>5</v>
      </c>
      <c r="I9" s="5" t="n">
        <f aca="false">COUNTIFS(03_Состав!$B$2:$B$80,A9,03_Состав!$K$2:$K$80,"BLOCK")</f>
        <v>1</v>
      </c>
      <c r="J9" s="9" t="s">
        <v>1050</v>
      </c>
      <c r="K9" s="9" t="s">
        <v>1051</v>
      </c>
      <c r="L9" s="5" t="str">
        <f aca="false">IF(AND(E9&gt;0,E9=F9,H9=0,I9=0,J9="PASS",K9="CONFIRMED_FULL"),G9,"")</f>
        <v/>
      </c>
      <c r="M9" s="9"/>
      <c r="N9" s="9"/>
      <c r="O9" s="9"/>
      <c r="P9" s="9"/>
      <c r="Q9" s="9"/>
      <c r="R9" s="9"/>
      <c r="S9" s="5" t="str">
        <f aca="false">IF(AND(ISNUMBER(L9),COUNT(M9:R9)=6),ROUND(SUM(L9:R9),2),"")</f>
        <v/>
      </c>
      <c r="T9" s="5" t="str">
        <f aca="false">IF(AND(V9="CONFIRMED_ALL_DOCUMENTS",COUNTIF(06_НДС!$B$2:$B$1000,A9)&gt;0,COUNTIFS(06_НДС!$B$2:$B$1000,A9,06_НДС!$S$2:$S$1000,"&lt;&gt;CALCULATED_WITH_INPUTS")=0),ROUND(SUMIF(06_НДС!$B$2:$B$1000,A9,06_НДС!$M$2:$M$1000),2),"")</f>
        <v/>
      </c>
      <c r="U9" s="5" t="str">
        <f aca="false">IF(AND(ISNUMBER(S9),ISNUMBER(T9)),ROUND(S9+T9,2),"")</f>
        <v/>
      </c>
      <c r="V9" s="9" t="s">
        <v>804</v>
      </c>
      <c r="W9" s="9" t="s">
        <v>1052</v>
      </c>
      <c r="X9" s="9" t="s">
        <v>61</v>
      </c>
      <c r="Y9" s="5" t="str">
        <f aca="false">IF(ISNUMBER(U9),"CALCULATED_FOR_REVIEW","DRAFT_OPEN")</f>
        <v>DRAFT_OPEN</v>
      </c>
    </row>
    <row r="10" customFormat="false" ht="66" hidden="false" customHeight="true" outlineLevel="0" collapsed="false">
      <c r="A10" s="2" t="s">
        <v>701</v>
      </c>
      <c r="B10" s="2" t="s">
        <v>54</v>
      </c>
      <c r="C10" s="2" t="s">
        <v>1055</v>
      </c>
      <c r="D10" s="2" t="s">
        <v>58</v>
      </c>
      <c r="E10" s="5" t="n">
        <f aca="false">COUNTIF(03_Состав!$B$2:$B$80,A10)</f>
        <v>2</v>
      </c>
      <c r="F10" s="5" t="n">
        <f aca="false">SUMPRODUCT((03_Состав!$B$2:$B$80=A10)*ISNUMBER(03_Состав!$I$2:$I$80))</f>
        <v>1</v>
      </c>
      <c r="G10" s="5" t="n">
        <f aca="false">IF(F10&gt;0,ROUND(SUMIF(03_Состав!$B$2:$B$80,A10,03_Состав!$I$2:$I$80),2),"")</f>
        <v>2689</v>
      </c>
      <c r="H10" s="5" t="n">
        <f aca="false">SUMPRODUCT((04_Комплектность!$B$2:$B$178=A10)*(((04_Комплектность!$D$2:$D$178&lt;&gt;"CLOSED")+(04_Комплектность!$E$2:$E$178="")+(04_Комплектность!$G$2:$G$178=""))&gt;0))</f>
        <v>5</v>
      </c>
      <c r="I10" s="5" t="n">
        <f aca="false">COUNTIFS(03_Состав!$B$2:$B$80,A10,03_Состав!$K$2:$K$80,"BLOCK")</f>
        <v>1</v>
      </c>
      <c r="J10" s="9" t="s">
        <v>1050</v>
      </c>
      <c r="K10" s="9" t="s">
        <v>1051</v>
      </c>
      <c r="L10" s="5" t="str">
        <f aca="false">IF(AND(E10&gt;0,E10=F10,H10=0,I10=0,J10="PASS",K10="CONFIRMED_FULL"),G10,"")</f>
        <v/>
      </c>
      <c r="M10" s="9"/>
      <c r="N10" s="9"/>
      <c r="O10" s="9"/>
      <c r="P10" s="9"/>
      <c r="Q10" s="9"/>
      <c r="R10" s="9"/>
      <c r="S10" s="5" t="str">
        <f aca="false">IF(AND(ISNUMBER(L10),COUNT(M10:R10)=6),ROUND(SUM(L10:R10),2),"")</f>
        <v/>
      </c>
      <c r="T10" s="5" t="str">
        <f aca="false">IF(AND(V10="CONFIRMED_ALL_DOCUMENTS",COUNTIF(06_НДС!$B$2:$B$1000,A10)&gt;0,COUNTIFS(06_НДС!$B$2:$B$1000,A10,06_НДС!$S$2:$S$1000,"&lt;&gt;CALCULATED_WITH_INPUTS")=0),ROUND(SUMIF(06_НДС!$B$2:$B$1000,A10,06_НДС!$M$2:$M$1000),2),"")</f>
        <v/>
      </c>
      <c r="U10" s="5" t="str">
        <f aca="false">IF(AND(ISNUMBER(S10),ISNUMBER(T10)),ROUND(S10+T10,2),"")</f>
        <v/>
      </c>
      <c r="V10" s="9" t="s">
        <v>804</v>
      </c>
      <c r="W10" s="9" t="s">
        <v>1052</v>
      </c>
      <c r="X10" s="9" t="s">
        <v>61</v>
      </c>
      <c r="Y10" s="5" t="str">
        <f aca="false">IF(ISNUMBER(U10),"CALCULATED_FOR_REVIEW","DRAFT_OPEN")</f>
        <v>DRAFT_OPEN</v>
      </c>
    </row>
    <row r="11" customFormat="false" ht="66" hidden="false" customHeight="true" outlineLevel="0" collapsed="false">
      <c r="A11" s="3" t="s">
        <v>704</v>
      </c>
      <c r="B11" s="3" t="s">
        <v>62</v>
      </c>
      <c r="C11" s="3" t="s">
        <v>1056</v>
      </c>
      <c r="D11" s="3" t="s">
        <v>66</v>
      </c>
      <c r="E11" s="5" t="n">
        <f aca="false">COUNTIF(03_Состав!$B$2:$B$80,A11)</f>
        <v>4</v>
      </c>
      <c r="F11" s="5" t="n">
        <f aca="false">SUMPRODUCT((03_Состав!$B$2:$B$80=A11)*ISNUMBER(03_Состав!$I$2:$I$80))</f>
        <v>1</v>
      </c>
      <c r="G11" s="5" t="n">
        <f aca="false">IF(F11&gt;0,ROUND(SUMIF(03_Состав!$B$2:$B$80,A11,03_Состав!$I$2:$I$80),2),"")</f>
        <v>841.44</v>
      </c>
      <c r="H11" s="5" t="n">
        <f aca="false">SUMPRODUCT((04_Комплектность!$B$2:$B$178=A11)*(((04_Комплектность!$D$2:$D$178&lt;&gt;"CLOSED")+(04_Комплектность!$E$2:$E$178="")+(04_Комплектность!$G$2:$G$178=""))&gt;0))</f>
        <v>4</v>
      </c>
      <c r="I11" s="5" t="n">
        <f aca="false">COUNTIFS(03_Состав!$B$2:$B$80,A11,03_Состав!$K$2:$K$80,"BLOCK")</f>
        <v>3</v>
      </c>
      <c r="J11" s="9" t="s">
        <v>1050</v>
      </c>
      <c r="K11" s="9" t="s">
        <v>1051</v>
      </c>
      <c r="L11" s="5" t="str">
        <f aca="false">IF(AND(E11&gt;0,E11=F11,H11=0,I11=0,J11="PASS",K11="CONFIRMED_FULL"),G11,"")</f>
        <v/>
      </c>
      <c r="M11" s="9"/>
      <c r="N11" s="9"/>
      <c r="O11" s="9"/>
      <c r="P11" s="9"/>
      <c r="Q11" s="9"/>
      <c r="R11" s="9"/>
      <c r="S11" s="5" t="str">
        <f aca="false">IF(AND(ISNUMBER(L11),COUNT(M11:R11)=6),ROUND(SUM(L11:R11),2),"")</f>
        <v/>
      </c>
      <c r="T11" s="5" t="str">
        <f aca="false">IF(AND(V11="CONFIRMED_ALL_DOCUMENTS",COUNTIF(06_НДС!$B$2:$B$1000,A11)&gt;0,COUNTIFS(06_НДС!$B$2:$B$1000,A11,06_НДС!$S$2:$S$1000,"&lt;&gt;CALCULATED_WITH_INPUTS")=0),ROUND(SUMIF(06_НДС!$B$2:$B$1000,A11,06_НДС!$M$2:$M$1000),2),"")</f>
        <v/>
      </c>
      <c r="U11" s="5" t="str">
        <f aca="false">IF(AND(ISNUMBER(S11),ISNUMBER(T11)),ROUND(S11+T11,2),"")</f>
        <v/>
      </c>
      <c r="V11" s="9" t="s">
        <v>804</v>
      </c>
      <c r="W11" s="9" t="s">
        <v>1052</v>
      </c>
      <c r="X11" s="9" t="s">
        <v>69</v>
      </c>
      <c r="Y11" s="5" t="str">
        <f aca="false">IF(ISNUMBER(U11),"CALCULATED_FOR_REVIEW","DRAFT_OPEN")</f>
        <v>DRAFT_OPEN</v>
      </c>
    </row>
    <row r="12" customFormat="false" ht="66" hidden="false" customHeight="true" outlineLevel="0" collapsed="false">
      <c r="A12" s="2" t="s">
        <v>709</v>
      </c>
      <c r="B12" s="2" t="s">
        <v>62</v>
      </c>
      <c r="C12" s="2" t="s">
        <v>1057</v>
      </c>
      <c r="D12" s="2" t="s">
        <v>66</v>
      </c>
      <c r="E12" s="5" t="n">
        <f aca="false">COUNTIF(03_Состав!$B$2:$B$80,A12)</f>
        <v>4</v>
      </c>
      <c r="F12" s="5" t="n">
        <f aca="false">SUMPRODUCT((03_Состав!$B$2:$B$80=A12)*ISNUMBER(03_Состав!$I$2:$I$80))</f>
        <v>1</v>
      </c>
      <c r="G12" s="5" t="n">
        <f aca="false">IF(F12&gt;0,ROUND(SUMIF(03_Состав!$B$2:$B$80,A12,03_Состав!$I$2:$I$80),2),"")</f>
        <v>1608.42</v>
      </c>
      <c r="H12" s="5" t="n">
        <f aca="false">SUMPRODUCT((04_Комплектность!$B$2:$B$178=A12)*(((04_Комплектность!$D$2:$D$178&lt;&gt;"CLOSED")+(04_Комплектность!$E$2:$E$178="")+(04_Комплектность!$G$2:$G$178=""))&gt;0))</f>
        <v>4</v>
      </c>
      <c r="I12" s="5" t="n">
        <f aca="false">COUNTIFS(03_Состав!$B$2:$B$80,A12,03_Состав!$K$2:$K$80,"BLOCK")</f>
        <v>3</v>
      </c>
      <c r="J12" s="9" t="s">
        <v>1050</v>
      </c>
      <c r="K12" s="9" t="s">
        <v>1051</v>
      </c>
      <c r="L12" s="5" t="str">
        <f aca="false">IF(AND(E12&gt;0,E12=F12,H12=0,I12=0,J12="PASS",K12="CONFIRMED_FULL"),G12,"")</f>
        <v/>
      </c>
      <c r="M12" s="9"/>
      <c r="N12" s="9"/>
      <c r="O12" s="9"/>
      <c r="P12" s="9"/>
      <c r="Q12" s="9"/>
      <c r="R12" s="9"/>
      <c r="S12" s="5" t="str">
        <f aca="false">IF(AND(ISNUMBER(L12),COUNT(M12:R12)=6),ROUND(SUM(L12:R12),2),"")</f>
        <v/>
      </c>
      <c r="T12" s="5" t="str">
        <f aca="false">IF(AND(V12="CONFIRMED_ALL_DOCUMENTS",COUNTIF(06_НДС!$B$2:$B$1000,A12)&gt;0,COUNTIFS(06_НДС!$B$2:$B$1000,A12,06_НДС!$S$2:$S$1000,"&lt;&gt;CALCULATED_WITH_INPUTS")=0),ROUND(SUMIF(06_НДС!$B$2:$B$1000,A12,06_НДС!$M$2:$M$1000),2),"")</f>
        <v/>
      </c>
      <c r="U12" s="5" t="str">
        <f aca="false">IF(AND(ISNUMBER(S12),ISNUMBER(T12)),ROUND(S12+T12,2),"")</f>
        <v/>
      </c>
      <c r="V12" s="9" t="s">
        <v>804</v>
      </c>
      <c r="W12" s="9" t="s">
        <v>1052</v>
      </c>
      <c r="X12" s="9" t="s">
        <v>69</v>
      </c>
      <c r="Y12" s="5" t="str">
        <f aca="false">IF(ISNUMBER(U12),"CALCULATED_FOR_REVIEW","DRAFT_OPEN")</f>
        <v>DRAFT_OPEN</v>
      </c>
    </row>
    <row r="13" customFormat="false" ht="66" hidden="false" customHeight="true" outlineLevel="0" collapsed="false">
      <c r="A13" s="3" t="s">
        <v>714</v>
      </c>
      <c r="B13" s="3" t="s">
        <v>62</v>
      </c>
      <c r="C13" s="3" t="s">
        <v>1058</v>
      </c>
      <c r="D13" s="3" t="s">
        <v>66</v>
      </c>
      <c r="E13" s="5" t="n">
        <f aca="false">COUNTIF(03_Состав!$B$2:$B$80,A13)</f>
        <v>4</v>
      </c>
      <c r="F13" s="5" t="n">
        <f aca="false">SUMPRODUCT((03_Состав!$B$2:$B$80=A13)*ISNUMBER(03_Состав!$I$2:$I$80))</f>
        <v>1</v>
      </c>
      <c r="G13" s="5" t="n">
        <f aca="false">IF(F13&gt;0,ROUND(SUMIF(03_Состав!$B$2:$B$80,A13,03_Состав!$I$2:$I$80),2),"")</f>
        <v>1636.14</v>
      </c>
      <c r="H13" s="5" t="n">
        <f aca="false">SUMPRODUCT((04_Комплектность!$B$2:$B$178=A13)*(((04_Комплектность!$D$2:$D$178&lt;&gt;"CLOSED")+(04_Комплектность!$E$2:$E$178="")+(04_Комплектность!$G$2:$G$178=""))&gt;0))</f>
        <v>4</v>
      </c>
      <c r="I13" s="5" t="n">
        <f aca="false">COUNTIFS(03_Состав!$B$2:$B$80,A13,03_Состав!$K$2:$K$80,"BLOCK")</f>
        <v>3</v>
      </c>
      <c r="J13" s="9" t="s">
        <v>1050</v>
      </c>
      <c r="K13" s="9" t="s">
        <v>1051</v>
      </c>
      <c r="L13" s="5" t="str">
        <f aca="false">IF(AND(E13&gt;0,E13=F13,H13=0,I13=0,J13="PASS",K13="CONFIRMED_FULL"),G13,"")</f>
        <v/>
      </c>
      <c r="M13" s="9"/>
      <c r="N13" s="9"/>
      <c r="O13" s="9"/>
      <c r="P13" s="9"/>
      <c r="Q13" s="9"/>
      <c r="R13" s="9"/>
      <c r="S13" s="5" t="str">
        <f aca="false">IF(AND(ISNUMBER(L13),COUNT(M13:R13)=6),ROUND(SUM(L13:R13),2),"")</f>
        <v/>
      </c>
      <c r="T13" s="5" t="str">
        <f aca="false">IF(AND(V13="CONFIRMED_ALL_DOCUMENTS",COUNTIF(06_НДС!$B$2:$B$1000,A13)&gt;0,COUNTIFS(06_НДС!$B$2:$B$1000,A13,06_НДС!$S$2:$S$1000,"&lt;&gt;CALCULATED_WITH_INPUTS")=0),ROUND(SUMIF(06_НДС!$B$2:$B$1000,A13,06_НДС!$M$2:$M$1000),2),"")</f>
        <v/>
      </c>
      <c r="U13" s="5" t="str">
        <f aca="false">IF(AND(ISNUMBER(S13),ISNUMBER(T13)),ROUND(S13+T13,2),"")</f>
        <v/>
      </c>
      <c r="V13" s="9" t="s">
        <v>804</v>
      </c>
      <c r="W13" s="9" t="s">
        <v>1052</v>
      </c>
      <c r="X13" s="9" t="s">
        <v>69</v>
      </c>
      <c r="Y13" s="5" t="str">
        <f aca="false">IF(ISNUMBER(U13),"CALCULATED_FOR_REVIEW","DRAFT_OPEN")</f>
        <v>DRAFT_OPEN</v>
      </c>
    </row>
    <row r="14" customFormat="false" ht="66" hidden="false" customHeight="true" outlineLevel="0" collapsed="false">
      <c r="A14" s="2" t="s">
        <v>719</v>
      </c>
      <c r="B14" s="2" t="s">
        <v>70</v>
      </c>
      <c r="C14" s="2" t="s">
        <v>1059</v>
      </c>
      <c r="D14" s="2" t="s">
        <v>74</v>
      </c>
      <c r="E14" s="5" t="n">
        <f aca="false">COUNTIF(03_Состав!$B$2:$B$80,A14)</f>
        <v>2</v>
      </c>
      <c r="F14" s="5" t="n">
        <f aca="false">SUMPRODUCT((03_Состав!$B$2:$B$80=A14)*ISNUMBER(03_Состав!$I$2:$I$80))</f>
        <v>1</v>
      </c>
      <c r="G14" s="5" t="n">
        <f aca="false">IF(F14&gt;0,ROUND(SUMIF(03_Состав!$B$2:$B$80,A14,03_Состав!$I$2:$I$80),2),"")</f>
        <v>1024.92</v>
      </c>
      <c r="H14" s="5" t="n">
        <f aca="false">SUMPRODUCT((04_Комплектность!$B$2:$B$178=A14)*(((04_Комплектность!$D$2:$D$178&lt;&gt;"CLOSED")+(04_Комплектность!$E$2:$E$178="")+(04_Комплектность!$G$2:$G$178=""))&gt;0))</f>
        <v>6</v>
      </c>
      <c r="I14" s="5" t="n">
        <f aca="false">COUNTIFS(03_Состав!$B$2:$B$80,A14,03_Состав!$K$2:$K$80,"BLOCK")</f>
        <v>1</v>
      </c>
      <c r="J14" s="9" t="s">
        <v>1050</v>
      </c>
      <c r="K14" s="9" t="s">
        <v>1051</v>
      </c>
      <c r="L14" s="5" t="str">
        <f aca="false">IF(AND(E14&gt;0,E14=F14,H14=0,I14=0,J14="PASS",K14="CONFIRMED_FULL"),G14,"")</f>
        <v/>
      </c>
      <c r="M14" s="9"/>
      <c r="N14" s="9"/>
      <c r="O14" s="9"/>
      <c r="P14" s="9"/>
      <c r="Q14" s="9"/>
      <c r="R14" s="9"/>
      <c r="S14" s="5" t="str">
        <f aca="false">IF(AND(ISNUMBER(L14),COUNT(M14:R14)=6),ROUND(SUM(L14:R14),2),"")</f>
        <v/>
      </c>
      <c r="T14" s="5" t="str">
        <f aca="false">IF(AND(V14="CONFIRMED_ALL_DOCUMENTS",COUNTIF(06_НДС!$B$2:$B$1000,A14)&gt;0,COUNTIFS(06_НДС!$B$2:$B$1000,A14,06_НДС!$S$2:$S$1000,"&lt;&gt;CALCULATED_WITH_INPUTS")=0),ROUND(SUMIF(06_НДС!$B$2:$B$1000,A14,06_НДС!$M$2:$M$1000),2),"")</f>
        <v/>
      </c>
      <c r="U14" s="5" t="str">
        <f aca="false">IF(AND(ISNUMBER(S14),ISNUMBER(T14)),ROUND(S14+T14,2),"")</f>
        <v/>
      </c>
      <c r="V14" s="9" t="s">
        <v>804</v>
      </c>
      <c r="W14" s="9" t="s">
        <v>1052</v>
      </c>
      <c r="X14" s="9" t="s">
        <v>77</v>
      </c>
      <c r="Y14" s="5" t="str">
        <f aca="false">IF(ISNUMBER(U14),"CALCULATED_FOR_REVIEW","DRAFT_OPEN")</f>
        <v>DRAFT_OPEN</v>
      </c>
    </row>
    <row r="15" customFormat="false" ht="66" hidden="false" customHeight="true" outlineLevel="0" collapsed="false">
      <c r="A15" s="3" t="s">
        <v>722</v>
      </c>
      <c r="B15" s="3" t="s">
        <v>70</v>
      </c>
      <c r="C15" s="3" t="s">
        <v>1060</v>
      </c>
      <c r="D15" s="3" t="s">
        <v>74</v>
      </c>
      <c r="E15" s="5" t="n">
        <f aca="false">COUNTIF(03_Состав!$B$2:$B$80,A15)</f>
        <v>2</v>
      </c>
      <c r="F15" s="5" t="n">
        <f aca="false">SUMPRODUCT((03_Состав!$B$2:$B$80=A15)*ISNUMBER(03_Состав!$I$2:$I$80))</f>
        <v>2</v>
      </c>
      <c r="G15" s="5" t="n">
        <f aca="false">IF(F15&gt;0,ROUND(SUMIF(03_Состав!$B$2:$B$80,A15,03_Состав!$I$2:$I$80),2),"")</f>
        <v>2145.75</v>
      </c>
      <c r="H15" s="5" t="n">
        <f aca="false">SUMPRODUCT((04_Комплектность!$B$2:$B$178=A15)*(((04_Комплектность!$D$2:$D$178&lt;&gt;"CLOSED")+(04_Комплектность!$E$2:$E$178="")+(04_Комплектность!$G$2:$G$178=""))&gt;0))</f>
        <v>6</v>
      </c>
      <c r="I15" s="5" t="n">
        <f aca="false">COUNTIFS(03_Состав!$B$2:$B$80,A15,03_Состав!$K$2:$K$80,"BLOCK")</f>
        <v>0</v>
      </c>
      <c r="J15" s="9" t="s">
        <v>1050</v>
      </c>
      <c r="K15" s="9" t="s">
        <v>1051</v>
      </c>
      <c r="L15" s="5" t="str">
        <f aca="false">IF(AND(E15&gt;0,E15=F15,H15=0,I15=0,J15="PASS",K15="CONFIRMED_FULL"),G15,"")</f>
        <v/>
      </c>
      <c r="M15" s="9"/>
      <c r="N15" s="9"/>
      <c r="O15" s="9"/>
      <c r="P15" s="9"/>
      <c r="Q15" s="9"/>
      <c r="R15" s="9"/>
      <c r="S15" s="5" t="str">
        <f aca="false">IF(AND(ISNUMBER(L15),COUNT(M15:R15)=6),ROUND(SUM(L15:R15),2),"")</f>
        <v/>
      </c>
      <c r="T15" s="5" t="str">
        <f aca="false">IF(AND(V15="CONFIRMED_ALL_DOCUMENTS",COUNTIF(06_НДС!$B$2:$B$1000,A15)&gt;0,COUNTIFS(06_НДС!$B$2:$B$1000,A15,06_НДС!$S$2:$S$1000,"&lt;&gt;CALCULATED_WITH_INPUTS")=0),ROUND(SUMIF(06_НДС!$B$2:$B$1000,A15,06_НДС!$M$2:$M$1000),2),"")</f>
        <v/>
      </c>
      <c r="U15" s="5" t="str">
        <f aca="false">IF(AND(ISNUMBER(S15),ISNUMBER(T15)),ROUND(S15+T15,2),"")</f>
        <v/>
      </c>
      <c r="V15" s="9" t="s">
        <v>804</v>
      </c>
      <c r="W15" s="9" t="s">
        <v>1052</v>
      </c>
      <c r="X15" s="9" t="s">
        <v>77</v>
      </c>
      <c r="Y15" s="5" t="str">
        <f aca="false">IF(ISNUMBER(U15),"CALCULATED_FOR_REVIEW","DRAFT_OPEN")</f>
        <v>DRAFT_OPEN</v>
      </c>
    </row>
    <row r="16" customFormat="false" ht="66" hidden="false" customHeight="true" outlineLevel="0" collapsed="false">
      <c r="A16" s="2" t="s">
        <v>725</v>
      </c>
      <c r="B16" s="2" t="s">
        <v>70</v>
      </c>
      <c r="C16" s="2" t="s">
        <v>1061</v>
      </c>
      <c r="D16" s="2" t="s">
        <v>74</v>
      </c>
      <c r="E16" s="5" t="n">
        <f aca="false">COUNTIF(03_Состав!$B$2:$B$80,A16)</f>
        <v>2</v>
      </c>
      <c r="F16" s="5" t="n">
        <f aca="false">SUMPRODUCT((03_Состав!$B$2:$B$80=A16)*ISNUMBER(03_Состав!$I$2:$I$80))</f>
        <v>0</v>
      </c>
      <c r="G16" s="5" t="str">
        <f aca="false">IF(F16&gt;0,ROUND(SUMIF(03_Состав!$B$2:$B$80,A16,03_Состав!$I$2:$I$80),2),"")</f>
        <v/>
      </c>
      <c r="H16" s="5" t="n">
        <f aca="false">SUMPRODUCT((04_Комплектность!$B$2:$B$178=A16)*(((04_Комплектность!$D$2:$D$178&lt;&gt;"CLOSED")+(04_Комплектность!$E$2:$E$178="")+(04_Комплектность!$G$2:$G$178=""))&gt;0))</f>
        <v>6</v>
      </c>
      <c r="I16" s="5" t="n">
        <f aca="false">COUNTIFS(03_Состав!$B$2:$B$80,A16,03_Состав!$K$2:$K$80,"BLOCK")</f>
        <v>2</v>
      </c>
      <c r="J16" s="9" t="s">
        <v>1050</v>
      </c>
      <c r="K16" s="9" t="s">
        <v>1051</v>
      </c>
      <c r="L16" s="5" t="str">
        <f aca="false">IF(AND(E16&gt;0,E16=F16,H16=0,I16=0,J16="PASS",K16="CONFIRMED_FULL"),G16,"")</f>
        <v/>
      </c>
      <c r="M16" s="9"/>
      <c r="N16" s="9"/>
      <c r="O16" s="9"/>
      <c r="P16" s="9"/>
      <c r="Q16" s="9"/>
      <c r="R16" s="9"/>
      <c r="S16" s="5" t="str">
        <f aca="false">IF(AND(ISNUMBER(L16),COUNT(M16:R16)=6),ROUND(SUM(L16:R16),2),"")</f>
        <v/>
      </c>
      <c r="T16" s="5" t="str">
        <f aca="false">IF(AND(V16="CONFIRMED_ALL_DOCUMENTS",COUNTIF(06_НДС!$B$2:$B$1000,A16)&gt;0,COUNTIFS(06_НДС!$B$2:$B$1000,A16,06_НДС!$S$2:$S$1000,"&lt;&gt;CALCULATED_WITH_INPUTS")=0),ROUND(SUMIF(06_НДС!$B$2:$B$1000,A16,06_НДС!$M$2:$M$1000),2),"")</f>
        <v/>
      </c>
      <c r="U16" s="5" t="str">
        <f aca="false">IF(AND(ISNUMBER(S16),ISNUMBER(T16)),ROUND(S16+T16,2),"")</f>
        <v/>
      </c>
      <c r="V16" s="9" t="s">
        <v>804</v>
      </c>
      <c r="W16" s="9" t="s">
        <v>1052</v>
      </c>
      <c r="X16" s="9" t="s">
        <v>77</v>
      </c>
      <c r="Y16" s="5" t="str">
        <f aca="false">IF(ISNUMBER(U16),"CALCULATED_FOR_REVIEW","DRAFT_OPEN")</f>
        <v>DRAFT_OPEN</v>
      </c>
    </row>
    <row r="17" customFormat="false" ht="66" hidden="false" customHeight="true" outlineLevel="0" collapsed="false">
      <c r="A17" s="3" t="s">
        <v>728</v>
      </c>
      <c r="B17" s="3" t="s">
        <v>78</v>
      </c>
      <c r="C17" s="3" t="s">
        <v>365</v>
      </c>
      <c r="D17" s="3" t="s">
        <v>82</v>
      </c>
      <c r="E17" s="5" t="n">
        <f aca="false">COUNTIF(03_Состав!$B$2:$B$80,A17)</f>
        <v>1</v>
      </c>
      <c r="F17" s="5" t="n">
        <f aca="false">SUMPRODUCT((03_Состав!$B$2:$B$80=A17)*ISNUMBER(03_Состав!$I$2:$I$80))</f>
        <v>1</v>
      </c>
      <c r="G17" s="5" t="n">
        <f aca="false">IF(F17&gt;0,ROUND(SUMIF(03_Состав!$B$2:$B$80,A17,03_Состав!$I$2:$I$80),2),"")</f>
        <v>6335.29</v>
      </c>
      <c r="H17" s="5" t="n">
        <f aca="false">SUMPRODUCT((04_Комплектность!$B$2:$B$178=A17)*(((04_Комплектность!$D$2:$D$178&lt;&gt;"CLOSED")+(04_Комплектность!$E$2:$E$178="")+(04_Комплектность!$G$2:$G$178=""))&gt;0))</f>
        <v>5</v>
      </c>
      <c r="I17" s="5" t="n">
        <f aca="false">COUNTIFS(03_Состав!$B$2:$B$80,A17,03_Состав!$K$2:$K$80,"BLOCK")</f>
        <v>0</v>
      </c>
      <c r="J17" s="9" t="s">
        <v>1050</v>
      </c>
      <c r="K17" s="9" t="s">
        <v>1051</v>
      </c>
      <c r="L17" s="5" t="str">
        <f aca="false">IF(AND(E17&gt;0,E17=F17,H17=0,I17=0,J17="PASS",K17="CONFIRMED_FULL"),G17,"")</f>
        <v/>
      </c>
      <c r="M17" s="9"/>
      <c r="N17" s="9"/>
      <c r="O17" s="9"/>
      <c r="P17" s="9"/>
      <c r="Q17" s="9"/>
      <c r="R17" s="9"/>
      <c r="S17" s="5" t="str">
        <f aca="false">IF(AND(ISNUMBER(L17),COUNT(M17:R17)=6),ROUND(SUM(L17:R17),2),"")</f>
        <v/>
      </c>
      <c r="T17" s="5" t="str">
        <f aca="false">IF(AND(V17="CONFIRMED_ALL_DOCUMENTS",COUNTIF(06_НДС!$B$2:$B$1000,A17)&gt;0,COUNTIFS(06_НДС!$B$2:$B$1000,A17,06_НДС!$S$2:$S$1000,"&lt;&gt;CALCULATED_WITH_INPUTS")=0),ROUND(SUMIF(06_НДС!$B$2:$B$1000,A17,06_НДС!$M$2:$M$1000),2),"")</f>
        <v/>
      </c>
      <c r="U17" s="5" t="str">
        <f aca="false">IF(AND(ISNUMBER(S17),ISNUMBER(T17)),ROUND(S17+T17,2),"")</f>
        <v/>
      </c>
      <c r="V17" s="9" t="s">
        <v>804</v>
      </c>
      <c r="W17" s="9" t="s">
        <v>1052</v>
      </c>
      <c r="X17" s="9" t="s">
        <v>85</v>
      </c>
      <c r="Y17" s="5" t="str">
        <f aca="false">IF(ISNUMBER(U17),"CALCULATED_FOR_REVIEW","DRAFT_OPEN")</f>
        <v>DRAFT_OPEN</v>
      </c>
    </row>
    <row r="18" customFormat="false" ht="66" hidden="false" customHeight="true" outlineLevel="0" collapsed="false">
      <c r="A18" s="2" t="s">
        <v>730</v>
      </c>
      <c r="B18" s="2" t="s">
        <v>78</v>
      </c>
      <c r="C18" s="2" t="s">
        <v>373</v>
      </c>
      <c r="D18" s="2" t="s">
        <v>82</v>
      </c>
      <c r="E18" s="5" t="n">
        <f aca="false">COUNTIF(03_Состав!$B$2:$B$80,A18)</f>
        <v>1</v>
      </c>
      <c r="F18" s="5" t="n">
        <f aca="false">SUMPRODUCT((03_Состав!$B$2:$B$80=A18)*ISNUMBER(03_Состав!$I$2:$I$80))</f>
        <v>1</v>
      </c>
      <c r="G18" s="5" t="n">
        <f aca="false">IF(F18&gt;0,ROUND(SUMIF(03_Состав!$B$2:$B$80,A18,03_Состав!$I$2:$I$80),2),"")</f>
        <v>10683.5</v>
      </c>
      <c r="H18" s="5" t="n">
        <f aca="false">SUMPRODUCT((04_Комплектность!$B$2:$B$178=A18)*(((04_Комплектность!$D$2:$D$178&lt;&gt;"CLOSED")+(04_Комплектность!$E$2:$E$178="")+(04_Комплектность!$G$2:$G$178=""))&gt;0))</f>
        <v>5</v>
      </c>
      <c r="I18" s="5" t="n">
        <f aca="false">COUNTIFS(03_Состав!$B$2:$B$80,A18,03_Состав!$K$2:$K$80,"BLOCK")</f>
        <v>1</v>
      </c>
      <c r="J18" s="9" t="s">
        <v>1050</v>
      </c>
      <c r="K18" s="9" t="s">
        <v>1051</v>
      </c>
      <c r="L18" s="5" t="str">
        <f aca="false">IF(AND(E18&gt;0,E18=F18,H18=0,I18=0,J18="PASS",K18="CONFIRMED_FULL"),G18,"")</f>
        <v/>
      </c>
      <c r="M18" s="9"/>
      <c r="N18" s="9"/>
      <c r="O18" s="9"/>
      <c r="P18" s="9"/>
      <c r="Q18" s="9"/>
      <c r="R18" s="9"/>
      <c r="S18" s="5" t="str">
        <f aca="false">IF(AND(ISNUMBER(L18),COUNT(M18:R18)=6),ROUND(SUM(L18:R18),2),"")</f>
        <v/>
      </c>
      <c r="T18" s="5" t="str">
        <f aca="false">IF(AND(V18="CONFIRMED_ALL_DOCUMENTS",COUNTIF(06_НДС!$B$2:$B$1000,A18)&gt;0,COUNTIFS(06_НДС!$B$2:$B$1000,A18,06_НДС!$S$2:$S$1000,"&lt;&gt;CALCULATED_WITH_INPUTS")=0),ROUND(SUMIF(06_НДС!$B$2:$B$1000,A18,06_НДС!$M$2:$M$1000),2),"")</f>
        <v/>
      </c>
      <c r="U18" s="5" t="str">
        <f aca="false">IF(AND(ISNUMBER(S18),ISNUMBER(T18)),ROUND(S18+T18,2),"")</f>
        <v/>
      </c>
      <c r="V18" s="9" t="s">
        <v>804</v>
      </c>
      <c r="W18" s="9" t="s">
        <v>1052</v>
      </c>
      <c r="X18" s="9" t="s">
        <v>85</v>
      </c>
      <c r="Y18" s="5" t="str">
        <f aca="false">IF(ISNUMBER(U18),"CALCULATED_FOR_REVIEW","DRAFT_OPEN")</f>
        <v>DRAFT_OPEN</v>
      </c>
    </row>
    <row r="19" customFormat="false" ht="66" hidden="false" customHeight="true" outlineLevel="0" collapsed="false">
      <c r="A19" s="3" t="s">
        <v>732</v>
      </c>
      <c r="B19" s="3" t="s">
        <v>78</v>
      </c>
      <c r="C19" s="3" t="s">
        <v>383</v>
      </c>
      <c r="D19" s="3" t="s">
        <v>82</v>
      </c>
      <c r="E19" s="5" t="n">
        <f aca="false">COUNTIF(03_Состав!$B$2:$B$80,A19)</f>
        <v>1</v>
      </c>
      <c r="F19" s="5" t="n">
        <f aca="false">SUMPRODUCT((03_Состав!$B$2:$B$80=A19)*ISNUMBER(03_Состав!$I$2:$I$80))</f>
        <v>0</v>
      </c>
      <c r="G19" s="5" t="str">
        <f aca="false">IF(F19&gt;0,ROUND(SUMIF(03_Состав!$B$2:$B$80,A19,03_Состав!$I$2:$I$80),2),"")</f>
        <v/>
      </c>
      <c r="H19" s="5" t="n">
        <f aca="false">SUMPRODUCT((04_Комплектность!$B$2:$B$178=A19)*(((04_Комплектность!$D$2:$D$178&lt;&gt;"CLOSED")+(04_Комплектность!$E$2:$E$178="")+(04_Комплектность!$G$2:$G$178=""))&gt;0))</f>
        <v>5</v>
      </c>
      <c r="I19" s="5" t="n">
        <f aca="false">COUNTIFS(03_Состав!$B$2:$B$80,A19,03_Состав!$K$2:$K$80,"BLOCK")</f>
        <v>1</v>
      </c>
      <c r="J19" s="9" t="s">
        <v>1050</v>
      </c>
      <c r="K19" s="9" t="s">
        <v>1051</v>
      </c>
      <c r="L19" s="5" t="str">
        <f aca="false">IF(AND(E19&gt;0,E19=F19,H19=0,I19=0,J19="PASS",K19="CONFIRMED_FULL"),G19,"")</f>
        <v/>
      </c>
      <c r="M19" s="9"/>
      <c r="N19" s="9"/>
      <c r="O19" s="9"/>
      <c r="P19" s="9"/>
      <c r="Q19" s="9"/>
      <c r="R19" s="9"/>
      <c r="S19" s="5" t="str">
        <f aca="false">IF(AND(ISNUMBER(L19),COUNT(M19:R19)=6),ROUND(SUM(L19:R19),2),"")</f>
        <v/>
      </c>
      <c r="T19" s="5" t="str">
        <f aca="false">IF(AND(V19="CONFIRMED_ALL_DOCUMENTS",COUNTIF(06_НДС!$B$2:$B$1000,A19)&gt;0,COUNTIFS(06_НДС!$B$2:$B$1000,A19,06_НДС!$S$2:$S$1000,"&lt;&gt;CALCULATED_WITH_INPUTS")=0),ROUND(SUMIF(06_НДС!$B$2:$B$1000,A19,06_НДС!$M$2:$M$1000),2),"")</f>
        <v/>
      </c>
      <c r="U19" s="5" t="str">
        <f aca="false">IF(AND(ISNUMBER(S19),ISNUMBER(T19)),ROUND(S19+T19,2),"")</f>
        <v/>
      </c>
      <c r="V19" s="9" t="s">
        <v>804</v>
      </c>
      <c r="W19" s="9" t="s">
        <v>1052</v>
      </c>
      <c r="X19" s="9" t="s">
        <v>85</v>
      </c>
      <c r="Y19" s="5" t="str">
        <f aca="false">IF(ISNUMBER(U19),"CALCULATED_FOR_REVIEW","DRAFT_OPEN")</f>
        <v>DRAFT_OPEN</v>
      </c>
    </row>
    <row r="20" customFormat="false" ht="66" hidden="false" customHeight="true" outlineLevel="0" collapsed="false">
      <c r="A20" s="2" t="s">
        <v>734</v>
      </c>
      <c r="B20" s="2" t="s">
        <v>86</v>
      </c>
      <c r="C20" s="2" t="s">
        <v>456</v>
      </c>
      <c r="D20" s="2" t="s">
        <v>90</v>
      </c>
      <c r="E20" s="5" t="n">
        <f aca="false">COUNTIF(03_Состав!$B$2:$B$80,A20)</f>
        <v>1</v>
      </c>
      <c r="F20" s="5" t="n">
        <f aca="false">SUMPRODUCT((03_Состав!$B$2:$B$80=A20)*ISNUMBER(03_Состав!$I$2:$I$80))</f>
        <v>0</v>
      </c>
      <c r="G20" s="5" t="str">
        <f aca="false">IF(F20&gt;0,ROUND(SUMIF(03_Состав!$B$2:$B$80,A20,03_Состав!$I$2:$I$80),2),"")</f>
        <v/>
      </c>
      <c r="H20" s="5" t="n">
        <f aca="false">SUMPRODUCT((04_Комплектность!$B$2:$B$178=A20)*(((04_Комплектность!$D$2:$D$178&lt;&gt;"CLOSED")+(04_Комплектность!$E$2:$E$178="")+(04_Комплектность!$G$2:$G$178=""))&gt;0))</f>
        <v>5</v>
      </c>
      <c r="I20" s="5" t="n">
        <f aca="false">COUNTIFS(03_Состав!$B$2:$B$80,A20,03_Состав!$K$2:$K$80,"BLOCK")</f>
        <v>1</v>
      </c>
      <c r="J20" s="9" t="s">
        <v>1050</v>
      </c>
      <c r="K20" s="9" t="s">
        <v>1051</v>
      </c>
      <c r="L20" s="5" t="str">
        <f aca="false">IF(AND(E20&gt;0,E20=F20,H20=0,I20=0,J20="PASS",K20="CONFIRMED_FULL"),G20,"")</f>
        <v/>
      </c>
      <c r="M20" s="9"/>
      <c r="N20" s="9"/>
      <c r="O20" s="9"/>
      <c r="P20" s="9"/>
      <c r="Q20" s="9"/>
      <c r="R20" s="9"/>
      <c r="S20" s="5" t="str">
        <f aca="false">IF(AND(ISNUMBER(L20),COUNT(M20:R20)=6),ROUND(SUM(L20:R20),2),"")</f>
        <v/>
      </c>
      <c r="T20" s="5" t="str">
        <f aca="false">IF(AND(V20="CONFIRMED_ALL_DOCUMENTS",COUNTIF(06_НДС!$B$2:$B$1000,A20)&gt;0,COUNTIFS(06_НДС!$B$2:$B$1000,A20,06_НДС!$S$2:$S$1000,"&lt;&gt;CALCULATED_WITH_INPUTS")=0),ROUND(SUMIF(06_НДС!$B$2:$B$1000,A20,06_НДС!$M$2:$M$1000),2),"")</f>
        <v/>
      </c>
      <c r="U20" s="5" t="str">
        <f aca="false">IF(AND(ISNUMBER(S20),ISNUMBER(T20)),ROUND(S20+T20,2),"")</f>
        <v/>
      </c>
      <c r="V20" s="9" t="s">
        <v>804</v>
      </c>
      <c r="W20" s="9" t="s">
        <v>1052</v>
      </c>
      <c r="X20" s="9" t="s">
        <v>93</v>
      </c>
      <c r="Y20" s="5" t="str">
        <f aca="false">IF(ISNUMBER(U20),"CALCULATED_FOR_REVIEW","DRAFT_OPEN")</f>
        <v>DRAFT_OPEN</v>
      </c>
    </row>
    <row r="21" customFormat="false" ht="66" hidden="false" customHeight="true" outlineLevel="0" collapsed="false">
      <c r="A21" s="3" t="s">
        <v>736</v>
      </c>
      <c r="B21" s="3" t="s">
        <v>86</v>
      </c>
      <c r="C21" s="3" t="s">
        <v>462</v>
      </c>
      <c r="D21" s="3" t="s">
        <v>90</v>
      </c>
      <c r="E21" s="5" t="n">
        <f aca="false">COUNTIF(03_Состав!$B$2:$B$80,A21)</f>
        <v>1</v>
      </c>
      <c r="F21" s="5" t="n">
        <f aca="false">SUMPRODUCT((03_Состав!$B$2:$B$80=A21)*ISNUMBER(03_Состав!$I$2:$I$80))</f>
        <v>0</v>
      </c>
      <c r="G21" s="5" t="str">
        <f aca="false">IF(F21&gt;0,ROUND(SUMIF(03_Состав!$B$2:$B$80,A21,03_Состав!$I$2:$I$80),2),"")</f>
        <v/>
      </c>
      <c r="H21" s="5" t="n">
        <f aca="false">SUMPRODUCT((04_Комплектность!$B$2:$B$178=A21)*(((04_Комплектность!$D$2:$D$178&lt;&gt;"CLOSED")+(04_Комплектность!$E$2:$E$178="")+(04_Комплектность!$G$2:$G$178=""))&gt;0))</f>
        <v>5</v>
      </c>
      <c r="I21" s="5" t="n">
        <f aca="false">COUNTIFS(03_Состав!$B$2:$B$80,A21,03_Состав!$K$2:$K$80,"BLOCK")</f>
        <v>1</v>
      </c>
      <c r="J21" s="9" t="s">
        <v>1050</v>
      </c>
      <c r="K21" s="9" t="s">
        <v>1051</v>
      </c>
      <c r="L21" s="5" t="str">
        <f aca="false">IF(AND(E21&gt;0,E21=F21,H21=0,I21=0,J21="PASS",K21="CONFIRMED_FULL"),G21,"")</f>
        <v/>
      </c>
      <c r="M21" s="9"/>
      <c r="N21" s="9"/>
      <c r="O21" s="9"/>
      <c r="P21" s="9"/>
      <c r="Q21" s="9"/>
      <c r="R21" s="9"/>
      <c r="S21" s="5" t="str">
        <f aca="false">IF(AND(ISNUMBER(L21),COUNT(M21:R21)=6),ROUND(SUM(L21:R21),2),"")</f>
        <v/>
      </c>
      <c r="T21" s="5" t="str">
        <f aca="false">IF(AND(V21="CONFIRMED_ALL_DOCUMENTS",COUNTIF(06_НДС!$B$2:$B$1000,A21)&gt;0,COUNTIFS(06_НДС!$B$2:$B$1000,A21,06_НДС!$S$2:$S$1000,"&lt;&gt;CALCULATED_WITH_INPUTS")=0),ROUND(SUMIF(06_НДС!$B$2:$B$1000,A21,06_НДС!$M$2:$M$1000),2),"")</f>
        <v/>
      </c>
      <c r="U21" s="5" t="str">
        <f aca="false">IF(AND(ISNUMBER(S21),ISNUMBER(T21)),ROUND(S21+T21,2),"")</f>
        <v/>
      </c>
      <c r="V21" s="9" t="s">
        <v>804</v>
      </c>
      <c r="W21" s="9" t="s">
        <v>1052</v>
      </c>
      <c r="X21" s="9" t="s">
        <v>93</v>
      </c>
      <c r="Y21" s="5" t="str">
        <f aca="false">IF(ISNUMBER(U21),"CALCULATED_FOR_REVIEW","DRAFT_OPEN")</f>
        <v>DRAFT_OPEN</v>
      </c>
    </row>
    <row r="22" customFormat="false" ht="66" hidden="false" customHeight="true" outlineLevel="0" collapsed="false">
      <c r="A22" s="2" t="s">
        <v>738</v>
      </c>
      <c r="B22" s="2" t="s">
        <v>86</v>
      </c>
      <c r="C22" s="2" t="s">
        <v>466</v>
      </c>
      <c r="D22" s="2" t="s">
        <v>90</v>
      </c>
      <c r="E22" s="5" t="n">
        <f aca="false">COUNTIF(03_Состав!$B$2:$B$80,A22)</f>
        <v>1</v>
      </c>
      <c r="F22" s="5" t="n">
        <f aca="false">SUMPRODUCT((03_Состав!$B$2:$B$80=A22)*ISNUMBER(03_Состав!$I$2:$I$80))</f>
        <v>0</v>
      </c>
      <c r="G22" s="5" t="str">
        <f aca="false">IF(F22&gt;0,ROUND(SUMIF(03_Состав!$B$2:$B$80,A22,03_Состав!$I$2:$I$80),2),"")</f>
        <v/>
      </c>
      <c r="H22" s="5" t="n">
        <f aca="false">SUMPRODUCT((04_Комплектность!$B$2:$B$178=A22)*(((04_Комплектность!$D$2:$D$178&lt;&gt;"CLOSED")+(04_Комплектность!$E$2:$E$178="")+(04_Комплектность!$G$2:$G$178=""))&gt;0))</f>
        <v>5</v>
      </c>
      <c r="I22" s="5" t="n">
        <f aca="false">COUNTIFS(03_Состав!$B$2:$B$80,A22,03_Состав!$K$2:$K$80,"BLOCK")</f>
        <v>1</v>
      </c>
      <c r="J22" s="9" t="s">
        <v>1050</v>
      </c>
      <c r="K22" s="9" t="s">
        <v>1051</v>
      </c>
      <c r="L22" s="5" t="str">
        <f aca="false">IF(AND(E22&gt;0,E22=F22,H22=0,I22=0,J22="PASS",K22="CONFIRMED_FULL"),G22,"")</f>
        <v/>
      </c>
      <c r="M22" s="9"/>
      <c r="N22" s="9"/>
      <c r="O22" s="9"/>
      <c r="P22" s="9"/>
      <c r="Q22" s="9"/>
      <c r="R22" s="9"/>
      <c r="S22" s="5" t="str">
        <f aca="false">IF(AND(ISNUMBER(L22),COUNT(M22:R22)=6),ROUND(SUM(L22:R22),2),"")</f>
        <v/>
      </c>
      <c r="T22" s="5" t="str">
        <f aca="false">IF(AND(V22="CONFIRMED_ALL_DOCUMENTS",COUNTIF(06_НДС!$B$2:$B$1000,A22)&gt;0,COUNTIFS(06_НДС!$B$2:$B$1000,A22,06_НДС!$S$2:$S$1000,"&lt;&gt;CALCULATED_WITH_INPUTS")=0),ROUND(SUMIF(06_НДС!$B$2:$B$1000,A22,06_НДС!$M$2:$M$1000),2),"")</f>
        <v/>
      </c>
      <c r="U22" s="5" t="str">
        <f aca="false">IF(AND(ISNUMBER(S22),ISNUMBER(T22)),ROUND(S22+T22,2),"")</f>
        <v/>
      </c>
      <c r="V22" s="9" t="s">
        <v>804</v>
      </c>
      <c r="W22" s="9" t="s">
        <v>1052</v>
      </c>
      <c r="X22" s="9" t="s">
        <v>93</v>
      </c>
      <c r="Y22" s="5" t="str">
        <f aca="false">IF(ISNUMBER(U22),"CALCULATED_FOR_REVIEW","DRAFT_OPEN")</f>
        <v>DRAFT_OPEN</v>
      </c>
    </row>
    <row r="23" customFormat="false" ht="66" hidden="false" customHeight="true" outlineLevel="0" collapsed="false">
      <c r="A23" s="3" t="s">
        <v>740</v>
      </c>
      <c r="B23" s="3" t="s">
        <v>94</v>
      </c>
      <c r="C23" s="3" t="s">
        <v>1062</v>
      </c>
      <c r="D23" s="3" t="s">
        <v>98</v>
      </c>
      <c r="E23" s="5" t="n">
        <f aca="false">COUNTIF(03_Состав!$B$2:$B$80,A23)</f>
        <v>2</v>
      </c>
      <c r="F23" s="5" t="n">
        <f aca="false">SUMPRODUCT((03_Состав!$B$2:$B$80=A23)*ISNUMBER(03_Состав!$I$2:$I$80))</f>
        <v>1</v>
      </c>
      <c r="G23" s="5" t="n">
        <f aca="false">IF(F23&gt;0,ROUND(SUMIF(03_Состав!$B$2:$B$80,A23,03_Состав!$I$2:$I$80),2),"")</f>
        <v>7242</v>
      </c>
      <c r="H23" s="5" t="n">
        <f aca="false">SUMPRODUCT((04_Комплектность!$B$2:$B$178=A23)*(((04_Комплектность!$D$2:$D$178&lt;&gt;"CLOSED")+(04_Комплектность!$E$2:$E$178="")+(04_Комплектность!$G$2:$G$178=""))&gt;0))</f>
        <v>5</v>
      </c>
      <c r="I23" s="5" t="n">
        <f aca="false">COUNTIFS(03_Состав!$B$2:$B$80,A23,03_Состав!$K$2:$K$80,"BLOCK")</f>
        <v>1</v>
      </c>
      <c r="J23" s="9" t="s">
        <v>1050</v>
      </c>
      <c r="K23" s="9" t="s">
        <v>1051</v>
      </c>
      <c r="L23" s="5" t="str">
        <f aca="false">IF(AND(E23&gt;0,E23=F23,H23=0,I23=0,J23="PASS",K23="CONFIRMED_FULL"),G23,"")</f>
        <v/>
      </c>
      <c r="M23" s="9"/>
      <c r="N23" s="9"/>
      <c r="O23" s="9"/>
      <c r="P23" s="9"/>
      <c r="Q23" s="9"/>
      <c r="R23" s="9"/>
      <c r="S23" s="5" t="str">
        <f aca="false">IF(AND(ISNUMBER(L23),COUNT(M23:R23)=6),ROUND(SUM(L23:R23),2),"")</f>
        <v/>
      </c>
      <c r="T23" s="5" t="str">
        <f aca="false">IF(AND(V23="CONFIRMED_ALL_DOCUMENTS",COUNTIF(06_НДС!$B$2:$B$1000,A23)&gt;0,COUNTIFS(06_НДС!$B$2:$B$1000,A23,06_НДС!$S$2:$S$1000,"&lt;&gt;CALCULATED_WITH_INPUTS")=0),ROUND(SUMIF(06_НДС!$B$2:$B$1000,A23,06_НДС!$M$2:$M$1000),2),"")</f>
        <v/>
      </c>
      <c r="U23" s="5" t="str">
        <f aca="false">IF(AND(ISNUMBER(S23),ISNUMBER(T23)),ROUND(S23+T23,2),"")</f>
        <v/>
      </c>
      <c r="V23" s="9" t="s">
        <v>804</v>
      </c>
      <c r="W23" s="9" t="s">
        <v>1052</v>
      </c>
      <c r="X23" s="9" t="s">
        <v>101</v>
      </c>
      <c r="Y23" s="5" t="str">
        <f aca="false">IF(ISNUMBER(U23),"CALCULATED_FOR_REVIEW","DRAFT_OPEN")</f>
        <v>DRAFT_OPEN</v>
      </c>
    </row>
    <row r="24" customFormat="false" ht="66" hidden="false" customHeight="true" outlineLevel="0" collapsed="false">
      <c r="A24" s="2" t="s">
        <v>743</v>
      </c>
      <c r="B24" s="2" t="s">
        <v>94</v>
      </c>
      <c r="C24" s="2" t="s">
        <v>1063</v>
      </c>
      <c r="D24" s="2" t="s">
        <v>98</v>
      </c>
      <c r="E24" s="5" t="n">
        <f aca="false">COUNTIF(03_Состав!$B$2:$B$80,A24)</f>
        <v>2</v>
      </c>
      <c r="F24" s="5" t="n">
        <f aca="false">SUMPRODUCT((03_Состав!$B$2:$B$80=A24)*ISNUMBER(03_Состав!$I$2:$I$80))</f>
        <v>1</v>
      </c>
      <c r="G24" s="5" t="n">
        <f aca="false">IF(F24&gt;0,ROUND(SUMIF(03_Состав!$B$2:$B$80,A24,03_Состав!$I$2:$I$80),2),"")</f>
        <v>8310.6</v>
      </c>
      <c r="H24" s="5" t="n">
        <f aca="false">SUMPRODUCT((04_Комплектность!$B$2:$B$178=A24)*(((04_Комплектность!$D$2:$D$178&lt;&gt;"CLOSED")+(04_Комплектность!$E$2:$E$178="")+(04_Комплектность!$G$2:$G$178=""))&gt;0))</f>
        <v>5</v>
      </c>
      <c r="I24" s="5" t="n">
        <f aca="false">COUNTIFS(03_Состав!$B$2:$B$80,A24,03_Состав!$K$2:$K$80,"BLOCK")</f>
        <v>1</v>
      </c>
      <c r="J24" s="9" t="s">
        <v>1050</v>
      </c>
      <c r="K24" s="9" t="s">
        <v>1051</v>
      </c>
      <c r="L24" s="5" t="str">
        <f aca="false">IF(AND(E24&gt;0,E24=F24,H24=0,I24=0,J24="PASS",K24="CONFIRMED_FULL"),G24,"")</f>
        <v/>
      </c>
      <c r="M24" s="9"/>
      <c r="N24" s="9"/>
      <c r="O24" s="9"/>
      <c r="P24" s="9"/>
      <c r="Q24" s="9"/>
      <c r="R24" s="9"/>
      <c r="S24" s="5" t="str">
        <f aca="false">IF(AND(ISNUMBER(L24),COUNT(M24:R24)=6),ROUND(SUM(L24:R24),2),"")</f>
        <v/>
      </c>
      <c r="T24" s="5" t="str">
        <f aca="false">IF(AND(V24="CONFIRMED_ALL_DOCUMENTS",COUNTIF(06_НДС!$B$2:$B$1000,A24)&gt;0,COUNTIFS(06_НДС!$B$2:$B$1000,A24,06_НДС!$S$2:$S$1000,"&lt;&gt;CALCULATED_WITH_INPUTS")=0),ROUND(SUMIF(06_НДС!$B$2:$B$1000,A24,06_НДС!$M$2:$M$1000),2),"")</f>
        <v/>
      </c>
      <c r="U24" s="5" t="str">
        <f aca="false">IF(AND(ISNUMBER(S24),ISNUMBER(T24)),ROUND(S24+T24,2),"")</f>
        <v/>
      </c>
      <c r="V24" s="9" t="s">
        <v>804</v>
      </c>
      <c r="W24" s="9" t="s">
        <v>1052</v>
      </c>
      <c r="X24" s="9" t="s">
        <v>101</v>
      </c>
      <c r="Y24" s="5" t="str">
        <f aca="false">IF(ISNUMBER(U24),"CALCULATED_FOR_REVIEW","DRAFT_OPEN")</f>
        <v>DRAFT_OPEN</v>
      </c>
    </row>
    <row r="25" customFormat="false" ht="66" hidden="false" customHeight="true" outlineLevel="0" collapsed="false">
      <c r="A25" s="3" t="s">
        <v>746</v>
      </c>
      <c r="B25" s="3" t="s">
        <v>94</v>
      </c>
      <c r="C25" s="3" t="s">
        <v>1064</v>
      </c>
      <c r="D25" s="3" t="s">
        <v>98</v>
      </c>
      <c r="E25" s="5" t="n">
        <f aca="false">COUNTIF(03_Состав!$B$2:$B$80,A25)</f>
        <v>2</v>
      </c>
      <c r="F25" s="5" t="n">
        <f aca="false">SUMPRODUCT((03_Состав!$B$2:$B$80=A25)*ISNUMBER(03_Состав!$I$2:$I$80))</f>
        <v>0</v>
      </c>
      <c r="G25" s="5" t="str">
        <f aca="false">IF(F25&gt;0,ROUND(SUMIF(03_Состав!$B$2:$B$80,A25,03_Состав!$I$2:$I$80),2),"")</f>
        <v/>
      </c>
      <c r="H25" s="5" t="n">
        <f aca="false">SUMPRODUCT((04_Комплектность!$B$2:$B$178=A25)*(((04_Комплектность!$D$2:$D$178&lt;&gt;"CLOSED")+(04_Комплектность!$E$2:$E$178="")+(04_Комплектность!$G$2:$G$178=""))&gt;0))</f>
        <v>5</v>
      </c>
      <c r="I25" s="5" t="n">
        <f aca="false">COUNTIFS(03_Состав!$B$2:$B$80,A25,03_Состав!$K$2:$K$80,"BLOCK")</f>
        <v>2</v>
      </c>
      <c r="J25" s="9" t="s">
        <v>1050</v>
      </c>
      <c r="K25" s="9" t="s">
        <v>1051</v>
      </c>
      <c r="L25" s="5" t="str">
        <f aca="false">IF(AND(E25&gt;0,E25=F25,H25=0,I25=0,J25="PASS",K25="CONFIRMED_FULL"),G25,"")</f>
        <v/>
      </c>
      <c r="M25" s="9"/>
      <c r="N25" s="9"/>
      <c r="O25" s="9"/>
      <c r="P25" s="9"/>
      <c r="Q25" s="9"/>
      <c r="R25" s="9"/>
      <c r="S25" s="5" t="str">
        <f aca="false">IF(AND(ISNUMBER(L25),COUNT(M25:R25)=6),ROUND(SUM(L25:R25),2),"")</f>
        <v/>
      </c>
      <c r="T25" s="5" t="str">
        <f aca="false">IF(AND(V25="CONFIRMED_ALL_DOCUMENTS",COUNTIF(06_НДС!$B$2:$B$1000,A25)&gt;0,COUNTIFS(06_НДС!$B$2:$B$1000,A25,06_НДС!$S$2:$S$1000,"&lt;&gt;CALCULATED_WITH_INPUTS")=0),ROUND(SUMIF(06_НДС!$B$2:$B$1000,A25,06_НДС!$M$2:$M$1000),2),"")</f>
        <v/>
      </c>
      <c r="U25" s="5" t="str">
        <f aca="false">IF(AND(ISNUMBER(S25),ISNUMBER(T25)),ROUND(S25+T25,2),"")</f>
        <v/>
      </c>
      <c r="V25" s="9" t="s">
        <v>804</v>
      </c>
      <c r="W25" s="9" t="s">
        <v>1052</v>
      </c>
      <c r="X25" s="9" t="s">
        <v>101</v>
      </c>
      <c r="Y25" s="5" t="str">
        <f aca="false">IF(ISNUMBER(U25),"CALCULATED_FOR_REVIEW","DRAFT_OPEN")</f>
        <v>DRAFT_OPEN</v>
      </c>
    </row>
    <row r="26" customFormat="false" ht="66" hidden="false" customHeight="true" outlineLevel="0" collapsed="false">
      <c r="A26" s="2" t="s">
        <v>749</v>
      </c>
      <c r="B26" s="2" t="s">
        <v>102</v>
      </c>
      <c r="C26" s="2" t="s">
        <v>1065</v>
      </c>
      <c r="D26" s="2" t="s">
        <v>106</v>
      </c>
      <c r="E26" s="5" t="n">
        <f aca="false">COUNTIF(03_Состав!$B$2:$B$80,A26)</f>
        <v>4</v>
      </c>
      <c r="F26" s="5" t="n">
        <f aca="false">SUMPRODUCT((03_Состав!$B$2:$B$80=A26)*ISNUMBER(03_Состав!$I$2:$I$80))</f>
        <v>0</v>
      </c>
      <c r="G26" s="5" t="str">
        <f aca="false">IF(F26&gt;0,ROUND(SUMIF(03_Состав!$B$2:$B$80,A26,03_Состав!$I$2:$I$80),2),"")</f>
        <v/>
      </c>
      <c r="H26" s="5" t="n">
        <f aca="false">SUMPRODUCT((04_Комплектность!$B$2:$B$178=A26)*(((04_Комплектность!$D$2:$D$178&lt;&gt;"CLOSED")+(04_Комплектность!$E$2:$E$178="")+(04_Комплектность!$G$2:$G$178=""))&gt;0))</f>
        <v>5</v>
      </c>
      <c r="I26" s="5" t="n">
        <f aca="false">COUNTIFS(03_Состав!$B$2:$B$80,A26,03_Состав!$K$2:$K$80,"BLOCK")</f>
        <v>4</v>
      </c>
      <c r="J26" s="9" t="s">
        <v>1050</v>
      </c>
      <c r="K26" s="9" t="s">
        <v>1051</v>
      </c>
      <c r="L26" s="5" t="str">
        <f aca="false">IF(AND(E26&gt;0,E26=F26,H26=0,I26=0,J26="PASS",K26="CONFIRMED_FULL"),G26,"")</f>
        <v/>
      </c>
      <c r="M26" s="9"/>
      <c r="N26" s="9"/>
      <c r="O26" s="9"/>
      <c r="P26" s="9"/>
      <c r="Q26" s="9"/>
      <c r="R26" s="9"/>
      <c r="S26" s="5" t="str">
        <f aca="false">IF(AND(ISNUMBER(L26),COUNT(M26:R26)=6),ROUND(SUM(L26:R26),2),"")</f>
        <v/>
      </c>
      <c r="T26" s="5" t="str">
        <f aca="false">IF(AND(V26="CONFIRMED_ALL_DOCUMENTS",COUNTIF(06_НДС!$B$2:$B$1000,A26)&gt;0,COUNTIFS(06_НДС!$B$2:$B$1000,A26,06_НДС!$S$2:$S$1000,"&lt;&gt;CALCULATED_WITH_INPUTS")=0),ROUND(SUMIF(06_НДС!$B$2:$B$1000,A26,06_НДС!$M$2:$M$1000),2),"")</f>
        <v/>
      </c>
      <c r="U26" s="5" t="str">
        <f aca="false">IF(AND(ISNUMBER(S26),ISNUMBER(T26)),ROUND(S26+T26,2),"")</f>
        <v/>
      </c>
      <c r="V26" s="9" t="s">
        <v>804</v>
      </c>
      <c r="W26" s="9" t="s">
        <v>1052</v>
      </c>
      <c r="X26" s="9" t="s">
        <v>109</v>
      </c>
      <c r="Y26" s="5" t="str">
        <f aca="false">IF(ISNUMBER(U26),"CALCULATED_FOR_REVIEW","DRAFT_OPEN")</f>
        <v>DRAFT_OPEN</v>
      </c>
    </row>
    <row r="27" customFormat="false" ht="66" hidden="false" customHeight="true" outlineLevel="0" collapsed="false">
      <c r="A27" s="3" t="s">
        <v>754</v>
      </c>
      <c r="B27" s="3" t="s">
        <v>102</v>
      </c>
      <c r="C27" s="3" t="s">
        <v>1066</v>
      </c>
      <c r="D27" s="3" t="s">
        <v>106</v>
      </c>
      <c r="E27" s="5" t="n">
        <f aca="false">COUNTIF(03_Состав!$B$2:$B$80,A27)</f>
        <v>4</v>
      </c>
      <c r="F27" s="5" t="n">
        <f aca="false">SUMPRODUCT((03_Состав!$B$2:$B$80=A27)*ISNUMBER(03_Состав!$I$2:$I$80))</f>
        <v>0</v>
      </c>
      <c r="G27" s="5" t="str">
        <f aca="false">IF(F27&gt;0,ROUND(SUMIF(03_Состав!$B$2:$B$80,A27,03_Состав!$I$2:$I$80),2),"")</f>
        <v/>
      </c>
      <c r="H27" s="5" t="n">
        <f aca="false">SUMPRODUCT((04_Комплектность!$B$2:$B$178=A27)*(((04_Комплектность!$D$2:$D$178&lt;&gt;"CLOSED")+(04_Комплектность!$E$2:$E$178="")+(04_Комплектность!$G$2:$G$178=""))&gt;0))</f>
        <v>5</v>
      </c>
      <c r="I27" s="5" t="n">
        <f aca="false">COUNTIFS(03_Состав!$B$2:$B$80,A27,03_Состав!$K$2:$K$80,"BLOCK")</f>
        <v>4</v>
      </c>
      <c r="J27" s="9" t="s">
        <v>1050</v>
      </c>
      <c r="K27" s="9" t="s">
        <v>1051</v>
      </c>
      <c r="L27" s="5" t="str">
        <f aca="false">IF(AND(E27&gt;0,E27=F27,H27=0,I27=0,J27="PASS",K27="CONFIRMED_FULL"),G27,"")</f>
        <v/>
      </c>
      <c r="M27" s="9"/>
      <c r="N27" s="9"/>
      <c r="O27" s="9"/>
      <c r="P27" s="9"/>
      <c r="Q27" s="9"/>
      <c r="R27" s="9"/>
      <c r="S27" s="5" t="str">
        <f aca="false">IF(AND(ISNUMBER(L27),COUNT(M27:R27)=6),ROUND(SUM(L27:R27),2),"")</f>
        <v/>
      </c>
      <c r="T27" s="5" t="str">
        <f aca="false">IF(AND(V27="CONFIRMED_ALL_DOCUMENTS",COUNTIF(06_НДС!$B$2:$B$1000,A27)&gt;0,COUNTIFS(06_НДС!$B$2:$B$1000,A27,06_НДС!$S$2:$S$1000,"&lt;&gt;CALCULATED_WITH_INPUTS")=0),ROUND(SUMIF(06_НДС!$B$2:$B$1000,A27,06_НДС!$M$2:$M$1000),2),"")</f>
        <v/>
      </c>
      <c r="U27" s="5" t="str">
        <f aca="false">IF(AND(ISNUMBER(S27),ISNUMBER(T27)),ROUND(S27+T27,2),"")</f>
        <v/>
      </c>
      <c r="V27" s="9" t="s">
        <v>804</v>
      </c>
      <c r="W27" s="9" t="s">
        <v>1052</v>
      </c>
      <c r="X27" s="9" t="s">
        <v>109</v>
      </c>
      <c r="Y27" s="5" t="str">
        <f aca="false">IF(ISNUMBER(U27),"CALCULATED_FOR_REVIEW","DRAFT_OPEN")</f>
        <v>DRAFT_OPEN</v>
      </c>
    </row>
    <row r="28" customFormat="false" ht="66" hidden="false" customHeight="true" outlineLevel="0" collapsed="false">
      <c r="A28" s="2" t="s">
        <v>759</v>
      </c>
      <c r="B28" s="2" t="s">
        <v>102</v>
      </c>
      <c r="C28" s="2" t="s">
        <v>1066</v>
      </c>
      <c r="D28" s="2" t="s">
        <v>106</v>
      </c>
      <c r="E28" s="5" t="n">
        <f aca="false">COUNTIF(03_Состав!$B$2:$B$80,A28)</f>
        <v>4</v>
      </c>
      <c r="F28" s="5" t="n">
        <f aca="false">SUMPRODUCT((03_Состав!$B$2:$B$80=A28)*ISNUMBER(03_Состав!$I$2:$I$80))</f>
        <v>0</v>
      </c>
      <c r="G28" s="5" t="str">
        <f aca="false">IF(F28&gt;0,ROUND(SUMIF(03_Состав!$B$2:$B$80,A28,03_Состав!$I$2:$I$80),2),"")</f>
        <v/>
      </c>
      <c r="H28" s="5" t="n">
        <f aca="false">SUMPRODUCT((04_Комплектность!$B$2:$B$178=A28)*(((04_Комплектность!$D$2:$D$178&lt;&gt;"CLOSED")+(04_Комплектность!$E$2:$E$178="")+(04_Комплектность!$G$2:$G$178=""))&gt;0))</f>
        <v>5</v>
      </c>
      <c r="I28" s="5" t="n">
        <f aca="false">COUNTIFS(03_Состав!$B$2:$B$80,A28,03_Состав!$K$2:$K$80,"BLOCK")</f>
        <v>4</v>
      </c>
      <c r="J28" s="9" t="s">
        <v>1050</v>
      </c>
      <c r="K28" s="9" t="s">
        <v>1051</v>
      </c>
      <c r="L28" s="5" t="str">
        <f aca="false">IF(AND(E28&gt;0,E28=F28,H28=0,I28=0,J28="PASS",K28="CONFIRMED_FULL"),G28,"")</f>
        <v/>
      </c>
      <c r="M28" s="9"/>
      <c r="N28" s="9"/>
      <c r="O28" s="9"/>
      <c r="P28" s="9"/>
      <c r="Q28" s="9"/>
      <c r="R28" s="9"/>
      <c r="S28" s="5" t="str">
        <f aca="false">IF(AND(ISNUMBER(L28),COUNT(M28:R28)=6),ROUND(SUM(L28:R28),2),"")</f>
        <v/>
      </c>
      <c r="T28" s="5" t="str">
        <f aca="false">IF(AND(V28="CONFIRMED_ALL_DOCUMENTS",COUNTIF(06_НДС!$B$2:$B$1000,A28)&gt;0,COUNTIFS(06_НДС!$B$2:$B$1000,A28,06_НДС!$S$2:$S$1000,"&lt;&gt;CALCULATED_WITH_INPUTS")=0),ROUND(SUMIF(06_НДС!$B$2:$B$1000,A28,06_НДС!$M$2:$M$1000),2),"")</f>
        <v/>
      </c>
      <c r="U28" s="5" t="str">
        <f aca="false">IF(AND(ISNUMBER(S28),ISNUMBER(T28)),ROUND(S28+T28,2),"")</f>
        <v/>
      </c>
      <c r="V28" s="9" t="s">
        <v>804</v>
      </c>
      <c r="W28" s="9" t="s">
        <v>1052</v>
      </c>
      <c r="X28" s="9" t="s">
        <v>109</v>
      </c>
      <c r="Y28" s="5" t="str">
        <f aca="false">IF(ISNUMBER(U28),"CALCULATED_FOR_REVIEW","DRAFT_OPEN")</f>
        <v>DRAFT_OPEN</v>
      </c>
    </row>
    <row r="29" customFormat="false" ht="66" hidden="false" customHeight="true" outlineLevel="0" collapsed="false">
      <c r="A29" s="3" t="s">
        <v>764</v>
      </c>
      <c r="B29" s="3" t="s">
        <v>110</v>
      </c>
      <c r="C29" s="3" t="s">
        <v>1067</v>
      </c>
      <c r="D29" s="3" t="s">
        <v>114</v>
      </c>
      <c r="E29" s="5" t="n">
        <f aca="false">COUNTIF(03_Состав!$B$2:$B$80,A29)</f>
        <v>4</v>
      </c>
      <c r="F29" s="5" t="n">
        <f aca="false">SUMPRODUCT((03_Состав!$B$2:$B$80=A29)*ISNUMBER(03_Состав!$I$2:$I$80))</f>
        <v>0</v>
      </c>
      <c r="G29" s="5" t="str">
        <f aca="false">IF(F29&gt;0,ROUND(SUMIF(03_Состав!$B$2:$B$80,A29,03_Состав!$I$2:$I$80),2),"")</f>
        <v/>
      </c>
      <c r="H29" s="5" t="n">
        <f aca="false">SUMPRODUCT((04_Комплектность!$B$2:$B$178=A29)*(((04_Комплектность!$D$2:$D$178&lt;&gt;"CLOSED")+(04_Комплектность!$E$2:$E$178="")+(04_Комплектность!$G$2:$G$178=""))&gt;0))</f>
        <v>5</v>
      </c>
      <c r="I29" s="5" t="n">
        <f aca="false">COUNTIFS(03_Состав!$B$2:$B$80,A29,03_Состав!$K$2:$K$80,"BLOCK")</f>
        <v>4</v>
      </c>
      <c r="J29" s="9" t="s">
        <v>1050</v>
      </c>
      <c r="K29" s="9" t="s">
        <v>1051</v>
      </c>
      <c r="L29" s="5" t="str">
        <f aca="false">IF(AND(E29&gt;0,E29=F29,H29=0,I29=0,J29="PASS",K29="CONFIRMED_FULL"),G29,"")</f>
        <v/>
      </c>
      <c r="M29" s="9"/>
      <c r="N29" s="9"/>
      <c r="O29" s="9"/>
      <c r="P29" s="9"/>
      <c r="Q29" s="9"/>
      <c r="R29" s="9"/>
      <c r="S29" s="5" t="str">
        <f aca="false">IF(AND(ISNUMBER(L29),COUNT(M29:R29)=6),ROUND(SUM(L29:R29),2),"")</f>
        <v/>
      </c>
      <c r="T29" s="5" t="str">
        <f aca="false">IF(AND(V29="CONFIRMED_ALL_DOCUMENTS",COUNTIF(06_НДС!$B$2:$B$1000,A29)&gt;0,COUNTIFS(06_НДС!$B$2:$B$1000,A29,06_НДС!$S$2:$S$1000,"&lt;&gt;CALCULATED_WITH_INPUTS")=0),ROUND(SUMIF(06_НДС!$B$2:$B$1000,A29,06_НДС!$M$2:$M$1000),2),"")</f>
        <v/>
      </c>
      <c r="U29" s="5" t="str">
        <f aca="false">IF(AND(ISNUMBER(S29),ISNUMBER(T29)),ROUND(S29+T29,2),"")</f>
        <v/>
      </c>
      <c r="V29" s="9" t="s">
        <v>804</v>
      </c>
      <c r="W29" s="9" t="s">
        <v>1052</v>
      </c>
      <c r="X29" s="9" t="s">
        <v>117</v>
      </c>
      <c r="Y29" s="5" t="str">
        <f aca="false">IF(ISNUMBER(U29),"CALCULATED_FOR_REVIEW","DRAFT_OPEN")</f>
        <v>DRAFT_OPEN</v>
      </c>
    </row>
    <row r="30" customFormat="false" ht="66" hidden="false" customHeight="true" outlineLevel="0" collapsed="false">
      <c r="A30" s="2" t="s">
        <v>769</v>
      </c>
      <c r="B30" s="2" t="s">
        <v>110</v>
      </c>
      <c r="C30" s="2" t="s">
        <v>1067</v>
      </c>
      <c r="D30" s="2" t="s">
        <v>114</v>
      </c>
      <c r="E30" s="5" t="n">
        <f aca="false">COUNTIF(03_Состав!$B$2:$B$80,A30)</f>
        <v>4</v>
      </c>
      <c r="F30" s="5" t="n">
        <f aca="false">SUMPRODUCT((03_Состав!$B$2:$B$80=A30)*ISNUMBER(03_Состав!$I$2:$I$80))</f>
        <v>0</v>
      </c>
      <c r="G30" s="5" t="str">
        <f aca="false">IF(F30&gt;0,ROUND(SUMIF(03_Состав!$B$2:$B$80,A30,03_Состав!$I$2:$I$80),2),"")</f>
        <v/>
      </c>
      <c r="H30" s="5" t="n">
        <f aca="false">SUMPRODUCT((04_Комплектность!$B$2:$B$178=A30)*(((04_Комплектность!$D$2:$D$178&lt;&gt;"CLOSED")+(04_Комплектность!$E$2:$E$178="")+(04_Комплектность!$G$2:$G$178=""))&gt;0))</f>
        <v>5</v>
      </c>
      <c r="I30" s="5" t="n">
        <f aca="false">COUNTIFS(03_Состав!$B$2:$B$80,A30,03_Состав!$K$2:$K$80,"BLOCK")</f>
        <v>4</v>
      </c>
      <c r="J30" s="9" t="s">
        <v>1050</v>
      </c>
      <c r="K30" s="9" t="s">
        <v>1051</v>
      </c>
      <c r="L30" s="5" t="str">
        <f aca="false">IF(AND(E30&gt;0,E30=F30,H30=0,I30=0,J30="PASS",K30="CONFIRMED_FULL"),G30,"")</f>
        <v/>
      </c>
      <c r="M30" s="9"/>
      <c r="N30" s="9"/>
      <c r="O30" s="9"/>
      <c r="P30" s="9"/>
      <c r="Q30" s="9"/>
      <c r="R30" s="9"/>
      <c r="S30" s="5" t="str">
        <f aca="false">IF(AND(ISNUMBER(L30),COUNT(M30:R30)=6),ROUND(SUM(L30:R30),2),"")</f>
        <v/>
      </c>
      <c r="T30" s="5" t="str">
        <f aca="false">IF(AND(V30="CONFIRMED_ALL_DOCUMENTS",COUNTIF(06_НДС!$B$2:$B$1000,A30)&gt;0,COUNTIFS(06_НДС!$B$2:$B$1000,A30,06_НДС!$S$2:$S$1000,"&lt;&gt;CALCULATED_WITH_INPUTS")=0),ROUND(SUMIF(06_НДС!$B$2:$B$1000,A30,06_НДС!$M$2:$M$1000),2),"")</f>
        <v/>
      </c>
      <c r="U30" s="5" t="str">
        <f aca="false">IF(AND(ISNUMBER(S30),ISNUMBER(T30)),ROUND(S30+T30,2),"")</f>
        <v/>
      </c>
      <c r="V30" s="9" t="s">
        <v>804</v>
      </c>
      <c r="W30" s="9" t="s">
        <v>1052</v>
      </c>
      <c r="X30" s="9" t="s">
        <v>117</v>
      </c>
      <c r="Y30" s="5" t="str">
        <f aca="false">IF(ISNUMBER(U30),"CALCULATED_FOR_REVIEW","DRAFT_OPEN")</f>
        <v>DRAFT_OPEN</v>
      </c>
    </row>
    <row r="31" customFormat="false" ht="66" hidden="false" customHeight="true" outlineLevel="0" collapsed="false">
      <c r="A31" s="3" t="s">
        <v>774</v>
      </c>
      <c r="B31" s="3" t="s">
        <v>110</v>
      </c>
      <c r="C31" s="3" t="s">
        <v>1067</v>
      </c>
      <c r="D31" s="3" t="s">
        <v>114</v>
      </c>
      <c r="E31" s="5" t="n">
        <f aca="false">COUNTIF(03_Состав!$B$2:$B$80,A31)</f>
        <v>4</v>
      </c>
      <c r="F31" s="5" t="n">
        <f aca="false">SUMPRODUCT((03_Состав!$B$2:$B$80=A31)*ISNUMBER(03_Состав!$I$2:$I$80))</f>
        <v>0</v>
      </c>
      <c r="G31" s="5" t="str">
        <f aca="false">IF(F31&gt;0,ROUND(SUMIF(03_Состав!$B$2:$B$80,A31,03_Состав!$I$2:$I$80),2),"")</f>
        <v/>
      </c>
      <c r="H31" s="5" t="n">
        <f aca="false">SUMPRODUCT((04_Комплектность!$B$2:$B$178=A31)*(((04_Комплектность!$D$2:$D$178&lt;&gt;"CLOSED")+(04_Комплектность!$E$2:$E$178="")+(04_Комплектность!$G$2:$G$178=""))&gt;0))</f>
        <v>5</v>
      </c>
      <c r="I31" s="5" t="n">
        <f aca="false">COUNTIFS(03_Состав!$B$2:$B$80,A31,03_Состав!$K$2:$K$80,"BLOCK")</f>
        <v>4</v>
      </c>
      <c r="J31" s="9" t="s">
        <v>1050</v>
      </c>
      <c r="K31" s="9" t="s">
        <v>1051</v>
      </c>
      <c r="L31" s="5" t="str">
        <f aca="false">IF(AND(E31&gt;0,E31=F31,H31=0,I31=0,J31="PASS",K31="CONFIRMED_FULL"),G31,"")</f>
        <v/>
      </c>
      <c r="M31" s="9"/>
      <c r="N31" s="9"/>
      <c r="O31" s="9"/>
      <c r="P31" s="9"/>
      <c r="Q31" s="9"/>
      <c r="R31" s="9"/>
      <c r="S31" s="5" t="str">
        <f aca="false">IF(AND(ISNUMBER(L31),COUNT(M31:R31)=6),ROUND(SUM(L31:R31),2),"")</f>
        <v/>
      </c>
      <c r="T31" s="5" t="str">
        <f aca="false">IF(AND(V31="CONFIRMED_ALL_DOCUMENTS",COUNTIF(06_НДС!$B$2:$B$1000,A31)&gt;0,COUNTIFS(06_НДС!$B$2:$B$1000,A31,06_НДС!$S$2:$S$1000,"&lt;&gt;CALCULATED_WITH_INPUTS")=0),ROUND(SUMIF(06_НДС!$B$2:$B$1000,A31,06_НДС!$M$2:$M$1000),2),"")</f>
        <v/>
      </c>
      <c r="U31" s="5" t="str">
        <f aca="false">IF(AND(ISNUMBER(S31),ISNUMBER(T31)),ROUND(S31+T31,2),"")</f>
        <v/>
      </c>
      <c r="V31" s="9" t="s">
        <v>804</v>
      </c>
      <c r="W31" s="9" t="s">
        <v>1052</v>
      </c>
      <c r="X31" s="9" t="s">
        <v>117</v>
      </c>
      <c r="Y31" s="5" t="str">
        <f aca="false">IF(ISNUMBER(U31),"CALCULATED_FOR_REVIEW","DRAFT_OPEN")</f>
        <v>DRAFT_OPEN</v>
      </c>
    </row>
    <row r="32" customFormat="false" ht="66" hidden="false" customHeight="true" outlineLevel="0" collapsed="false">
      <c r="A32" s="2" t="s">
        <v>779</v>
      </c>
      <c r="B32" s="2" t="s">
        <v>118</v>
      </c>
      <c r="C32" s="2" t="s">
        <v>1068</v>
      </c>
      <c r="D32" s="2" t="s">
        <v>122</v>
      </c>
      <c r="E32" s="5" t="n">
        <f aca="false">COUNTIF(03_Состав!$B$2:$B$80,A32)</f>
        <v>2</v>
      </c>
      <c r="F32" s="5" t="n">
        <f aca="false">SUMPRODUCT((03_Состав!$B$2:$B$80=A32)*ISNUMBER(03_Состав!$I$2:$I$80))</f>
        <v>0</v>
      </c>
      <c r="G32" s="5" t="str">
        <f aca="false">IF(F32&gt;0,ROUND(SUMIF(03_Состав!$B$2:$B$80,A32,03_Состав!$I$2:$I$80),2),"")</f>
        <v/>
      </c>
      <c r="H32" s="5" t="n">
        <f aca="false">SUMPRODUCT((04_Комплектность!$B$2:$B$178=A32)*(((04_Комплектность!$D$2:$D$178&lt;&gt;"CLOSED")+(04_Комплектность!$E$2:$E$178="")+(04_Комплектность!$G$2:$G$178=""))&gt;0))</f>
        <v>6</v>
      </c>
      <c r="I32" s="5" t="n">
        <f aca="false">COUNTIFS(03_Состав!$B$2:$B$80,A32,03_Состав!$K$2:$K$80,"BLOCK")</f>
        <v>2</v>
      </c>
      <c r="J32" s="9" t="s">
        <v>1050</v>
      </c>
      <c r="K32" s="9" t="s">
        <v>1051</v>
      </c>
      <c r="L32" s="5" t="str">
        <f aca="false">IF(AND(E32&gt;0,E32=F32,H32=0,I32=0,J32="PASS",K32="CONFIRMED_FULL"),G32,"")</f>
        <v/>
      </c>
      <c r="M32" s="9"/>
      <c r="N32" s="9"/>
      <c r="O32" s="9"/>
      <c r="P32" s="9"/>
      <c r="Q32" s="9"/>
      <c r="R32" s="9"/>
      <c r="S32" s="5" t="str">
        <f aca="false">IF(AND(ISNUMBER(L32),COUNT(M32:R32)=6),ROUND(SUM(L32:R32),2),"")</f>
        <v/>
      </c>
      <c r="T32" s="5" t="str">
        <f aca="false">IF(AND(V32="CONFIRMED_ALL_DOCUMENTS",COUNTIF(06_НДС!$B$2:$B$1000,A32)&gt;0,COUNTIFS(06_НДС!$B$2:$B$1000,A32,06_НДС!$S$2:$S$1000,"&lt;&gt;CALCULATED_WITH_INPUTS")=0),ROUND(SUMIF(06_НДС!$B$2:$B$1000,A32,06_НДС!$M$2:$M$1000),2),"")</f>
        <v/>
      </c>
      <c r="U32" s="5" t="str">
        <f aca="false">IF(AND(ISNUMBER(S32),ISNUMBER(T32)),ROUND(S32+T32,2),"")</f>
        <v/>
      </c>
      <c r="V32" s="9" t="s">
        <v>804</v>
      </c>
      <c r="W32" s="9" t="s">
        <v>1052</v>
      </c>
      <c r="X32" s="9" t="s">
        <v>125</v>
      </c>
      <c r="Y32" s="5" t="str">
        <f aca="false">IF(ISNUMBER(U32),"CALCULATED_FOR_REVIEW","DRAFT_OPEN")</f>
        <v>DRAFT_OPEN</v>
      </c>
    </row>
    <row r="33" customFormat="false" ht="66" hidden="false" customHeight="true" outlineLevel="0" collapsed="false">
      <c r="A33" s="3" t="s">
        <v>782</v>
      </c>
      <c r="B33" s="3" t="s">
        <v>118</v>
      </c>
      <c r="C33" s="3" t="s">
        <v>1069</v>
      </c>
      <c r="D33" s="3" t="s">
        <v>122</v>
      </c>
      <c r="E33" s="5" t="n">
        <f aca="false">COUNTIF(03_Состав!$B$2:$B$80,A33)</f>
        <v>2</v>
      </c>
      <c r="F33" s="5" t="n">
        <f aca="false">SUMPRODUCT((03_Состав!$B$2:$B$80=A33)*ISNUMBER(03_Состав!$I$2:$I$80))</f>
        <v>0</v>
      </c>
      <c r="G33" s="5" t="str">
        <f aca="false">IF(F33&gt;0,ROUND(SUMIF(03_Состав!$B$2:$B$80,A33,03_Состав!$I$2:$I$80),2),"")</f>
        <v/>
      </c>
      <c r="H33" s="5" t="n">
        <f aca="false">SUMPRODUCT((04_Комплектность!$B$2:$B$178=A33)*(((04_Комплектность!$D$2:$D$178&lt;&gt;"CLOSED")+(04_Комплектность!$E$2:$E$178="")+(04_Комплектность!$G$2:$G$178=""))&gt;0))</f>
        <v>6</v>
      </c>
      <c r="I33" s="5" t="n">
        <f aca="false">COUNTIFS(03_Состав!$B$2:$B$80,A33,03_Состав!$K$2:$K$80,"BLOCK")</f>
        <v>2</v>
      </c>
      <c r="J33" s="9" t="s">
        <v>1050</v>
      </c>
      <c r="K33" s="9" t="s">
        <v>1051</v>
      </c>
      <c r="L33" s="5" t="str">
        <f aca="false">IF(AND(E33&gt;0,E33=F33,H33=0,I33=0,J33="PASS",K33="CONFIRMED_FULL"),G33,"")</f>
        <v/>
      </c>
      <c r="M33" s="9"/>
      <c r="N33" s="9"/>
      <c r="O33" s="9"/>
      <c r="P33" s="9"/>
      <c r="Q33" s="9"/>
      <c r="R33" s="9"/>
      <c r="S33" s="5" t="str">
        <f aca="false">IF(AND(ISNUMBER(L33),COUNT(M33:R33)=6),ROUND(SUM(L33:R33),2),"")</f>
        <v/>
      </c>
      <c r="T33" s="5" t="str">
        <f aca="false">IF(AND(V33="CONFIRMED_ALL_DOCUMENTS",COUNTIF(06_НДС!$B$2:$B$1000,A33)&gt;0,COUNTIFS(06_НДС!$B$2:$B$1000,A33,06_НДС!$S$2:$S$1000,"&lt;&gt;CALCULATED_WITH_INPUTS")=0),ROUND(SUMIF(06_НДС!$B$2:$B$1000,A33,06_НДС!$M$2:$M$1000),2),"")</f>
        <v/>
      </c>
      <c r="U33" s="5" t="str">
        <f aca="false">IF(AND(ISNUMBER(S33),ISNUMBER(T33)),ROUND(S33+T33,2),"")</f>
        <v/>
      </c>
      <c r="V33" s="9" t="s">
        <v>804</v>
      </c>
      <c r="W33" s="9" t="s">
        <v>1052</v>
      </c>
      <c r="X33" s="9" t="s">
        <v>125</v>
      </c>
      <c r="Y33" s="5" t="str">
        <f aca="false">IF(ISNUMBER(U33),"CALCULATED_FOR_REVIEW","DRAFT_OPEN")</f>
        <v>DRAFT_OPEN</v>
      </c>
    </row>
    <row r="34" customFormat="false" ht="66" hidden="false" customHeight="true" outlineLevel="0" collapsed="false">
      <c r="A34" s="2" t="s">
        <v>785</v>
      </c>
      <c r="B34" s="2" t="s">
        <v>118</v>
      </c>
      <c r="C34" s="2" t="s">
        <v>1069</v>
      </c>
      <c r="D34" s="2" t="s">
        <v>122</v>
      </c>
      <c r="E34" s="5" t="n">
        <f aca="false">COUNTIF(03_Состав!$B$2:$B$80,A34)</f>
        <v>2</v>
      </c>
      <c r="F34" s="5" t="n">
        <f aca="false">SUMPRODUCT((03_Состав!$B$2:$B$80=A34)*ISNUMBER(03_Состав!$I$2:$I$80))</f>
        <v>0</v>
      </c>
      <c r="G34" s="5" t="str">
        <f aca="false">IF(F34&gt;0,ROUND(SUMIF(03_Состав!$B$2:$B$80,A34,03_Состав!$I$2:$I$80),2),"")</f>
        <v/>
      </c>
      <c r="H34" s="5" t="n">
        <f aca="false">SUMPRODUCT((04_Комплектность!$B$2:$B$178=A34)*(((04_Комплектность!$D$2:$D$178&lt;&gt;"CLOSED")+(04_Комплектность!$E$2:$E$178="")+(04_Комплектность!$G$2:$G$178=""))&gt;0))</f>
        <v>6</v>
      </c>
      <c r="I34" s="5" t="n">
        <f aca="false">COUNTIFS(03_Состав!$B$2:$B$80,A34,03_Состав!$K$2:$K$80,"BLOCK")</f>
        <v>2</v>
      </c>
      <c r="J34" s="9" t="s">
        <v>1050</v>
      </c>
      <c r="K34" s="9" t="s">
        <v>1051</v>
      </c>
      <c r="L34" s="5" t="str">
        <f aca="false">IF(AND(E34&gt;0,E34=F34,H34=0,I34=0,J34="PASS",K34="CONFIRMED_FULL"),G34,"")</f>
        <v/>
      </c>
      <c r="M34" s="9"/>
      <c r="N34" s="9"/>
      <c r="O34" s="9"/>
      <c r="P34" s="9"/>
      <c r="Q34" s="9"/>
      <c r="R34" s="9"/>
      <c r="S34" s="5" t="str">
        <f aca="false">IF(AND(ISNUMBER(L34),COUNT(M34:R34)=6),ROUND(SUM(L34:R34),2),"")</f>
        <v/>
      </c>
      <c r="T34" s="5" t="str">
        <f aca="false">IF(AND(V34="CONFIRMED_ALL_DOCUMENTS",COUNTIF(06_НДС!$B$2:$B$1000,A34)&gt;0,COUNTIFS(06_НДС!$B$2:$B$1000,A34,06_НДС!$S$2:$S$1000,"&lt;&gt;CALCULATED_WITH_INPUTS")=0),ROUND(SUMIF(06_НДС!$B$2:$B$1000,A34,06_НДС!$M$2:$M$1000),2),"")</f>
        <v/>
      </c>
      <c r="U34" s="5" t="str">
        <f aca="false">IF(AND(ISNUMBER(S34),ISNUMBER(T34)),ROUND(S34+T34,2),"")</f>
        <v/>
      </c>
      <c r="V34" s="9" t="s">
        <v>804</v>
      </c>
      <c r="W34" s="9" t="s">
        <v>1052</v>
      </c>
      <c r="X34" s="9" t="s">
        <v>125</v>
      </c>
      <c r="Y34" s="5" t="str">
        <f aca="false">IF(ISNUMBER(U34),"CALCULATED_FOR_REVIEW","DRAFT_OPEN")</f>
        <v>DRAFT_OPEN</v>
      </c>
    </row>
    <row r="35" customFormat="false" ht="66" hidden="false" customHeight="true" outlineLevel="0" collapsed="false">
      <c r="A35" s="3" t="s">
        <v>788</v>
      </c>
      <c r="B35" s="3" t="s">
        <v>126</v>
      </c>
      <c r="C35" s="3" t="s">
        <v>1070</v>
      </c>
      <c r="D35" s="3" t="s">
        <v>130</v>
      </c>
      <c r="E35" s="5" t="n">
        <f aca="false">COUNTIF(03_Состав!$B$2:$B$80,A35)</f>
        <v>5</v>
      </c>
      <c r="F35" s="5" t="n">
        <f aca="false">SUMPRODUCT((03_Состав!$B$2:$B$80=A35)*ISNUMBER(03_Состав!$I$2:$I$80))</f>
        <v>0</v>
      </c>
      <c r="G35" s="5" t="str">
        <f aca="false">IF(F35&gt;0,ROUND(SUMIF(03_Состав!$B$2:$B$80,A35,03_Состав!$I$2:$I$80),2),"")</f>
        <v/>
      </c>
      <c r="H35" s="5" t="n">
        <f aca="false">SUMPRODUCT((04_Комплектность!$B$2:$B$178=A35)*(((04_Комплектность!$D$2:$D$178&lt;&gt;"CLOSED")+(04_Комплектность!$E$2:$E$178="")+(04_Комплектность!$G$2:$G$178=""))&gt;0))</f>
        <v>5</v>
      </c>
      <c r="I35" s="5" t="n">
        <f aca="false">COUNTIFS(03_Состав!$B$2:$B$80,A35,03_Состав!$K$2:$K$80,"BLOCK")</f>
        <v>5</v>
      </c>
      <c r="J35" s="9" t="s">
        <v>1050</v>
      </c>
      <c r="K35" s="9" t="s">
        <v>1051</v>
      </c>
      <c r="L35" s="5" t="str">
        <f aca="false">IF(AND(E35&gt;0,E35=F35,H35=0,I35=0,J35="PASS",K35="CONFIRMED_FULL"),G35,"")</f>
        <v/>
      </c>
      <c r="M35" s="9"/>
      <c r="N35" s="9"/>
      <c r="O35" s="9"/>
      <c r="P35" s="9"/>
      <c r="Q35" s="9"/>
      <c r="R35" s="9"/>
      <c r="S35" s="5" t="str">
        <f aca="false">IF(AND(ISNUMBER(L35),COUNT(M35:R35)=6),ROUND(SUM(L35:R35),2),"")</f>
        <v/>
      </c>
      <c r="T35" s="5" t="str">
        <f aca="false">IF(AND(V35="CONFIRMED_ALL_DOCUMENTS",COUNTIF(06_НДС!$B$2:$B$1000,A35)&gt;0,COUNTIFS(06_НДС!$B$2:$B$1000,A35,06_НДС!$S$2:$S$1000,"&lt;&gt;CALCULATED_WITH_INPUTS")=0),ROUND(SUMIF(06_НДС!$B$2:$B$1000,A35,06_НДС!$M$2:$M$1000),2),"")</f>
        <v/>
      </c>
      <c r="U35" s="5" t="str">
        <f aca="false">IF(AND(ISNUMBER(S35),ISNUMBER(T35)),ROUND(S35+T35,2),"")</f>
        <v/>
      </c>
      <c r="V35" s="9" t="s">
        <v>804</v>
      </c>
      <c r="W35" s="9" t="s">
        <v>1052</v>
      </c>
      <c r="X35" s="9" t="s">
        <v>133</v>
      </c>
      <c r="Y35" s="5" t="str">
        <f aca="false">IF(ISNUMBER(U35),"CALCULATED_FOR_REVIEW","DRAFT_OPEN")</f>
        <v>DRAFT_OPEN</v>
      </c>
    </row>
    <row r="36" customFormat="false" ht="66" hidden="false" customHeight="true" outlineLevel="0" collapsed="false">
      <c r="A36" s="2" t="s">
        <v>794</v>
      </c>
      <c r="B36" s="2" t="s">
        <v>126</v>
      </c>
      <c r="C36" s="2" t="s">
        <v>523</v>
      </c>
      <c r="D36" s="2" t="s">
        <v>130</v>
      </c>
      <c r="E36" s="5" t="n">
        <f aca="false">COUNTIF(03_Состав!$B$2:$B$80,A36)</f>
        <v>1</v>
      </c>
      <c r="F36" s="5" t="n">
        <f aca="false">SUMPRODUCT((03_Состав!$B$2:$B$80=A36)*ISNUMBER(03_Состав!$I$2:$I$80))</f>
        <v>0</v>
      </c>
      <c r="G36" s="5" t="str">
        <f aca="false">IF(F36&gt;0,ROUND(SUMIF(03_Состав!$B$2:$B$80,A36,03_Состав!$I$2:$I$80),2),"")</f>
        <v/>
      </c>
      <c r="H36" s="5" t="n">
        <f aca="false">SUMPRODUCT((04_Комплектность!$B$2:$B$178=A36)*(((04_Комплектность!$D$2:$D$178&lt;&gt;"CLOSED")+(04_Комплектность!$E$2:$E$178="")+(04_Комплектность!$G$2:$G$178=""))&gt;0))</f>
        <v>5</v>
      </c>
      <c r="I36" s="5" t="n">
        <f aca="false">COUNTIFS(03_Состав!$B$2:$B$80,A36,03_Состав!$K$2:$K$80,"BLOCK")</f>
        <v>1</v>
      </c>
      <c r="J36" s="9" t="s">
        <v>1050</v>
      </c>
      <c r="K36" s="9" t="s">
        <v>1051</v>
      </c>
      <c r="L36" s="5" t="str">
        <f aca="false">IF(AND(E36&gt;0,E36=F36,H36=0,I36=0,J36="PASS",K36="CONFIRMED_FULL"),G36,"")</f>
        <v/>
      </c>
      <c r="M36" s="9"/>
      <c r="N36" s="9"/>
      <c r="O36" s="9"/>
      <c r="P36" s="9"/>
      <c r="Q36" s="9"/>
      <c r="R36" s="9"/>
      <c r="S36" s="5" t="str">
        <f aca="false">IF(AND(ISNUMBER(L36),COUNT(M36:R36)=6),ROUND(SUM(L36:R36),2),"")</f>
        <v/>
      </c>
      <c r="T36" s="5" t="str">
        <f aca="false">IF(AND(V36="CONFIRMED_ALL_DOCUMENTS",COUNTIF(06_НДС!$B$2:$B$1000,A36)&gt;0,COUNTIFS(06_НДС!$B$2:$B$1000,A36,06_НДС!$S$2:$S$1000,"&lt;&gt;CALCULATED_WITH_INPUTS")=0),ROUND(SUMIF(06_НДС!$B$2:$B$1000,A36,06_НДС!$M$2:$M$1000),2),"")</f>
        <v/>
      </c>
      <c r="U36" s="5" t="str">
        <f aca="false">IF(AND(ISNUMBER(S36),ISNUMBER(T36)),ROUND(S36+T36,2),"")</f>
        <v/>
      </c>
      <c r="V36" s="9" t="s">
        <v>804</v>
      </c>
      <c r="W36" s="9" t="s">
        <v>1052</v>
      </c>
      <c r="X36" s="9" t="s">
        <v>133</v>
      </c>
      <c r="Y36" s="5" t="str">
        <f aca="false">IF(ISNUMBER(U36),"CALCULATED_FOR_REVIEW","DRAFT_OPEN")</f>
        <v>DRAFT_OPEN</v>
      </c>
    </row>
    <row r="37" customFormat="false" ht="66" hidden="false" customHeight="true" outlineLevel="0" collapsed="false">
      <c r="A37" s="3" t="s">
        <v>796</v>
      </c>
      <c r="B37" s="3" t="s">
        <v>126</v>
      </c>
      <c r="C37" s="3" t="s">
        <v>530</v>
      </c>
      <c r="D37" s="3" t="s">
        <v>130</v>
      </c>
      <c r="E37" s="5" t="n">
        <f aca="false">COUNTIF(03_Состав!$B$2:$B$80,A37)</f>
        <v>1</v>
      </c>
      <c r="F37" s="5" t="n">
        <f aca="false">SUMPRODUCT((03_Состав!$B$2:$B$80=A37)*ISNUMBER(03_Состав!$I$2:$I$80))</f>
        <v>0</v>
      </c>
      <c r="G37" s="5" t="str">
        <f aca="false">IF(F37&gt;0,ROUND(SUMIF(03_Состав!$B$2:$B$80,A37,03_Состав!$I$2:$I$80),2),"")</f>
        <v/>
      </c>
      <c r="H37" s="5" t="n">
        <f aca="false">SUMPRODUCT((04_Комплектность!$B$2:$B$178=A37)*(((04_Комплектность!$D$2:$D$178&lt;&gt;"CLOSED")+(04_Комплектность!$E$2:$E$178="")+(04_Комплектность!$G$2:$G$178=""))&gt;0))</f>
        <v>5</v>
      </c>
      <c r="I37" s="5" t="n">
        <f aca="false">COUNTIFS(03_Состав!$B$2:$B$80,A37,03_Состав!$K$2:$K$80,"BLOCK")</f>
        <v>1</v>
      </c>
      <c r="J37" s="9" t="s">
        <v>1050</v>
      </c>
      <c r="K37" s="9" t="s">
        <v>1051</v>
      </c>
      <c r="L37" s="5" t="str">
        <f aca="false">IF(AND(E37&gt;0,E37=F37,H37=0,I37=0,J37="PASS",K37="CONFIRMED_FULL"),G37,"")</f>
        <v/>
      </c>
      <c r="M37" s="9"/>
      <c r="N37" s="9"/>
      <c r="O37" s="9"/>
      <c r="P37" s="9"/>
      <c r="Q37" s="9"/>
      <c r="R37" s="9"/>
      <c r="S37" s="5" t="str">
        <f aca="false">IF(AND(ISNUMBER(L37),COUNT(M37:R37)=6),ROUND(SUM(L37:R37),2),"")</f>
        <v/>
      </c>
      <c r="T37" s="5" t="str">
        <f aca="false">IF(AND(V37="CONFIRMED_ALL_DOCUMENTS",COUNTIF(06_НДС!$B$2:$B$1000,A37)&gt;0,COUNTIFS(06_НДС!$B$2:$B$1000,A37,06_НДС!$S$2:$S$1000,"&lt;&gt;CALCULATED_WITH_INPUTS")=0),ROUND(SUMIF(06_НДС!$B$2:$B$1000,A37,06_НДС!$M$2:$M$1000),2),"")</f>
        <v/>
      </c>
      <c r="U37" s="5" t="str">
        <f aca="false">IF(AND(ISNUMBER(S37),ISNUMBER(T37)),ROUND(S37+T37,2),"")</f>
        <v/>
      </c>
      <c r="V37" s="9" t="s">
        <v>804</v>
      </c>
      <c r="W37" s="9" t="s">
        <v>1052</v>
      </c>
      <c r="X37" s="9" t="s">
        <v>133</v>
      </c>
      <c r="Y37" s="5" t="str">
        <f aca="false">IF(ISNUMBER(U37),"CALCULATED_FOR_REVIEW","DRAFT_OPEN")</f>
        <v>DRAFT_OPEN</v>
      </c>
    </row>
  </sheetData>
  <autoFilter ref="A1:Y37"/>
  <dataValidations count="5">
    <dataValidation allowBlank="true" error="Нужно неотрицательное число в допустимом диапазоне" errorStyle="stop" operator="greaterThanOrEqual" showDropDown="false" showErrorMessage="true" showInputMessage="false" sqref="M2:R37" type="decimal">
      <formula1>0</formula1>
      <formula2>0</formula2>
    </dataValidation>
    <dataValidation allowBlank="true" error="Выберите допустимый статус" errorStyle="stop" errorTitle="Значение из списка" operator="between" showDropDown="false" showErrorMessage="true" showInputMessage="false" sqref="J2:J37" type="list">
      <formula1>"NOT_CHECKED,PASS,FAIL"</formula1>
      <formula2>0</formula2>
    </dataValidation>
    <dataValidation allowBlank="true" error="Выберите допустимый статус" errorStyle="stop" errorTitle="Значение из списка" operator="between" showDropDown="false" showErrorMessage="true" showInputMessage="false" sqref="K2:K37" type="list">
      <formula1>"PUBLIC_ONLY,INCOMPLETE,CONFIRMED_FULL"</formula1>
      <formula2>0</formula2>
    </dataValidation>
    <dataValidation allowBlank="true" error="Выберите допустимый статус" errorStyle="stop" errorTitle="Значение из списка" operator="between" showDropDown="false" showErrorMessage="true" showInputMessage="false" sqref="V2:V37" type="list">
      <formula1>"OPEN,CONFIRMED_ALL_DOCUMENTS"</formula1>
      <formula2>0</formula2>
    </dataValidation>
    <dataValidation allowBlank="true" error="Выберите допустимый статус" errorStyle="stop" errorTitle="Значение из списка" operator="between" showDropDown="false" showErrorMessage="true" showInputMessage="false" sqref="W2:W37" type="list">
      <formula1>"NOT_SELECTED,PREFERRED_FOR_REVIEW,OWNER_APPROVED"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17" min="8" style="0" width="23"/>
    <col collapsed="false" customWidth="true" hidden="false" outlineLevel="0" max="18" min="18" style="0" width="75"/>
    <col collapsed="false" customWidth="true" hidden="false" outlineLevel="0" max="19" min="19" style="0" width="34"/>
  </cols>
  <sheetData>
    <row r="1" customFormat="false" ht="45" hidden="false" customHeight="true" outlineLevel="0" collapsed="false">
      <c r="A1" s="1" t="s">
        <v>1071</v>
      </c>
      <c r="B1" s="1" t="s">
        <v>676</v>
      </c>
      <c r="C1" s="1" t="s">
        <v>1072</v>
      </c>
      <c r="D1" s="1" t="s">
        <v>1073</v>
      </c>
      <c r="E1" s="1" t="s">
        <v>1074</v>
      </c>
      <c r="F1" s="1" t="s">
        <v>1075</v>
      </c>
      <c r="G1" s="1" t="s">
        <v>1076</v>
      </c>
      <c r="H1" s="1" t="s">
        <v>1077</v>
      </c>
      <c r="I1" s="1" t="s">
        <v>1078</v>
      </c>
      <c r="J1" s="1" t="s">
        <v>1079</v>
      </c>
      <c r="K1" s="1" t="s">
        <v>1080</v>
      </c>
      <c r="L1" s="1" t="s">
        <v>1081</v>
      </c>
      <c r="M1" s="1" t="s">
        <v>1045</v>
      </c>
      <c r="N1" s="1" t="s">
        <v>1082</v>
      </c>
      <c r="O1" s="1" t="s">
        <v>1083</v>
      </c>
      <c r="P1" s="1" t="s">
        <v>1084</v>
      </c>
      <c r="Q1" s="1" t="s">
        <v>1085</v>
      </c>
      <c r="R1" s="1" t="s">
        <v>1086</v>
      </c>
      <c r="S1" s="1" t="s">
        <v>1087</v>
      </c>
    </row>
    <row r="2" customFormat="false" ht="66" hidden="false" customHeight="true" outlineLevel="0" collapsed="false">
      <c r="A2" s="2" t="s">
        <v>1088</v>
      </c>
      <c r="B2" s="2" t="s">
        <v>683</v>
      </c>
      <c r="C2" s="9"/>
      <c r="D2" s="9"/>
      <c r="E2" s="9"/>
      <c r="F2" s="9"/>
      <c r="G2" s="9"/>
      <c r="H2" s="9"/>
      <c r="I2" s="9"/>
      <c r="J2" s="5" t="str">
        <f aca="false">IF(AND(ISNUMBER(H2),H2&gt;=0,ISNUMBER(I2),I2&gt;=0,I2&lt;=100),ROUND(H2*I2/100,2),"")</f>
        <v/>
      </c>
      <c r="K2" s="9"/>
      <c r="L2" s="5" t="str">
        <f aca="false">IF(AND(ISNUMBER(J2),ISNUMBER(K2),K2&gt;=0,K2&lt;=100),ROUND(J2*K2/100,2),"")</f>
        <v/>
      </c>
      <c r="M2" s="5" t="str">
        <f aca="false">IF(AND(ISNUMBER(J2),ISNUMBER(L2)),ROUND(J2-L2,2),"")</f>
        <v/>
      </c>
      <c r="N2" s="9"/>
      <c r="O2" s="9"/>
      <c r="P2" s="9"/>
      <c r="Q2" s="9"/>
      <c r="R2" s="9"/>
      <c r="S2" s="5" t="str">
        <f aca="false">IF(AND(C2&lt;&gt;"",D2&lt;&gt;"",E2&lt;&gt;"",F2&lt;&gt;"",G2&lt;&gt;"",R2&lt;&gt;"",ISNUMBER(M2)),"CALCULATED_WITH_INPUTS","OPEN")</f>
        <v>OPEN</v>
      </c>
    </row>
    <row r="3" customFormat="false" ht="66" hidden="false" customHeight="true" outlineLevel="0" collapsed="false">
      <c r="A3" s="3" t="s">
        <v>1089</v>
      </c>
      <c r="B3" s="3" t="s">
        <v>685</v>
      </c>
      <c r="C3" s="9"/>
      <c r="D3" s="9"/>
      <c r="E3" s="9"/>
      <c r="F3" s="9"/>
      <c r="G3" s="9"/>
      <c r="H3" s="9"/>
      <c r="I3" s="9"/>
      <c r="J3" s="5" t="str">
        <f aca="false">IF(AND(ISNUMBER(H3),H3&gt;=0,ISNUMBER(I3),I3&gt;=0,I3&lt;=100),ROUND(H3*I3/100,2),"")</f>
        <v/>
      </c>
      <c r="K3" s="9"/>
      <c r="L3" s="5" t="str">
        <f aca="false">IF(AND(ISNUMBER(J3),ISNUMBER(K3),K3&gt;=0,K3&lt;=100),ROUND(J3*K3/100,2),"")</f>
        <v/>
      </c>
      <c r="M3" s="5" t="str">
        <f aca="false">IF(AND(ISNUMBER(J3),ISNUMBER(L3)),ROUND(J3-L3,2),"")</f>
        <v/>
      </c>
      <c r="N3" s="9"/>
      <c r="O3" s="9"/>
      <c r="P3" s="9"/>
      <c r="Q3" s="9"/>
      <c r="R3" s="9"/>
      <c r="S3" s="5" t="str">
        <f aca="false">IF(AND(C3&lt;&gt;"",D3&lt;&gt;"",E3&lt;&gt;"",F3&lt;&gt;"",G3&lt;&gt;"",R3&lt;&gt;"",ISNUMBER(M3)),"CALCULATED_WITH_INPUTS","OPEN")</f>
        <v>OPEN</v>
      </c>
    </row>
    <row r="4" customFormat="false" ht="66" hidden="false" customHeight="true" outlineLevel="0" collapsed="false">
      <c r="A4" s="2" t="s">
        <v>1090</v>
      </c>
      <c r="B4" s="2" t="s">
        <v>687</v>
      </c>
      <c r="C4" s="9"/>
      <c r="D4" s="9"/>
      <c r="E4" s="9"/>
      <c r="F4" s="9"/>
      <c r="G4" s="9"/>
      <c r="H4" s="9"/>
      <c r="I4" s="9"/>
      <c r="J4" s="5" t="str">
        <f aca="false">IF(AND(ISNUMBER(H4),H4&gt;=0,ISNUMBER(I4),I4&gt;=0,I4&lt;=100),ROUND(H4*I4/100,2),"")</f>
        <v/>
      </c>
      <c r="K4" s="9"/>
      <c r="L4" s="5" t="str">
        <f aca="false">IF(AND(ISNUMBER(J4),ISNUMBER(K4),K4&gt;=0,K4&lt;=100),ROUND(J4*K4/100,2),"")</f>
        <v/>
      </c>
      <c r="M4" s="5" t="str">
        <f aca="false">IF(AND(ISNUMBER(J4),ISNUMBER(L4)),ROUND(J4-L4,2),"")</f>
        <v/>
      </c>
      <c r="N4" s="9"/>
      <c r="O4" s="9"/>
      <c r="P4" s="9"/>
      <c r="Q4" s="9"/>
      <c r="R4" s="9"/>
      <c r="S4" s="5" t="str">
        <f aca="false">IF(AND(C4&lt;&gt;"",D4&lt;&gt;"",E4&lt;&gt;"",F4&lt;&gt;"",G4&lt;&gt;"",R4&lt;&gt;"",ISNUMBER(M4)),"CALCULATED_WITH_INPUTS","OPEN")</f>
        <v>OPEN</v>
      </c>
    </row>
    <row r="5" customFormat="false" ht="66" hidden="false" customHeight="true" outlineLevel="0" collapsed="false">
      <c r="A5" s="3" t="s">
        <v>1091</v>
      </c>
      <c r="B5" s="3" t="s">
        <v>689</v>
      </c>
      <c r="C5" s="9"/>
      <c r="D5" s="9"/>
      <c r="E5" s="9"/>
      <c r="F5" s="9"/>
      <c r="G5" s="9"/>
      <c r="H5" s="9"/>
      <c r="I5" s="9"/>
      <c r="J5" s="5" t="str">
        <f aca="false">IF(AND(ISNUMBER(H5),H5&gt;=0,ISNUMBER(I5),I5&gt;=0,I5&lt;=100),ROUND(H5*I5/100,2),"")</f>
        <v/>
      </c>
      <c r="K5" s="9"/>
      <c r="L5" s="5" t="str">
        <f aca="false">IF(AND(ISNUMBER(J5),ISNUMBER(K5),K5&gt;=0,K5&lt;=100),ROUND(J5*K5/100,2),"")</f>
        <v/>
      </c>
      <c r="M5" s="5" t="str">
        <f aca="false">IF(AND(ISNUMBER(J5),ISNUMBER(L5)),ROUND(J5-L5,2),"")</f>
        <v/>
      </c>
      <c r="N5" s="9"/>
      <c r="O5" s="9"/>
      <c r="P5" s="9"/>
      <c r="Q5" s="9"/>
      <c r="R5" s="9"/>
      <c r="S5" s="5" t="str">
        <f aca="false">IF(AND(C5&lt;&gt;"",D5&lt;&gt;"",E5&lt;&gt;"",F5&lt;&gt;"",G5&lt;&gt;"",R5&lt;&gt;"",ISNUMBER(M5)),"CALCULATED_WITH_INPUTS","OPEN")</f>
        <v>OPEN</v>
      </c>
    </row>
    <row r="6" customFormat="false" ht="66" hidden="false" customHeight="true" outlineLevel="0" collapsed="false">
      <c r="A6" s="2" t="s">
        <v>1092</v>
      </c>
      <c r="B6" s="2" t="s">
        <v>691</v>
      </c>
      <c r="C6" s="9"/>
      <c r="D6" s="9"/>
      <c r="E6" s="9"/>
      <c r="F6" s="9"/>
      <c r="G6" s="9"/>
      <c r="H6" s="9"/>
      <c r="I6" s="9"/>
      <c r="J6" s="5" t="str">
        <f aca="false">IF(AND(ISNUMBER(H6),H6&gt;=0,ISNUMBER(I6),I6&gt;=0,I6&lt;=100),ROUND(H6*I6/100,2),"")</f>
        <v/>
      </c>
      <c r="K6" s="9"/>
      <c r="L6" s="5" t="str">
        <f aca="false">IF(AND(ISNUMBER(J6),ISNUMBER(K6),K6&gt;=0,K6&lt;=100),ROUND(J6*K6/100,2),"")</f>
        <v/>
      </c>
      <c r="M6" s="5" t="str">
        <f aca="false">IF(AND(ISNUMBER(J6),ISNUMBER(L6)),ROUND(J6-L6,2),"")</f>
        <v/>
      </c>
      <c r="N6" s="9"/>
      <c r="O6" s="9"/>
      <c r="P6" s="9"/>
      <c r="Q6" s="9"/>
      <c r="R6" s="9"/>
      <c r="S6" s="5" t="str">
        <f aca="false">IF(AND(C6&lt;&gt;"",D6&lt;&gt;"",E6&lt;&gt;"",F6&lt;&gt;"",G6&lt;&gt;"",R6&lt;&gt;"",ISNUMBER(M6)),"CALCULATED_WITH_INPUTS","OPEN")</f>
        <v>OPEN</v>
      </c>
    </row>
    <row r="7" customFormat="false" ht="66" hidden="false" customHeight="true" outlineLevel="0" collapsed="false">
      <c r="A7" s="3" t="s">
        <v>1093</v>
      </c>
      <c r="B7" s="3" t="s">
        <v>693</v>
      </c>
      <c r="C7" s="9"/>
      <c r="D7" s="9"/>
      <c r="E7" s="9"/>
      <c r="F7" s="9"/>
      <c r="G7" s="9"/>
      <c r="H7" s="9"/>
      <c r="I7" s="9"/>
      <c r="J7" s="5" t="str">
        <f aca="false">IF(AND(ISNUMBER(H7),H7&gt;=0,ISNUMBER(I7),I7&gt;=0,I7&lt;=100),ROUND(H7*I7/100,2),"")</f>
        <v/>
      </c>
      <c r="K7" s="9"/>
      <c r="L7" s="5" t="str">
        <f aca="false">IF(AND(ISNUMBER(J7),ISNUMBER(K7),K7&gt;=0,K7&lt;=100),ROUND(J7*K7/100,2),"")</f>
        <v/>
      </c>
      <c r="M7" s="5" t="str">
        <f aca="false">IF(AND(ISNUMBER(J7),ISNUMBER(L7)),ROUND(J7-L7,2),"")</f>
        <v/>
      </c>
      <c r="N7" s="9"/>
      <c r="O7" s="9"/>
      <c r="P7" s="9"/>
      <c r="Q7" s="9"/>
      <c r="R7" s="9"/>
      <c r="S7" s="5" t="str">
        <f aca="false">IF(AND(C7&lt;&gt;"",D7&lt;&gt;"",E7&lt;&gt;"",F7&lt;&gt;"",G7&lt;&gt;"",R7&lt;&gt;"",ISNUMBER(M7)),"CALCULATED_WITH_INPUTS","OPEN")</f>
        <v>OPEN</v>
      </c>
    </row>
    <row r="8" customFormat="false" ht="66" hidden="false" customHeight="true" outlineLevel="0" collapsed="false">
      <c r="A8" s="2" t="s">
        <v>1094</v>
      </c>
      <c r="B8" s="2" t="s">
        <v>695</v>
      </c>
      <c r="C8" s="9"/>
      <c r="D8" s="9"/>
      <c r="E8" s="9"/>
      <c r="F8" s="9"/>
      <c r="G8" s="9"/>
      <c r="H8" s="9"/>
      <c r="I8" s="9"/>
      <c r="J8" s="5" t="str">
        <f aca="false">IF(AND(ISNUMBER(H8),H8&gt;=0,ISNUMBER(I8),I8&gt;=0,I8&lt;=100),ROUND(H8*I8/100,2),"")</f>
        <v/>
      </c>
      <c r="K8" s="9"/>
      <c r="L8" s="5" t="str">
        <f aca="false">IF(AND(ISNUMBER(J8),ISNUMBER(K8),K8&gt;=0,K8&lt;=100),ROUND(J8*K8/100,2),"")</f>
        <v/>
      </c>
      <c r="M8" s="5" t="str">
        <f aca="false">IF(AND(ISNUMBER(J8),ISNUMBER(L8)),ROUND(J8-L8,2),"")</f>
        <v/>
      </c>
      <c r="N8" s="9"/>
      <c r="O8" s="9"/>
      <c r="P8" s="9"/>
      <c r="Q8" s="9"/>
      <c r="R8" s="9"/>
      <c r="S8" s="5" t="str">
        <f aca="false">IF(AND(C8&lt;&gt;"",D8&lt;&gt;"",E8&lt;&gt;"",F8&lt;&gt;"",G8&lt;&gt;"",R8&lt;&gt;"",ISNUMBER(M8)),"CALCULATED_WITH_INPUTS","OPEN")</f>
        <v>OPEN</v>
      </c>
    </row>
    <row r="9" customFormat="false" ht="66" hidden="false" customHeight="true" outlineLevel="0" collapsed="false">
      <c r="A9" s="3" t="s">
        <v>1095</v>
      </c>
      <c r="B9" s="3" t="s">
        <v>698</v>
      </c>
      <c r="C9" s="9"/>
      <c r="D9" s="9"/>
      <c r="E9" s="9"/>
      <c r="F9" s="9"/>
      <c r="G9" s="9"/>
      <c r="H9" s="9"/>
      <c r="I9" s="9"/>
      <c r="J9" s="5" t="str">
        <f aca="false">IF(AND(ISNUMBER(H9),H9&gt;=0,ISNUMBER(I9),I9&gt;=0,I9&lt;=100),ROUND(H9*I9/100,2),"")</f>
        <v/>
      </c>
      <c r="K9" s="9"/>
      <c r="L9" s="5" t="str">
        <f aca="false">IF(AND(ISNUMBER(J9),ISNUMBER(K9),K9&gt;=0,K9&lt;=100),ROUND(J9*K9/100,2),"")</f>
        <v/>
      </c>
      <c r="M9" s="5" t="str">
        <f aca="false">IF(AND(ISNUMBER(J9),ISNUMBER(L9)),ROUND(J9-L9,2),"")</f>
        <v/>
      </c>
      <c r="N9" s="9"/>
      <c r="O9" s="9"/>
      <c r="P9" s="9"/>
      <c r="Q9" s="9"/>
      <c r="R9" s="9"/>
      <c r="S9" s="5" t="str">
        <f aca="false">IF(AND(C9&lt;&gt;"",D9&lt;&gt;"",E9&lt;&gt;"",F9&lt;&gt;"",G9&lt;&gt;"",R9&lt;&gt;"",ISNUMBER(M9)),"CALCULATED_WITH_INPUTS","OPEN")</f>
        <v>OPEN</v>
      </c>
    </row>
    <row r="10" customFormat="false" ht="66" hidden="false" customHeight="true" outlineLevel="0" collapsed="false">
      <c r="A10" s="2" t="s">
        <v>1096</v>
      </c>
      <c r="B10" s="2" t="s">
        <v>701</v>
      </c>
      <c r="C10" s="9"/>
      <c r="D10" s="9"/>
      <c r="E10" s="9"/>
      <c r="F10" s="9"/>
      <c r="G10" s="9"/>
      <c r="H10" s="9"/>
      <c r="I10" s="9"/>
      <c r="J10" s="5" t="str">
        <f aca="false">IF(AND(ISNUMBER(H10),H10&gt;=0,ISNUMBER(I10),I10&gt;=0,I10&lt;=100),ROUND(H10*I10/100,2),"")</f>
        <v/>
      </c>
      <c r="K10" s="9"/>
      <c r="L10" s="5" t="str">
        <f aca="false">IF(AND(ISNUMBER(J10),ISNUMBER(K10),K10&gt;=0,K10&lt;=100),ROUND(J10*K10/100,2),"")</f>
        <v/>
      </c>
      <c r="M10" s="5" t="str">
        <f aca="false">IF(AND(ISNUMBER(J10),ISNUMBER(L10)),ROUND(J10-L10,2),"")</f>
        <v/>
      </c>
      <c r="N10" s="9"/>
      <c r="O10" s="9"/>
      <c r="P10" s="9"/>
      <c r="Q10" s="9"/>
      <c r="R10" s="9"/>
      <c r="S10" s="5" t="str">
        <f aca="false">IF(AND(C10&lt;&gt;"",D10&lt;&gt;"",E10&lt;&gt;"",F10&lt;&gt;"",G10&lt;&gt;"",R10&lt;&gt;"",ISNUMBER(M10)),"CALCULATED_WITH_INPUTS","OPEN")</f>
        <v>OPEN</v>
      </c>
    </row>
    <row r="11" customFormat="false" ht="66" hidden="false" customHeight="true" outlineLevel="0" collapsed="false">
      <c r="A11" s="3" t="s">
        <v>1097</v>
      </c>
      <c r="B11" s="3" t="s">
        <v>704</v>
      </c>
      <c r="C11" s="9"/>
      <c r="D11" s="9"/>
      <c r="E11" s="9"/>
      <c r="F11" s="9"/>
      <c r="G11" s="9"/>
      <c r="H11" s="9"/>
      <c r="I11" s="9"/>
      <c r="J11" s="5" t="str">
        <f aca="false">IF(AND(ISNUMBER(H11),H11&gt;=0,ISNUMBER(I11),I11&gt;=0,I11&lt;=100),ROUND(H11*I11/100,2),"")</f>
        <v/>
      </c>
      <c r="K11" s="9"/>
      <c r="L11" s="5" t="str">
        <f aca="false">IF(AND(ISNUMBER(J11),ISNUMBER(K11),K11&gt;=0,K11&lt;=100),ROUND(J11*K11/100,2),"")</f>
        <v/>
      </c>
      <c r="M11" s="5" t="str">
        <f aca="false">IF(AND(ISNUMBER(J11),ISNUMBER(L11)),ROUND(J11-L11,2),"")</f>
        <v/>
      </c>
      <c r="N11" s="9"/>
      <c r="O11" s="9"/>
      <c r="P11" s="9"/>
      <c r="Q11" s="9"/>
      <c r="R11" s="9"/>
      <c r="S11" s="5" t="str">
        <f aca="false">IF(AND(C11&lt;&gt;"",D11&lt;&gt;"",E11&lt;&gt;"",F11&lt;&gt;"",G11&lt;&gt;"",R11&lt;&gt;"",ISNUMBER(M11)),"CALCULATED_WITH_INPUTS","OPEN")</f>
        <v>OPEN</v>
      </c>
    </row>
    <row r="12" customFormat="false" ht="66" hidden="false" customHeight="true" outlineLevel="0" collapsed="false">
      <c r="A12" s="2" t="s">
        <v>1098</v>
      </c>
      <c r="B12" s="2" t="s">
        <v>709</v>
      </c>
      <c r="C12" s="9"/>
      <c r="D12" s="9"/>
      <c r="E12" s="9"/>
      <c r="F12" s="9"/>
      <c r="G12" s="9"/>
      <c r="H12" s="9"/>
      <c r="I12" s="9"/>
      <c r="J12" s="5" t="str">
        <f aca="false">IF(AND(ISNUMBER(H12),H12&gt;=0,ISNUMBER(I12),I12&gt;=0,I12&lt;=100),ROUND(H12*I12/100,2),"")</f>
        <v/>
      </c>
      <c r="K12" s="9"/>
      <c r="L12" s="5" t="str">
        <f aca="false">IF(AND(ISNUMBER(J12),ISNUMBER(K12),K12&gt;=0,K12&lt;=100),ROUND(J12*K12/100,2),"")</f>
        <v/>
      </c>
      <c r="M12" s="5" t="str">
        <f aca="false">IF(AND(ISNUMBER(J12),ISNUMBER(L12)),ROUND(J12-L12,2),"")</f>
        <v/>
      </c>
      <c r="N12" s="9"/>
      <c r="O12" s="9"/>
      <c r="P12" s="9"/>
      <c r="Q12" s="9"/>
      <c r="R12" s="9"/>
      <c r="S12" s="5" t="str">
        <f aca="false">IF(AND(C12&lt;&gt;"",D12&lt;&gt;"",E12&lt;&gt;"",F12&lt;&gt;"",G12&lt;&gt;"",R12&lt;&gt;"",ISNUMBER(M12)),"CALCULATED_WITH_INPUTS","OPEN")</f>
        <v>OPEN</v>
      </c>
    </row>
    <row r="13" customFormat="false" ht="66" hidden="false" customHeight="true" outlineLevel="0" collapsed="false">
      <c r="A13" s="3" t="s">
        <v>1099</v>
      </c>
      <c r="B13" s="3" t="s">
        <v>714</v>
      </c>
      <c r="C13" s="9"/>
      <c r="D13" s="9"/>
      <c r="E13" s="9"/>
      <c r="F13" s="9"/>
      <c r="G13" s="9"/>
      <c r="H13" s="9"/>
      <c r="I13" s="9"/>
      <c r="J13" s="5" t="str">
        <f aca="false">IF(AND(ISNUMBER(H13),H13&gt;=0,ISNUMBER(I13),I13&gt;=0,I13&lt;=100),ROUND(H13*I13/100,2),"")</f>
        <v/>
      </c>
      <c r="K13" s="9"/>
      <c r="L13" s="5" t="str">
        <f aca="false">IF(AND(ISNUMBER(J13),ISNUMBER(K13),K13&gt;=0,K13&lt;=100),ROUND(J13*K13/100,2),"")</f>
        <v/>
      </c>
      <c r="M13" s="5" t="str">
        <f aca="false">IF(AND(ISNUMBER(J13),ISNUMBER(L13)),ROUND(J13-L13,2),"")</f>
        <v/>
      </c>
      <c r="N13" s="9"/>
      <c r="O13" s="9"/>
      <c r="P13" s="9"/>
      <c r="Q13" s="9"/>
      <c r="R13" s="9"/>
      <c r="S13" s="5" t="str">
        <f aca="false">IF(AND(C13&lt;&gt;"",D13&lt;&gt;"",E13&lt;&gt;"",F13&lt;&gt;"",G13&lt;&gt;"",R13&lt;&gt;"",ISNUMBER(M13)),"CALCULATED_WITH_INPUTS","OPEN")</f>
        <v>OPEN</v>
      </c>
    </row>
    <row r="14" customFormat="false" ht="66" hidden="false" customHeight="true" outlineLevel="0" collapsed="false">
      <c r="A14" s="2" t="s">
        <v>1100</v>
      </c>
      <c r="B14" s="2" t="s">
        <v>719</v>
      </c>
      <c r="C14" s="9"/>
      <c r="D14" s="9"/>
      <c r="E14" s="9"/>
      <c r="F14" s="9"/>
      <c r="G14" s="9"/>
      <c r="H14" s="9"/>
      <c r="I14" s="9"/>
      <c r="J14" s="5" t="str">
        <f aca="false">IF(AND(ISNUMBER(H14),H14&gt;=0,ISNUMBER(I14),I14&gt;=0,I14&lt;=100),ROUND(H14*I14/100,2),"")</f>
        <v/>
      </c>
      <c r="K14" s="9"/>
      <c r="L14" s="5" t="str">
        <f aca="false">IF(AND(ISNUMBER(J14),ISNUMBER(K14),K14&gt;=0,K14&lt;=100),ROUND(J14*K14/100,2),"")</f>
        <v/>
      </c>
      <c r="M14" s="5" t="str">
        <f aca="false">IF(AND(ISNUMBER(J14),ISNUMBER(L14)),ROUND(J14-L14,2),"")</f>
        <v/>
      </c>
      <c r="N14" s="9"/>
      <c r="O14" s="9"/>
      <c r="P14" s="9"/>
      <c r="Q14" s="9"/>
      <c r="R14" s="9"/>
      <c r="S14" s="5" t="str">
        <f aca="false">IF(AND(C14&lt;&gt;"",D14&lt;&gt;"",E14&lt;&gt;"",F14&lt;&gt;"",G14&lt;&gt;"",R14&lt;&gt;"",ISNUMBER(M14)),"CALCULATED_WITH_INPUTS","OPEN")</f>
        <v>OPEN</v>
      </c>
    </row>
    <row r="15" customFormat="false" ht="66" hidden="false" customHeight="true" outlineLevel="0" collapsed="false">
      <c r="A15" s="3" t="s">
        <v>1101</v>
      </c>
      <c r="B15" s="3" t="s">
        <v>722</v>
      </c>
      <c r="C15" s="9"/>
      <c r="D15" s="9"/>
      <c r="E15" s="9"/>
      <c r="F15" s="9"/>
      <c r="G15" s="9"/>
      <c r="H15" s="9"/>
      <c r="I15" s="9"/>
      <c r="J15" s="5" t="str">
        <f aca="false">IF(AND(ISNUMBER(H15),H15&gt;=0,ISNUMBER(I15),I15&gt;=0,I15&lt;=100),ROUND(H15*I15/100,2),"")</f>
        <v/>
      </c>
      <c r="K15" s="9"/>
      <c r="L15" s="5" t="str">
        <f aca="false">IF(AND(ISNUMBER(J15),ISNUMBER(K15),K15&gt;=0,K15&lt;=100),ROUND(J15*K15/100,2),"")</f>
        <v/>
      </c>
      <c r="M15" s="5" t="str">
        <f aca="false">IF(AND(ISNUMBER(J15),ISNUMBER(L15)),ROUND(J15-L15,2),"")</f>
        <v/>
      </c>
      <c r="N15" s="9"/>
      <c r="O15" s="9"/>
      <c r="P15" s="9"/>
      <c r="Q15" s="9"/>
      <c r="R15" s="9"/>
      <c r="S15" s="5" t="str">
        <f aca="false">IF(AND(C15&lt;&gt;"",D15&lt;&gt;"",E15&lt;&gt;"",F15&lt;&gt;"",G15&lt;&gt;"",R15&lt;&gt;"",ISNUMBER(M15)),"CALCULATED_WITH_INPUTS","OPEN")</f>
        <v>OPEN</v>
      </c>
    </row>
    <row r="16" customFormat="false" ht="66" hidden="false" customHeight="true" outlineLevel="0" collapsed="false">
      <c r="A16" s="2" t="s">
        <v>1102</v>
      </c>
      <c r="B16" s="2" t="s">
        <v>725</v>
      </c>
      <c r="C16" s="9"/>
      <c r="D16" s="9"/>
      <c r="E16" s="9"/>
      <c r="F16" s="9"/>
      <c r="G16" s="9"/>
      <c r="H16" s="9"/>
      <c r="I16" s="9"/>
      <c r="J16" s="5" t="str">
        <f aca="false">IF(AND(ISNUMBER(H16),H16&gt;=0,ISNUMBER(I16),I16&gt;=0,I16&lt;=100),ROUND(H16*I16/100,2),"")</f>
        <v/>
      </c>
      <c r="K16" s="9"/>
      <c r="L16" s="5" t="str">
        <f aca="false">IF(AND(ISNUMBER(J16),ISNUMBER(K16),K16&gt;=0,K16&lt;=100),ROUND(J16*K16/100,2),"")</f>
        <v/>
      </c>
      <c r="M16" s="5" t="str">
        <f aca="false">IF(AND(ISNUMBER(J16),ISNUMBER(L16)),ROUND(J16-L16,2),"")</f>
        <v/>
      </c>
      <c r="N16" s="9"/>
      <c r="O16" s="9"/>
      <c r="P16" s="9"/>
      <c r="Q16" s="9"/>
      <c r="R16" s="9"/>
      <c r="S16" s="5" t="str">
        <f aca="false">IF(AND(C16&lt;&gt;"",D16&lt;&gt;"",E16&lt;&gt;"",F16&lt;&gt;"",G16&lt;&gt;"",R16&lt;&gt;"",ISNUMBER(M16)),"CALCULATED_WITH_INPUTS","OPEN")</f>
        <v>OPEN</v>
      </c>
    </row>
    <row r="17" customFormat="false" ht="66" hidden="false" customHeight="true" outlineLevel="0" collapsed="false">
      <c r="A17" s="3" t="s">
        <v>1103</v>
      </c>
      <c r="B17" s="3" t="s">
        <v>728</v>
      </c>
      <c r="C17" s="9"/>
      <c r="D17" s="9"/>
      <c r="E17" s="9"/>
      <c r="F17" s="9"/>
      <c r="G17" s="9"/>
      <c r="H17" s="9"/>
      <c r="I17" s="9"/>
      <c r="J17" s="5" t="str">
        <f aca="false">IF(AND(ISNUMBER(H17),H17&gt;=0,ISNUMBER(I17),I17&gt;=0,I17&lt;=100),ROUND(H17*I17/100,2),"")</f>
        <v/>
      </c>
      <c r="K17" s="9"/>
      <c r="L17" s="5" t="str">
        <f aca="false">IF(AND(ISNUMBER(J17),ISNUMBER(K17),K17&gt;=0,K17&lt;=100),ROUND(J17*K17/100,2),"")</f>
        <v/>
      </c>
      <c r="M17" s="5" t="str">
        <f aca="false">IF(AND(ISNUMBER(J17),ISNUMBER(L17)),ROUND(J17-L17,2),"")</f>
        <v/>
      </c>
      <c r="N17" s="9"/>
      <c r="O17" s="9"/>
      <c r="P17" s="9"/>
      <c r="Q17" s="9"/>
      <c r="R17" s="9"/>
      <c r="S17" s="5" t="str">
        <f aca="false">IF(AND(C17&lt;&gt;"",D17&lt;&gt;"",E17&lt;&gt;"",F17&lt;&gt;"",G17&lt;&gt;"",R17&lt;&gt;"",ISNUMBER(M17)),"CALCULATED_WITH_INPUTS","OPEN")</f>
        <v>OPEN</v>
      </c>
    </row>
    <row r="18" customFormat="false" ht="66" hidden="false" customHeight="true" outlineLevel="0" collapsed="false">
      <c r="A18" s="2" t="s">
        <v>1104</v>
      </c>
      <c r="B18" s="2" t="s">
        <v>730</v>
      </c>
      <c r="C18" s="9"/>
      <c r="D18" s="9"/>
      <c r="E18" s="9"/>
      <c r="F18" s="9"/>
      <c r="G18" s="9"/>
      <c r="H18" s="9"/>
      <c r="I18" s="9"/>
      <c r="J18" s="5" t="str">
        <f aca="false">IF(AND(ISNUMBER(H18),H18&gt;=0,ISNUMBER(I18),I18&gt;=0,I18&lt;=100),ROUND(H18*I18/100,2),"")</f>
        <v/>
      </c>
      <c r="K18" s="9"/>
      <c r="L18" s="5" t="str">
        <f aca="false">IF(AND(ISNUMBER(J18),ISNUMBER(K18),K18&gt;=0,K18&lt;=100),ROUND(J18*K18/100,2),"")</f>
        <v/>
      </c>
      <c r="M18" s="5" t="str">
        <f aca="false">IF(AND(ISNUMBER(J18),ISNUMBER(L18)),ROUND(J18-L18,2),"")</f>
        <v/>
      </c>
      <c r="N18" s="9"/>
      <c r="O18" s="9"/>
      <c r="P18" s="9"/>
      <c r="Q18" s="9"/>
      <c r="R18" s="9"/>
      <c r="S18" s="5" t="str">
        <f aca="false">IF(AND(C18&lt;&gt;"",D18&lt;&gt;"",E18&lt;&gt;"",F18&lt;&gt;"",G18&lt;&gt;"",R18&lt;&gt;"",ISNUMBER(M18)),"CALCULATED_WITH_INPUTS","OPEN")</f>
        <v>OPEN</v>
      </c>
    </row>
    <row r="19" customFormat="false" ht="66" hidden="false" customHeight="true" outlineLevel="0" collapsed="false">
      <c r="A19" s="3" t="s">
        <v>1105</v>
      </c>
      <c r="B19" s="3" t="s">
        <v>732</v>
      </c>
      <c r="C19" s="9"/>
      <c r="D19" s="9"/>
      <c r="E19" s="9"/>
      <c r="F19" s="9"/>
      <c r="G19" s="9"/>
      <c r="H19" s="9"/>
      <c r="I19" s="9"/>
      <c r="J19" s="5" t="str">
        <f aca="false">IF(AND(ISNUMBER(H19),H19&gt;=0,ISNUMBER(I19),I19&gt;=0,I19&lt;=100),ROUND(H19*I19/100,2),"")</f>
        <v/>
      </c>
      <c r="K19" s="9"/>
      <c r="L19" s="5" t="str">
        <f aca="false">IF(AND(ISNUMBER(J19),ISNUMBER(K19),K19&gt;=0,K19&lt;=100),ROUND(J19*K19/100,2),"")</f>
        <v/>
      </c>
      <c r="M19" s="5" t="str">
        <f aca="false">IF(AND(ISNUMBER(J19),ISNUMBER(L19)),ROUND(J19-L19,2),"")</f>
        <v/>
      </c>
      <c r="N19" s="9"/>
      <c r="O19" s="9"/>
      <c r="P19" s="9"/>
      <c r="Q19" s="9"/>
      <c r="R19" s="9"/>
      <c r="S19" s="5" t="str">
        <f aca="false">IF(AND(C19&lt;&gt;"",D19&lt;&gt;"",E19&lt;&gt;"",F19&lt;&gt;"",G19&lt;&gt;"",R19&lt;&gt;"",ISNUMBER(M19)),"CALCULATED_WITH_INPUTS","OPEN")</f>
        <v>OPEN</v>
      </c>
    </row>
    <row r="20" customFormat="false" ht="66" hidden="false" customHeight="true" outlineLevel="0" collapsed="false">
      <c r="A20" s="2" t="s">
        <v>1106</v>
      </c>
      <c r="B20" s="2" t="s">
        <v>734</v>
      </c>
      <c r="C20" s="9"/>
      <c r="D20" s="9"/>
      <c r="E20" s="9"/>
      <c r="F20" s="9"/>
      <c r="G20" s="9"/>
      <c r="H20" s="9"/>
      <c r="I20" s="9"/>
      <c r="J20" s="5" t="str">
        <f aca="false">IF(AND(ISNUMBER(H20),H20&gt;=0,ISNUMBER(I20),I20&gt;=0,I20&lt;=100),ROUND(H20*I20/100,2),"")</f>
        <v/>
      </c>
      <c r="K20" s="9"/>
      <c r="L20" s="5" t="str">
        <f aca="false">IF(AND(ISNUMBER(J20),ISNUMBER(K20),K20&gt;=0,K20&lt;=100),ROUND(J20*K20/100,2),"")</f>
        <v/>
      </c>
      <c r="M20" s="5" t="str">
        <f aca="false">IF(AND(ISNUMBER(J20),ISNUMBER(L20)),ROUND(J20-L20,2),"")</f>
        <v/>
      </c>
      <c r="N20" s="9"/>
      <c r="O20" s="9"/>
      <c r="P20" s="9"/>
      <c r="Q20" s="9"/>
      <c r="R20" s="9"/>
      <c r="S20" s="5" t="str">
        <f aca="false">IF(AND(C20&lt;&gt;"",D20&lt;&gt;"",E20&lt;&gt;"",F20&lt;&gt;"",G20&lt;&gt;"",R20&lt;&gt;"",ISNUMBER(M20)),"CALCULATED_WITH_INPUTS","OPEN")</f>
        <v>OPEN</v>
      </c>
    </row>
    <row r="21" customFormat="false" ht="66" hidden="false" customHeight="true" outlineLevel="0" collapsed="false">
      <c r="A21" s="3" t="s">
        <v>1107</v>
      </c>
      <c r="B21" s="3" t="s">
        <v>736</v>
      </c>
      <c r="C21" s="9"/>
      <c r="D21" s="9"/>
      <c r="E21" s="9"/>
      <c r="F21" s="9"/>
      <c r="G21" s="9"/>
      <c r="H21" s="9"/>
      <c r="I21" s="9"/>
      <c r="J21" s="5" t="str">
        <f aca="false">IF(AND(ISNUMBER(H21),H21&gt;=0,ISNUMBER(I21),I21&gt;=0,I21&lt;=100),ROUND(H21*I21/100,2),"")</f>
        <v/>
      </c>
      <c r="K21" s="9"/>
      <c r="L21" s="5" t="str">
        <f aca="false">IF(AND(ISNUMBER(J21),ISNUMBER(K21),K21&gt;=0,K21&lt;=100),ROUND(J21*K21/100,2),"")</f>
        <v/>
      </c>
      <c r="M21" s="5" t="str">
        <f aca="false">IF(AND(ISNUMBER(J21),ISNUMBER(L21)),ROUND(J21-L21,2),"")</f>
        <v/>
      </c>
      <c r="N21" s="9"/>
      <c r="O21" s="9"/>
      <c r="P21" s="9"/>
      <c r="Q21" s="9"/>
      <c r="R21" s="9"/>
      <c r="S21" s="5" t="str">
        <f aca="false">IF(AND(C21&lt;&gt;"",D21&lt;&gt;"",E21&lt;&gt;"",F21&lt;&gt;"",G21&lt;&gt;"",R21&lt;&gt;"",ISNUMBER(M21)),"CALCULATED_WITH_INPUTS","OPEN")</f>
        <v>OPEN</v>
      </c>
    </row>
    <row r="22" customFormat="false" ht="66" hidden="false" customHeight="true" outlineLevel="0" collapsed="false">
      <c r="A22" s="2" t="s">
        <v>1108</v>
      </c>
      <c r="B22" s="2" t="s">
        <v>738</v>
      </c>
      <c r="C22" s="9"/>
      <c r="D22" s="9"/>
      <c r="E22" s="9"/>
      <c r="F22" s="9"/>
      <c r="G22" s="9"/>
      <c r="H22" s="9"/>
      <c r="I22" s="9"/>
      <c r="J22" s="5" t="str">
        <f aca="false">IF(AND(ISNUMBER(H22),H22&gt;=0,ISNUMBER(I22),I22&gt;=0,I22&lt;=100),ROUND(H22*I22/100,2),"")</f>
        <v/>
      </c>
      <c r="K22" s="9"/>
      <c r="L22" s="5" t="str">
        <f aca="false">IF(AND(ISNUMBER(J22),ISNUMBER(K22),K22&gt;=0,K22&lt;=100),ROUND(J22*K22/100,2),"")</f>
        <v/>
      </c>
      <c r="M22" s="5" t="str">
        <f aca="false">IF(AND(ISNUMBER(J22),ISNUMBER(L22)),ROUND(J22-L22,2),"")</f>
        <v/>
      </c>
      <c r="N22" s="9"/>
      <c r="O22" s="9"/>
      <c r="P22" s="9"/>
      <c r="Q22" s="9"/>
      <c r="R22" s="9"/>
      <c r="S22" s="5" t="str">
        <f aca="false">IF(AND(C22&lt;&gt;"",D22&lt;&gt;"",E22&lt;&gt;"",F22&lt;&gt;"",G22&lt;&gt;"",R22&lt;&gt;"",ISNUMBER(M22)),"CALCULATED_WITH_INPUTS","OPEN")</f>
        <v>OPEN</v>
      </c>
    </row>
    <row r="23" customFormat="false" ht="66" hidden="false" customHeight="true" outlineLevel="0" collapsed="false">
      <c r="A23" s="3" t="s">
        <v>1109</v>
      </c>
      <c r="B23" s="3" t="s">
        <v>740</v>
      </c>
      <c r="C23" s="9"/>
      <c r="D23" s="9"/>
      <c r="E23" s="9"/>
      <c r="F23" s="9"/>
      <c r="G23" s="9"/>
      <c r="H23" s="9"/>
      <c r="I23" s="9"/>
      <c r="J23" s="5" t="str">
        <f aca="false">IF(AND(ISNUMBER(H23),H23&gt;=0,ISNUMBER(I23),I23&gt;=0,I23&lt;=100),ROUND(H23*I23/100,2),"")</f>
        <v/>
      </c>
      <c r="K23" s="9"/>
      <c r="L23" s="5" t="str">
        <f aca="false">IF(AND(ISNUMBER(J23),ISNUMBER(K23),K23&gt;=0,K23&lt;=100),ROUND(J23*K23/100,2),"")</f>
        <v/>
      </c>
      <c r="M23" s="5" t="str">
        <f aca="false">IF(AND(ISNUMBER(J23),ISNUMBER(L23)),ROUND(J23-L23,2),"")</f>
        <v/>
      </c>
      <c r="N23" s="9"/>
      <c r="O23" s="9"/>
      <c r="P23" s="9"/>
      <c r="Q23" s="9"/>
      <c r="R23" s="9"/>
      <c r="S23" s="5" t="str">
        <f aca="false">IF(AND(C23&lt;&gt;"",D23&lt;&gt;"",E23&lt;&gt;"",F23&lt;&gt;"",G23&lt;&gt;"",R23&lt;&gt;"",ISNUMBER(M23)),"CALCULATED_WITH_INPUTS","OPEN")</f>
        <v>OPEN</v>
      </c>
    </row>
    <row r="24" customFormat="false" ht="66" hidden="false" customHeight="true" outlineLevel="0" collapsed="false">
      <c r="A24" s="2" t="s">
        <v>1110</v>
      </c>
      <c r="B24" s="2" t="s">
        <v>743</v>
      </c>
      <c r="C24" s="9"/>
      <c r="D24" s="9"/>
      <c r="E24" s="9"/>
      <c r="F24" s="9"/>
      <c r="G24" s="9"/>
      <c r="H24" s="9"/>
      <c r="I24" s="9"/>
      <c r="J24" s="5" t="str">
        <f aca="false">IF(AND(ISNUMBER(H24),H24&gt;=0,ISNUMBER(I24),I24&gt;=0,I24&lt;=100),ROUND(H24*I24/100,2),"")</f>
        <v/>
      </c>
      <c r="K24" s="9"/>
      <c r="L24" s="5" t="str">
        <f aca="false">IF(AND(ISNUMBER(J24),ISNUMBER(K24),K24&gt;=0,K24&lt;=100),ROUND(J24*K24/100,2),"")</f>
        <v/>
      </c>
      <c r="M24" s="5" t="str">
        <f aca="false">IF(AND(ISNUMBER(J24),ISNUMBER(L24)),ROUND(J24-L24,2),"")</f>
        <v/>
      </c>
      <c r="N24" s="9"/>
      <c r="O24" s="9"/>
      <c r="P24" s="9"/>
      <c r="Q24" s="9"/>
      <c r="R24" s="9"/>
      <c r="S24" s="5" t="str">
        <f aca="false">IF(AND(C24&lt;&gt;"",D24&lt;&gt;"",E24&lt;&gt;"",F24&lt;&gt;"",G24&lt;&gt;"",R24&lt;&gt;"",ISNUMBER(M24)),"CALCULATED_WITH_INPUTS","OPEN")</f>
        <v>OPEN</v>
      </c>
    </row>
    <row r="25" customFormat="false" ht="66" hidden="false" customHeight="true" outlineLevel="0" collapsed="false">
      <c r="A25" s="3" t="s">
        <v>1111</v>
      </c>
      <c r="B25" s="3" t="s">
        <v>746</v>
      </c>
      <c r="C25" s="9"/>
      <c r="D25" s="9"/>
      <c r="E25" s="9"/>
      <c r="F25" s="9"/>
      <c r="G25" s="9"/>
      <c r="H25" s="9"/>
      <c r="I25" s="9"/>
      <c r="J25" s="5" t="str">
        <f aca="false">IF(AND(ISNUMBER(H25),H25&gt;=0,ISNUMBER(I25),I25&gt;=0,I25&lt;=100),ROUND(H25*I25/100,2),"")</f>
        <v/>
      </c>
      <c r="K25" s="9"/>
      <c r="L25" s="5" t="str">
        <f aca="false">IF(AND(ISNUMBER(J25),ISNUMBER(K25),K25&gt;=0,K25&lt;=100),ROUND(J25*K25/100,2),"")</f>
        <v/>
      </c>
      <c r="M25" s="5" t="str">
        <f aca="false">IF(AND(ISNUMBER(J25),ISNUMBER(L25)),ROUND(J25-L25,2),"")</f>
        <v/>
      </c>
      <c r="N25" s="9"/>
      <c r="O25" s="9"/>
      <c r="P25" s="9"/>
      <c r="Q25" s="9"/>
      <c r="R25" s="9"/>
      <c r="S25" s="5" t="str">
        <f aca="false">IF(AND(C25&lt;&gt;"",D25&lt;&gt;"",E25&lt;&gt;"",F25&lt;&gt;"",G25&lt;&gt;"",R25&lt;&gt;"",ISNUMBER(M25)),"CALCULATED_WITH_INPUTS","OPEN")</f>
        <v>OPEN</v>
      </c>
    </row>
    <row r="26" customFormat="false" ht="66" hidden="false" customHeight="true" outlineLevel="0" collapsed="false">
      <c r="A26" s="2" t="s">
        <v>1112</v>
      </c>
      <c r="B26" s="2" t="s">
        <v>749</v>
      </c>
      <c r="C26" s="9"/>
      <c r="D26" s="9"/>
      <c r="E26" s="9"/>
      <c r="F26" s="9"/>
      <c r="G26" s="9"/>
      <c r="H26" s="9"/>
      <c r="I26" s="9"/>
      <c r="J26" s="5" t="str">
        <f aca="false">IF(AND(ISNUMBER(H26),H26&gt;=0,ISNUMBER(I26),I26&gt;=0,I26&lt;=100),ROUND(H26*I26/100,2),"")</f>
        <v/>
      </c>
      <c r="K26" s="9"/>
      <c r="L26" s="5" t="str">
        <f aca="false">IF(AND(ISNUMBER(J26),ISNUMBER(K26),K26&gt;=0,K26&lt;=100),ROUND(J26*K26/100,2),"")</f>
        <v/>
      </c>
      <c r="M26" s="5" t="str">
        <f aca="false">IF(AND(ISNUMBER(J26),ISNUMBER(L26)),ROUND(J26-L26,2),"")</f>
        <v/>
      </c>
      <c r="N26" s="9"/>
      <c r="O26" s="9"/>
      <c r="P26" s="9"/>
      <c r="Q26" s="9"/>
      <c r="R26" s="9"/>
      <c r="S26" s="5" t="str">
        <f aca="false">IF(AND(C26&lt;&gt;"",D26&lt;&gt;"",E26&lt;&gt;"",F26&lt;&gt;"",G26&lt;&gt;"",R26&lt;&gt;"",ISNUMBER(M26)),"CALCULATED_WITH_INPUTS","OPEN")</f>
        <v>OPEN</v>
      </c>
    </row>
    <row r="27" customFormat="false" ht="66" hidden="false" customHeight="true" outlineLevel="0" collapsed="false">
      <c r="A27" s="3" t="s">
        <v>1113</v>
      </c>
      <c r="B27" s="3" t="s">
        <v>754</v>
      </c>
      <c r="C27" s="9"/>
      <c r="D27" s="9"/>
      <c r="E27" s="9"/>
      <c r="F27" s="9"/>
      <c r="G27" s="9"/>
      <c r="H27" s="9"/>
      <c r="I27" s="9"/>
      <c r="J27" s="5" t="str">
        <f aca="false">IF(AND(ISNUMBER(H27),H27&gt;=0,ISNUMBER(I27),I27&gt;=0,I27&lt;=100),ROUND(H27*I27/100,2),"")</f>
        <v/>
      </c>
      <c r="K27" s="9"/>
      <c r="L27" s="5" t="str">
        <f aca="false">IF(AND(ISNUMBER(J27),ISNUMBER(K27),K27&gt;=0,K27&lt;=100),ROUND(J27*K27/100,2),"")</f>
        <v/>
      </c>
      <c r="M27" s="5" t="str">
        <f aca="false">IF(AND(ISNUMBER(J27),ISNUMBER(L27)),ROUND(J27-L27,2),"")</f>
        <v/>
      </c>
      <c r="N27" s="9"/>
      <c r="O27" s="9"/>
      <c r="P27" s="9"/>
      <c r="Q27" s="9"/>
      <c r="R27" s="9"/>
      <c r="S27" s="5" t="str">
        <f aca="false">IF(AND(C27&lt;&gt;"",D27&lt;&gt;"",E27&lt;&gt;"",F27&lt;&gt;"",G27&lt;&gt;"",R27&lt;&gt;"",ISNUMBER(M27)),"CALCULATED_WITH_INPUTS","OPEN")</f>
        <v>OPEN</v>
      </c>
    </row>
    <row r="28" customFormat="false" ht="66" hidden="false" customHeight="true" outlineLevel="0" collapsed="false">
      <c r="A28" s="2" t="s">
        <v>1114</v>
      </c>
      <c r="B28" s="2" t="s">
        <v>759</v>
      </c>
      <c r="C28" s="9"/>
      <c r="D28" s="9"/>
      <c r="E28" s="9"/>
      <c r="F28" s="9"/>
      <c r="G28" s="9"/>
      <c r="H28" s="9"/>
      <c r="I28" s="9"/>
      <c r="J28" s="5" t="str">
        <f aca="false">IF(AND(ISNUMBER(H28),H28&gt;=0,ISNUMBER(I28),I28&gt;=0,I28&lt;=100),ROUND(H28*I28/100,2),"")</f>
        <v/>
      </c>
      <c r="K28" s="9"/>
      <c r="L28" s="5" t="str">
        <f aca="false">IF(AND(ISNUMBER(J28),ISNUMBER(K28),K28&gt;=0,K28&lt;=100),ROUND(J28*K28/100,2),"")</f>
        <v/>
      </c>
      <c r="M28" s="5" t="str">
        <f aca="false">IF(AND(ISNUMBER(J28),ISNUMBER(L28)),ROUND(J28-L28,2),"")</f>
        <v/>
      </c>
      <c r="N28" s="9"/>
      <c r="O28" s="9"/>
      <c r="P28" s="9"/>
      <c r="Q28" s="9"/>
      <c r="R28" s="9"/>
      <c r="S28" s="5" t="str">
        <f aca="false">IF(AND(C28&lt;&gt;"",D28&lt;&gt;"",E28&lt;&gt;"",F28&lt;&gt;"",G28&lt;&gt;"",R28&lt;&gt;"",ISNUMBER(M28)),"CALCULATED_WITH_INPUTS","OPEN")</f>
        <v>OPEN</v>
      </c>
    </row>
    <row r="29" customFormat="false" ht="66" hidden="false" customHeight="true" outlineLevel="0" collapsed="false">
      <c r="A29" s="3" t="s">
        <v>1115</v>
      </c>
      <c r="B29" s="3" t="s">
        <v>764</v>
      </c>
      <c r="C29" s="9"/>
      <c r="D29" s="9"/>
      <c r="E29" s="9"/>
      <c r="F29" s="9"/>
      <c r="G29" s="9"/>
      <c r="H29" s="9"/>
      <c r="I29" s="9"/>
      <c r="J29" s="5" t="str">
        <f aca="false">IF(AND(ISNUMBER(H29),H29&gt;=0,ISNUMBER(I29),I29&gt;=0,I29&lt;=100),ROUND(H29*I29/100,2),"")</f>
        <v/>
      </c>
      <c r="K29" s="9"/>
      <c r="L29" s="5" t="str">
        <f aca="false">IF(AND(ISNUMBER(J29),ISNUMBER(K29),K29&gt;=0,K29&lt;=100),ROUND(J29*K29/100,2),"")</f>
        <v/>
      </c>
      <c r="M29" s="5" t="str">
        <f aca="false">IF(AND(ISNUMBER(J29),ISNUMBER(L29)),ROUND(J29-L29,2),"")</f>
        <v/>
      </c>
      <c r="N29" s="9"/>
      <c r="O29" s="9"/>
      <c r="P29" s="9"/>
      <c r="Q29" s="9"/>
      <c r="R29" s="9"/>
      <c r="S29" s="5" t="str">
        <f aca="false">IF(AND(C29&lt;&gt;"",D29&lt;&gt;"",E29&lt;&gt;"",F29&lt;&gt;"",G29&lt;&gt;"",R29&lt;&gt;"",ISNUMBER(M29)),"CALCULATED_WITH_INPUTS","OPEN")</f>
        <v>OPEN</v>
      </c>
    </row>
    <row r="30" customFormat="false" ht="66" hidden="false" customHeight="true" outlineLevel="0" collapsed="false">
      <c r="A30" s="2" t="s">
        <v>1116</v>
      </c>
      <c r="B30" s="2" t="s">
        <v>769</v>
      </c>
      <c r="C30" s="9"/>
      <c r="D30" s="9"/>
      <c r="E30" s="9"/>
      <c r="F30" s="9"/>
      <c r="G30" s="9"/>
      <c r="H30" s="9"/>
      <c r="I30" s="9"/>
      <c r="J30" s="5" t="str">
        <f aca="false">IF(AND(ISNUMBER(H30),H30&gt;=0,ISNUMBER(I30),I30&gt;=0,I30&lt;=100),ROUND(H30*I30/100,2),"")</f>
        <v/>
      </c>
      <c r="K30" s="9"/>
      <c r="L30" s="5" t="str">
        <f aca="false">IF(AND(ISNUMBER(J30),ISNUMBER(K30),K30&gt;=0,K30&lt;=100),ROUND(J30*K30/100,2),"")</f>
        <v/>
      </c>
      <c r="M30" s="5" t="str">
        <f aca="false">IF(AND(ISNUMBER(J30),ISNUMBER(L30)),ROUND(J30-L30,2),"")</f>
        <v/>
      </c>
      <c r="N30" s="9"/>
      <c r="O30" s="9"/>
      <c r="P30" s="9"/>
      <c r="Q30" s="9"/>
      <c r="R30" s="9"/>
      <c r="S30" s="5" t="str">
        <f aca="false">IF(AND(C30&lt;&gt;"",D30&lt;&gt;"",E30&lt;&gt;"",F30&lt;&gt;"",G30&lt;&gt;"",R30&lt;&gt;"",ISNUMBER(M30)),"CALCULATED_WITH_INPUTS","OPEN")</f>
        <v>OPEN</v>
      </c>
    </row>
    <row r="31" customFormat="false" ht="66" hidden="false" customHeight="true" outlineLevel="0" collapsed="false">
      <c r="A31" s="3" t="s">
        <v>1117</v>
      </c>
      <c r="B31" s="3" t="s">
        <v>774</v>
      </c>
      <c r="C31" s="9"/>
      <c r="D31" s="9"/>
      <c r="E31" s="9"/>
      <c r="F31" s="9"/>
      <c r="G31" s="9"/>
      <c r="H31" s="9"/>
      <c r="I31" s="9"/>
      <c r="J31" s="5" t="str">
        <f aca="false">IF(AND(ISNUMBER(H31),H31&gt;=0,ISNUMBER(I31),I31&gt;=0,I31&lt;=100),ROUND(H31*I31/100,2),"")</f>
        <v/>
      </c>
      <c r="K31" s="9"/>
      <c r="L31" s="5" t="str">
        <f aca="false">IF(AND(ISNUMBER(J31),ISNUMBER(K31),K31&gt;=0,K31&lt;=100),ROUND(J31*K31/100,2),"")</f>
        <v/>
      </c>
      <c r="M31" s="5" t="str">
        <f aca="false">IF(AND(ISNUMBER(J31),ISNUMBER(L31)),ROUND(J31-L31,2),"")</f>
        <v/>
      </c>
      <c r="N31" s="9"/>
      <c r="O31" s="9"/>
      <c r="P31" s="9"/>
      <c r="Q31" s="9"/>
      <c r="R31" s="9"/>
      <c r="S31" s="5" t="str">
        <f aca="false">IF(AND(C31&lt;&gt;"",D31&lt;&gt;"",E31&lt;&gt;"",F31&lt;&gt;"",G31&lt;&gt;"",R31&lt;&gt;"",ISNUMBER(M31)),"CALCULATED_WITH_INPUTS","OPEN")</f>
        <v>OPEN</v>
      </c>
    </row>
    <row r="32" customFormat="false" ht="66" hidden="false" customHeight="true" outlineLevel="0" collapsed="false">
      <c r="A32" s="2" t="s">
        <v>1118</v>
      </c>
      <c r="B32" s="2" t="s">
        <v>779</v>
      </c>
      <c r="C32" s="9"/>
      <c r="D32" s="9"/>
      <c r="E32" s="9"/>
      <c r="F32" s="9"/>
      <c r="G32" s="9"/>
      <c r="H32" s="9"/>
      <c r="I32" s="9"/>
      <c r="J32" s="5" t="str">
        <f aca="false">IF(AND(ISNUMBER(H32),H32&gt;=0,ISNUMBER(I32),I32&gt;=0,I32&lt;=100),ROUND(H32*I32/100,2),"")</f>
        <v/>
      </c>
      <c r="K32" s="9"/>
      <c r="L32" s="5" t="str">
        <f aca="false">IF(AND(ISNUMBER(J32),ISNUMBER(K32),K32&gt;=0,K32&lt;=100),ROUND(J32*K32/100,2),"")</f>
        <v/>
      </c>
      <c r="M32" s="5" t="str">
        <f aca="false">IF(AND(ISNUMBER(J32),ISNUMBER(L32)),ROUND(J32-L32,2),"")</f>
        <v/>
      </c>
      <c r="N32" s="9"/>
      <c r="O32" s="9"/>
      <c r="P32" s="9"/>
      <c r="Q32" s="9"/>
      <c r="R32" s="9"/>
      <c r="S32" s="5" t="str">
        <f aca="false">IF(AND(C32&lt;&gt;"",D32&lt;&gt;"",E32&lt;&gt;"",F32&lt;&gt;"",G32&lt;&gt;"",R32&lt;&gt;"",ISNUMBER(M32)),"CALCULATED_WITH_INPUTS","OPEN")</f>
        <v>OPEN</v>
      </c>
    </row>
    <row r="33" customFormat="false" ht="66" hidden="false" customHeight="true" outlineLevel="0" collapsed="false">
      <c r="A33" s="3" t="s">
        <v>1119</v>
      </c>
      <c r="B33" s="3" t="s">
        <v>782</v>
      </c>
      <c r="C33" s="9"/>
      <c r="D33" s="9"/>
      <c r="E33" s="9"/>
      <c r="F33" s="9"/>
      <c r="G33" s="9"/>
      <c r="H33" s="9"/>
      <c r="I33" s="9"/>
      <c r="J33" s="5" t="str">
        <f aca="false">IF(AND(ISNUMBER(H33),H33&gt;=0,ISNUMBER(I33),I33&gt;=0,I33&lt;=100),ROUND(H33*I33/100,2),"")</f>
        <v/>
      </c>
      <c r="K33" s="9"/>
      <c r="L33" s="5" t="str">
        <f aca="false">IF(AND(ISNUMBER(J33),ISNUMBER(K33),K33&gt;=0,K33&lt;=100),ROUND(J33*K33/100,2),"")</f>
        <v/>
      </c>
      <c r="M33" s="5" t="str">
        <f aca="false">IF(AND(ISNUMBER(J33),ISNUMBER(L33)),ROUND(J33-L33,2),"")</f>
        <v/>
      </c>
      <c r="N33" s="9"/>
      <c r="O33" s="9"/>
      <c r="P33" s="9"/>
      <c r="Q33" s="9"/>
      <c r="R33" s="9"/>
      <c r="S33" s="5" t="str">
        <f aca="false">IF(AND(C33&lt;&gt;"",D33&lt;&gt;"",E33&lt;&gt;"",F33&lt;&gt;"",G33&lt;&gt;"",R33&lt;&gt;"",ISNUMBER(M33)),"CALCULATED_WITH_INPUTS","OPEN")</f>
        <v>OPEN</v>
      </c>
    </row>
    <row r="34" customFormat="false" ht="66" hidden="false" customHeight="true" outlineLevel="0" collapsed="false">
      <c r="A34" s="2" t="s">
        <v>1120</v>
      </c>
      <c r="B34" s="2" t="s">
        <v>785</v>
      </c>
      <c r="C34" s="9"/>
      <c r="D34" s="9"/>
      <c r="E34" s="9"/>
      <c r="F34" s="9"/>
      <c r="G34" s="9"/>
      <c r="H34" s="9"/>
      <c r="I34" s="9"/>
      <c r="J34" s="5" t="str">
        <f aca="false">IF(AND(ISNUMBER(H34),H34&gt;=0,ISNUMBER(I34),I34&gt;=0,I34&lt;=100),ROUND(H34*I34/100,2),"")</f>
        <v/>
      </c>
      <c r="K34" s="9"/>
      <c r="L34" s="5" t="str">
        <f aca="false">IF(AND(ISNUMBER(J34),ISNUMBER(K34),K34&gt;=0,K34&lt;=100),ROUND(J34*K34/100,2),"")</f>
        <v/>
      </c>
      <c r="M34" s="5" t="str">
        <f aca="false">IF(AND(ISNUMBER(J34),ISNUMBER(L34)),ROUND(J34-L34,2),"")</f>
        <v/>
      </c>
      <c r="N34" s="9"/>
      <c r="O34" s="9"/>
      <c r="P34" s="9"/>
      <c r="Q34" s="9"/>
      <c r="R34" s="9"/>
      <c r="S34" s="5" t="str">
        <f aca="false">IF(AND(C34&lt;&gt;"",D34&lt;&gt;"",E34&lt;&gt;"",F34&lt;&gt;"",G34&lt;&gt;"",R34&lt;&gt;"",ISNUMBER(M34)),"CALCULATED_WITH_INPUTS","OPEN")</f>
        <v>OPEN</v>
      </c>
    </row>
    <row r="35" customFormat="false" ht="66" hidden="false" customHeight="true" outlineLevel="0" collapsed="false">
      <c r="A35" s="3" t="s">
        <v>1121</v>
      </c>
      <c r="B35" s="3" t="s">
        <v>788</v>
      </c>
      <c r="C35" s="9"/>
      <c r="D35" s="9"/>
      <c r="E35" s="9"/>
      <c r="F35" s="9"/>
      <c r="G35" s="9"/>
      <c r="H35" s="9"/>
      <c r="I35" s="9"/>
      <c r="J35" s="5" t="str">
        <f aca="false">IF(AND(ISNUMBER(H35),H35&gt;=0,ISNUMBER(I35),I35&gt;=0,I35&lt;=100),ROUND(H35*I35/100,2),"")</f>
        <v/>
      </c>
      <c r="K35" s="9"/>
      <c r="L35" s="5" t="str">
        <f aca="false">IF(AND(ISNUMBER(J35),ISNUMBER(K35),K35&gt;=0,K35&lt;=100),ROUND(J35*K35/100,2),"")</f>
        <v/>
      </c>
      <c r="M35" s="5" t="str">
        <f aca="false">IF(AND(ISNUMBER(J35),ISNUMBER(L35)),ROUND(J35-L35,2),"")</f>
        <v/>
      </c>
      <c r="N35" s="9"/>
      <c r="O35" s="9"/>
      <c r="P35" s="9"/>
      <c r="Q35" s="9"/>
      <c r="R35" s="9"/>
      <c r="S35" s="5" t="str">
        <f aca="false">IF(AND(C35&lt;&gt;"",D35&lt;&gt;"",E35&lt;&gt;"",F35&lt;&gt;"",G35&lt;&gt;"",R35&lt;&gt;"",ISNUMBER(M35)),"CALCULATED_WITH_INPUTS","OPEN")</f>
        <v>OPEN</v>
      </c>
    </row>
    <row r="36" customFormat="false" ht="66" hidden="false" customHeight="true" outlineLevel="0" collapsed="false">
      <c r="A36" s="2" t="s">
        <v>1122</v>
      </c>
      <c r="B36" s="2" t="s">
        <v>794</v>
      </c>
      <c r="C36" s="9"/>
      <c r="D36" s="9"/>
      <c r="E36" s="9"/>
      <c r="F36" s="9"/>
      <c r="G36" s="9"/>
      <c r="H36" s="9"/>
      <c r="I36" s="9"/>
      <c r="J36" s="5" t="str">
        <f aca="false">IF(AND(ISNUMBER(H36),H36&gt;=0,ISNUMBER(I36),I36&gt;=0,I36&lt;=100),ROUND(H36*I36/100,2),"")</f>
        <v/>
      </c>
      <c r="K36" s="9"/>
      <c r="L36" s="5" t="str">
        <f aca="false">IF(AND(ISNUMBER(J36),ISNUMBER(K36),K36&gt;=0,K36&lt;=100),ROUND(J36*K36/100,2),"")</f>
        <v/>
      </c>
      <c r="M36" s="5" t="str">
        <f aca="false">IF(AND(ISNUMBER(J36),ISNUMBER(L36)),ROUND(J36-L36,2),"")</f>
        <v/>
      </c>
      <c r="N36" s="9"/>
      <c r="O36" s="9"/>
      <c r="P36" s="9"/>
      <c r="Q36" s="9"/>
      <c r="R36" s="9"/>
      <c r="S36" s="5" t="str">
        <f aca="false">IF(AND(C36&lt;&gt;"",D36&lt;&gt;"",E36&lt;&gt;"",F36&lt;&gt;"",G36&lt;&gt;"",R36&lt;&gt;"",ISNUMBER(M36)),"CALCULATED_WITH_INPUTS","OPEN")</f>
        <v>OPEN</v>
      </c>
    </row>
    <row r="37" customFormat="false" ht="66" hidden="false" customHeight="true" outlineLevel="0" collapsed="false">
      <c r="A37" s="3" t="s">
        <v>1123</v>
      </c>
      <c r="B37" s="3" t="s">
        <v>796</v>
      </c>
      <c r="C37" s="9"/>
      <c r="D37" s="9"/>
      <c r="E37" s="9"/>
      <c r="F37" s="9"/>
      <c r="G37" s="9"/>
      <c r="H37" s="9"/>
      <c r="I37" s="9"/>
      <c r="J37" s="5" t="str">
        <f aca="false">IF(AND(ISNUMBER(H37),H37&gt;=0,ISNUMBER(I37),I37&gt;=0,I37&lt;=100),ROUND(H37*I37/100,2),"")</f>
        <v/>
      </c>
      <c r="K37" s="9"/>
      <c r="L37" s="5" t="str">
        <f aca="false">IF(AND(ISNUMBER(J37),ISNUMBER(K37),K37&gt;=0,K37&lt;=100),ROUND(J37*K37/100,2),"")</f>
        <v/>
      </c>
      <c r="M37" s="5" t="str">
        <f aca="false">IF(AND(ISNUMBER(J37),ISNUMBER(L37)),ROUND(J37-L37,2),"")</f>
        <v/>
      </c>
      <c r="N37" s="9"/>
      <c r="O37" s="9"/>
      <c r="P37" s="9"/>
      <c r="Q37" s="9"/>
      <c r="R37" s="9"/>
      <c r="S37" s="5" t="str">
        <f aca="false">IF(AND(C37&lt;&gt;"",D37&lt;&gt;"",E37&lt;&gt;"",F37&lt;&gt;"",G37&lt;&gt;"",R37&lt;&gt;"",ISNUMBER(M37)),"CALCULATED_WITH_INPUTS","OPEN")</f>
        <v>OPEN</v>
      </c>
    </row>
  </sheetData>
  <autoFilter ref="A1:S37"/>
  <dataValidations count="3">
    <dataValidation allowBlank="true" error="Нужно неотрицательное число в допустимом диапазоне" errorStyle="stop" operator="greaterThanOrEqual" showDropDown="false" showErrorMessage="true" showInputMessage="false" sqref="H2:H37 N2:O37" type="decimal">
      <formula1>0</formula1>
      <formula2>0</formula2>
    </dataValidation>
    <dataValidation allowBlank="true" error="Нужно неотрицательное число в допустимом диапазоне" errorStyle="stop" operator="between" showDropDown="false" showErrorMessage="true" showInputMessage="false" sqref="I2:I37 K2:K37" type="decimal">
      <formula1>0</formula1>
      <formula2>100</formula2>
    </dataValidation>
    <dataValidation allowBlank="true" error="Выберите допустимый статус" errorStyle="stop" errorTitle="Значение из списка" operator="between" showDropDown="false" showErrorMessage="true" showInputMessage="false" sqref="G2:G37" type="list">
      <formula1>"PL_DOMESTIC,WNT,EU_B2C,IMPORT_PL,OTHER_DOCUMENTED"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5"/>
    <col collapsed="false" customWidth="true" hidden="false" outlineLevel="0" max="3" min="3" style="0" width="130"/>
    <col collapsed="false" customWidth="true" hidden="false" outlineLevel="0" max="4" min="4" style="0" width="80"/>
  </cols>
  <sheetData>
    <row r="1" customFormat="false" ht="45" hidden="false" customHeight="true" outlineLevel="0" collapsed="false">
      <c r="A1" s="1" t="s">
        <v>30</v>
      </c>
      <c r="B1" s="1" t="s">
        <v>1124</v>
      </c>
      <c r="C1" s="1" t="s">
        <v>1125</v>
      </c>
      <c r="D1" s="1" t="s">
        <v>1126</v>
      </c>
    </row>
    <row r="2" customFormat="false" ht="66" hidden="false" customHeight="true" outlineLevel="0" collapsed="false">
      <c r="A2" s="2" t="s">
        <v>38</v>
      </c>
      <c r="B2" s="2" t="s">
        <v>39</v>
      </c>
      <c r="C2" s="2" t="s">
        <v>45</v>
      </c>
      <c r="D2" s="2" t="s">
        <v>1127</v>
      </c>
    </row>
    <row r="3" customFormat="false" ht="66" hidden="false" customHeight="true" outlineLevel="0" collapsed="false">
      <c r="A3" s="3" t="s">
        <v>46</v>
      </c>
      <c r="B3" s="3" t="s">
        <v>47</v>
      </c>
      <c r="C3" s="3" t="s">
        <v>53</v>
      </c>
      <c r="D3" s="3" t="s">
        <v>1127</v>
      </c>
    </row>
    <row r="4" customFormat="false" ht="66" hidden="false" customHeight="true" outlineLevel="0" collapsed="false">
      <c r="A4" s="2" t="s">
        <v>54</v>
      </c>
      <c r="B4" s="2" t="s">
        <v>55</v>
      </c>
      <c r="C4" s="2" t="s">
        <v>61</v>
      </c>
      <c r="D4" s="2" t="s">
        <v>1127</v>
      </c>
    </row>
    <row r="5" customFormat="false" ht="66" hidden="false" customHeight="true" outlineLevel="0" collapsed="false">
      <c r="A5" s="3" t="s">
        <v>62</v>
      </c>
      <c r="B5" s="3" t="s">
        <v>63</v>
      </c>
      <c r="C5" s="3" t="s">
        <v>69</v>
      </c>
      <c r="D5" s="3" t="s">
        <v>1127</v>
      </c>
    </row>
    <row r="6" customFormat="false" ht="66" hidden="false" customHeight="true" outlineLevel="0" collapsed="false">
      <c r="A6" s="2" t="s">
        <v>70</v>
      </c>
      <c r="B6" s="2" t="s">
        <v>71</v>
      </c>
      <c r="C6" s="2" t="s">
        <v>77</v>
      </c>
      <c r="D6" s="2" t="s">
        <v>1127</v>
      </c>
    </row>
    <row r="7" customFormat="false" ht="66" hidden="false" customHeight="true" outlineLevel="0" collapsed="false">
      <c r="A7" s="3" t="s">
        <v>78</v>
      </c>
      <c r="B7" s="3" t="s">
        <v>79</v>
      </c>
      <c r="C7" s="3" t="s">
        <v>85</v>
      </c>
      <c r="D7" s="3" t="s">
        <v>1127</v>
      </c>
    </row>
    <row r="8" customFormat="false" ht="66" hidden="false" customHeight="true" outlineLevel="0" collapsed="false">
      <c r="A8" s="2" t="s">
        <v>86</v>
      </c>
      <c r="B8" s="2" t="s">
        <v>87</v>
      </c>
      <c r="C8" s="2" t="s">
        <v>93</v>
      </c>
      <c r="D8" s="2" t="s">
        <v>1127</v>
      </c>
    </row>
    <row r="9" customFormat="false" ht="66" hidden="false" customHeight="true" outlineLevel="0" collapsed="false">
      <c r="A9" s="3" t="s">
        <v>94</v>
      </c>
      <c r="B9" s="3" t="s">
        <v>95</v>
      </c>
      <c r="C9" s="3" t="s">
        <v>101</v>
      </c>
      <c r="D9" s="3" t="s">
        <v>1127</v>
      </c>
    </row>
    <row r="10" customFormat="false" ht="66" hidden="false" customHeight="true" outlineLevel="0" collapsed="false">
      <c r="A10" s="2" t="s">
        <v>102</v>
      </c>
      <c r="B10" s="2" t="s">
        <v>103</v>
      </c>
      <c r="C10" s="2" t="s">
        <v>109</v>
      </c>
      <c r="D10" s="2" t="s">
        <v>1127</v>
      </c>
    </row>
    <row r="11" customFormat="false" ht="66" hidden="false" customHeight="true" outlineLevel="0" collapsed="false">
      <c r="A11" s="3" t="s">
        <v>110</v>
      </c>
      <c r="B11" s="3" t="s">
        <v>111</v>
      </c>
      <c r="C11" s="3" t="s">
        <v>117</v>
      </c>
      <c r="D11" s="3" t="s">
        <v>1127</v>
      </c>
    </row>
    <row r="12" customFormat="false" ht="66" hidden="false" customHeight="true" outlineLevel="0" collapsed="false">
      <c r="A12" s="2" t="s">
        <v>118</v>
      </c>
      <c r="B12" s="2" t="s">
        <v>119</v>
      </c>
      <c r="C12" s="2" t="s">
        <v>125</v>
      </c>
      <c r="D12" s="2" t="s">
        <v>1127</v>
      </c>
    </row>
    <row r="13" customFormat="false" ht="66" hidden="false" customHeight="true" outlineLevel="0" collapsed="false">
      <c r="A13" s="3" t="s">
        <v>126</v>
      </c>
      <c r="B13" s="3" t="s">
        <v>127</v>
      </c>
      <c r="C13" s="3" t="s">
        <v>133</v>
      </c>
      <c r="D13" s="3" t="s">
        <v>1127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2026-09-11T07:36:29Z</dcterms:created>
  <dc:creator>openpyxl</dc:creator>
  <dc:description/>
  <dc:language>en-US</dc:language>
  <cp:lastModifiedBy/>
  <dcterms:modified xsi:type="dcterms:W3CDTF">2026-09-11T07:36:29Z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